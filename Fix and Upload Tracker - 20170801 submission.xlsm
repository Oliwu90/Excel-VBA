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ustomProperty4.bin" ContentType="application/vnd.openxmlformats-officedocument.spreadsheetml.customProperty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ustomProperty5.bin" ContentType="application/vnd.openxmlformats-officedocument.spreadsheetml.customProperty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ustomProperty6.bin" ContentType="application/vnd.openxmlformats-officedocument.spreadsheetml.customProperty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ustomProperty7.bin" ContentType="application/vnd.openxmlformats-officedocument.spreadsheetml.customProperty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ustomProperty8.bin" ContentType="application/vnd.openxmlformats-officedocument.spreadsheetml.customProperty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ustomProperty9.bin" ContentType="application/vnd.openxmlformats-officedocument.spreadsheetml.customProperty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ustomProperty10.bin" ContentType="application/vnd.openxmlformats-officedocument.spreadsheetml.customProperty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ustomProperty11.bin" ContentType="application/vnd.openxmlformats-officedocument.spreadsheetml.customProperty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ustomProperty12.bin" ContentType="application/vnd.openxmlformats-officedocument.spreadsheetml.customProperty"/>
  <Override PartName="/xl/drawings/drawing1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ustomProperty13.bin" ContentType="application/vnd.openxmlformats-officedocument.spreadsheetml.customProperty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ustomProperty14.bin" ContentType="application/vnd.openxmlformats-officedocument.spreadsheetml.customProperty"/>
  <Override PartName="/xl/drawings/drawing1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2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21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2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2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2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2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W BUSINESS PLAN\2018-2022 BUSINESS PLAN\Outer Year Model\State Outer Year Models\2017.07.28 Submission\"/>
    </mc:Choice>
  </mc:AlternateContent>
  <bookViews>
    <workbookView xWindow="96" yWindow="228" windowWidth="16260" windowHeight="7188" tabRatio="877" firstSheet="11" activeTab="12"/>
  </bookViews>
  <sheets>
    <sheet name="Model names" sheetId="8" r:id="rId1"/>
    <sheet name="What version did we get back" sheetId="31" r:id="rId2"/>
    <sheet name="Cash Balance-Total (1)" sheetId="5" r:id="rId3"/>
    <sheet name="MiscJE" sheetId="9" state="hidden" r:id="rId4"/>
    <sheet name="RateCaseOn (3)" sheetId="10" r:id="rId5"/>
    <sheet name="GrowthNI (new) - (4)" sheetId="27" r:id="rId6"/>
    <sheet name="Y1 Rate Base Input (5)" sheetId="12" r:id="rId7"/>
    <sheet name="ExecSummary - RateBase (6)" sheetId="13" r:id="rId8"/>
    <sheet name="Growth CapEx Cash Flow (7)" sheetId="14" r:id="rId9"/>
    <sheet name="Total Reports Balance Chk (8)" sheetId="15" r:id="rId10"/>
    <sheet name="Cash Balance-Base" sheetId="17" r:id="rId11"/>
    <sheet name="GrowthNI" sheetId="11" r:id="rId12"/>
    <sheet name="TotalNI" sheetId="36" r:id="rId13"/>
    <sheet name="RP Profiling" sheetId="26" r:id="rId14"/>
    <sheet name="CAGR Formula Check" sheetId="16" r:id="rId15"/>
    <sheet name="Net Income-Base" sheetId="18" r:id="rId16"/>
    <sheet name="Unidentified savings" sheetId="19" r:id="rId17"/>
    <sheet name="# of customers override" sheetId="20" r:id="rId18"/>
    <sheet name="Growth cash flow check" sheetId="29" r:id="rId19"/>
    <sheet name="Total+Current Long Term Debt" sheetId="25" r:id="rId20"/>
    <sheet name="Total Equity" sheetId="21" r:id="rId21"/>
    <sheet name="NI Growth" sheetId="30" r:id="rId22"/>
    <sheet name="Total Long term debt" sheetId="22" r:id="rId23"/>
    <sheet name="Current long term debt" sheetId="23" r:id="rId24"/>
    <sheet name="Short term debt" sheetId="24" r:id="rId25"/>
    <sheet name="Short term debt (2)" sheetId="32" r:id="rId26"/>
    <sheet name="ROE" sheetId="33" r:id="rId27"/>
    <sheet name="Unidentified O&amp;M" sheetId="35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</externalReferences>
  <definedNames>
    <definedName name="___xz4" localSheetId="15" hidden="1">{0,0,0,0;0,0,0,0;0,0,0,0;0,0,0,0;0,0,0,0;0,0,0,0}</definedName>
    <definedName name="___xz4" localSheetId="26" hidden="1">{0,0,0,0;0,0,0,0;0,0,0,0;0,0,0,0;0,0,0,0;0,0,0,0}</definedName>
    <definedName name="___xz4" localSheetId="27" hidden="1">{0,0,0,0;0,0,0,0;0,0,0,0;0,0,0,0;0,0,0,0;0,0,0,0}</definedName>
    <definedName name="___xz4" hidden="1">{0,0,0,0;0,0,0,0;0,0,0,0;0,0,0,0;0,0,0,0;0,0,0,0}</definedName>
    <definedName name="__123Graph_A" hidden="1">[1]Pub!$H$13:$H$83</definedName>
    <definedName name="__123Graph_B" hidden="1">[1]Pub!$I$13:$I$83</definedName>
    <definedName name="__123Graph_C" hidden="1">[1]Pub!$J$13:$J$83</definedName>
    <definedName name="__123Graph_D" localSheetId="12" hidden="1">[2]Proforma!#REF!</definedName>
    <definedName name="__123Graph_D" localSheetId="27" hidden="1">[2]Proforma!#REF!</definedName>
    <definedName name="__123Graph_D" hidden="1">[2]Proforma!#REF!</definedName>
    <definedName name="__123Graph_E" localSheetId="12" hidden="1">[1]Pub!#REF!</definedName>
    <definedName name="__123Graph_E" localSheetId="27" hidden="1">[1]Pub!#REF!</definedName>
    <definedName name="__123Graph_E" hidden="1">[1]Pub!#REF!</definedName>
    <definedName name="__123Graph_F" hidden="1">[1]Pub!$L$13:$L$83</definedName>
    <definedName name="__123Graph_X" hidden="1">[1]Pub!$G$13:$G$83</definedName>
    <definedName name="__FDS_HYPERLINK_TOGGLE_STATE__" hidden="1">"ON"</definedName>
    <definedName name="__IntlFixup" hidden="1">TRUE</definedName>
    <definedName name="__IntlFixupTable" localSheetId="12" hidden="1">#REF!</definedName>
    <definedName name="__IntlFixupTable" localSheetId="27" hidden="1">#REF!</definedName>
    <definedName name="__IntlFixupTable" hidden="1">#REF!</definedName>
    <definedName name="__xlfn.BAHTTEXT" hidden="1">#NAME?</definedName>
    <definedName name="__xz4" localSheetId="15" hidden="1">{0,0,0,0;0,0,0,0;0,0,0,0;0,0,0,0;0,0,0,0;0,0,0,0}</definedName>
    <definedName name="__xz4" localSheetId="26" hidden="1">{0,0,0,0;0,0,0,0;0,0,0,0;0,0,0,0;0,0,0,0;0,0,0,0}</definedName>
    <definedName name="__xz4" localSheetId="27" hidden="1">{0,0,0,0;0,0,0,0;0,0,0,0;0,0,0,0;0,0,0,0;0,0,0,0}</definedName>
    <definedName name="__xz4" hidden="1">{0,0,0,0;0,0,0,0;0,0,0,0;0,0,0,0;0,0,0,0;0,0,0,0}</definedName>
    <definedName name="_10__123Graph_BCHART_1" localSheetId="12" hidden="1">'[3]Summary - Drivers'!#REF!</definedName>
    <definedName name="_10__123Graph_BCHART_1" localSheetId="27" hidden="1">'[3]Summary - Drivers'!#REF!</definedName>
    <definedName name="_10__123Graph_BCHART_1" hidden="1">'[3]Summary - Drivers'!#REF!</definedName>
    <definedName name="_11__123Graph_BCHART_2" localSheetId="12" hidden="1">'[3]Summary - Drivers'!#REF!</definedName>
    <definedName name="_11__123Graph_BCHART_2" localSheetId="27" hidden="1">'[3]Summary - Drivers'!#REF!</definedName>
    <definedName name="_11__123Graph_BCHART_2" hidden="1">'[3]Summary - Drivers'!#REF!</definedName>
    <definedName name="_12__123Graph_BCHART_3" hidden="1">[4]CF!$B$200:$V$200</definedName>
    <definedName name="_13__123Graph_BCHART_6" hidden="1">[4]CF!$B$169:$V$169</definedName>
    <definedName name="_14__123Graph_CCHART_1" localSheetId="12" hidden="1">'[3]Summary - Drivers'!#REF!</definedName>
    <definedName name="_14__123Graph_CCHART_1" localSheetId="27" hidden="1">'[3]Summary - Drivers'!#REF!</definedName>
    <definedName name="_14__123Graph_CCHART_1" hidden="1">'[3]Summary - Drivers'!#REF!</definedName>
    <definedName name="_15__123Graph_CCHART_2" localSheetId="12" hidden="1">'[3]Summary - Drivers'!#REF!</definedName>
    <definedName name="_15__123Graph_CCHART_2" localSheetId="27" hidden="1">'[3]Summary - Drivers'!#REF!</definedName>
    <definedName name="_15__123Graph_CCHART_2" hidden="1">'[3]Summary - Drivers'!#REF!</definedName>
    <definedName name="_16__123Graph_CCHART_3" hidden="1">[4]CF!$B$202:$V$202</definedName>
    <definedName name="_17__123Graph_DCHART_1" localSheetId="12" hidden="1">'[3]Summary - Drivers'!#REF!</definedName>
    <definedName name="_17__123Graph_DCHART_1" localSheetId="27" hidden="1">'[3]Summary - Drivers'!#REF!</definedName>
    <definedName name="_17__123Graph_DCHART_1" hidden="1">'[3]Summary - Drivers'!#REF!</definedName>
    <definedName name="_18__123Graph_ACHART_1" localSheetId="12" hidden="1">'[3]Summary - Drivers'!#REF!</definedName>
    <definedName name="_18__123Graph_ACHART_1" localSheetId="27" hidden="1">'[3]Summary - Drivers'!#REF!</definedName>
    <definedName name="_18__123Graph_ACHART_1" hidden="1">'[3]Summary - Drivers'!#REF!</definedName>
    <definedName name="_18__123Graph_DCHART_2" localSheetId="12" hidden="1">'[3]Summary - Drivers'!#REF!</definedName>
    <definedName name="_18__123Graph_DCHART_2" localSheetId="27" hidden="1">'[3]Summary - Drivers'!#REF!</definedName>
    <definedName name="_18__123Graph_DCHART_2" hidden="1">'[3]Summary - Drivers'!#REF!</definedName>
    <definedName name="_19__123Graph_ACHART_2" localSheetId="12" hidden="1">#REF!</definedName>
    <definedName name="_19__123Graph_ACHART_2" localSheetId="27" hidden="1">#REF!</definedName>
    <definedName name="_19__123Graph_ACHART_2" hidden="1">#REF!</definedName>
    <definedName name="_19__123Graph_DCHART_3" hidden="1">[4]CF!$B$196:$V$196</definedName>
    <definedName name="_20__123Graph_ACHART_3" hidden="1">[5]CF!$B$197:$V$197</definedName>
    <definedName name="_20__123Graph_ECHART_1" localSheetId="12" hidden="1">'[3]Summary - Drivers'!#REF!</definedName>
    <definedName name="_20__123Graph_ECHART_1" localSheetId="27" hidden="1">'[3]Summary - Drivers'!#REF!</definedName>
    <definedName name="_20__123Graph_ECHART_1" hidden="1">'[3]Summary - Drivers'!#REF!</definedName>
    <definedName name="_21__123Graph_ACHART_4" hidden="1">[5]CF!$B$176:$V$176</definedName>
    <definedName name="_21__123Graph_ECHART_2" localSheetId="12" hidden="1">'[3]Summary - Drivers'!#REF!</definedName>
    <definedName name="_21__123Graph_ECHART_2" localSheetId="27" hidden="1">'[3]Summary - Drivers'!#REF!</definedName>
    <definedName name="_21__123Graph_ECHART_2" hidden="1">'[3]Summary - Drivers'!#REF!</definedName>
    <definedName name="_22__123Graph_ACHART_5" hidden="1">[5]CF!$B$194:$V$194</definedName>
    <definedName name="_22__123Graph_XCHART_2" hidden="1">[6]Drivers!$G$2:$AA$2</definedName>
    <definedName name="_23__123Graph_ACHART_6" hidden="1">[5]CF!$B$160:$V$160</definedName>
    <definedName name="_23__123Graph_XCHART_4" hidden="1">[4]CF!$B$121:$V$121</definedName>
    <definedName name="_24__123Graph_XCHART_5" hidden="1">[4]CF!$B$121:$V$121</definedName>
    <definedName name="_25__123Graph_XCHART_6" hidden="1">[4]CF!$B$121:$V$121</definedName>
    <definedName name="_29__123Graph_AR_M_MARG" localSheetId="12" hidden="1">[7]P!#REF!</definedName>
    <definedName name="_29__123Graph_AR_M_MARG" localSheetId="27" hidden="1">[7]P!#REF!</definedName>
    <definedName name="_29__123Graph_AR_M_MARG" hidden="1">[7]P!#REF!</definedName>
    <definedName name="_3__123Graph_ACHART_1" localSheetId="12" hidden="1">'[3]Summary - Drivers'!#REF!</definedName>
    <definedName name="_3__123Graph_ACHART_1" localSheetId="27" hidden="1">'[3]Summary - Drivers'!#REF!</definedName>
    <definedName name="_3__123Graph_ACHART_1" hidden="1">'[3]Summary - Drivers'!#REF!</definedName>
    <definedName name="_35__123Graph_BCHART_1" localSheetId="12" hidden="1">'[3]Summary - Drivers'!#REF!</definedName>
    <definedName name="_35__123Graph_BCHART_1" localSheetId="27" hidden="1">'[3]Summary - Drivers'!#REF!</definedName>
    <definedName name="_35__123Graph_BCHART_1" hidden="1">'[3]Summary - Drivers'!#REF!</definedName>
    <definedName name="_4__123Graph_ACHART_2" localSheetId="12" hidden="1">#REF!</definedName>
    <definedName name="_4__123Graph_ACHART_2" localSheetId="27" hidden="1">#REF!</definedName>
    <definedName name="_4__123Graph_ACHART_2" hidden="1">#REF!</definedName>
    <definedName name="_41__123Graph_BCHART_2" localSheetId="12" hidden="1">'[3]Summary - Drivers'!#REF!</definedName>
    <definedName name="_41__123Graph_BCHART_2" localSheetId="27" hidden="1">'[3]Summary - Drivers'!#REF!</definedName>
    <definedName name="_41__123Graph_BCHART_2" hidden="1">'[3]Summary - Drivers'!#REF!</definedName>
    <definedName name="_42__123Graph_BCHART_3" hidden="1">[5]CF!$B$200:$V$200</definedName>
    <definedName name="_43__123Graph_BCHART_6" hidden="1">[5]CF!$B$169:$V$169</definedName>
    <definedName name="_49__123Graph_CCHART_1" localSheetId="12" hidden="1">'[3]Summary - Drivers'!#REF!</definedName>
    <definedName name="_49__123Graph_CCHART_1" localSheetId="27" hidden="1">'[3]Summary - Drivers'!#REF!</definedName>
    <definedName name="_49__123Graph_CCHART_1" hidden="1">'[3]Summary - Drivers'!#REF!</definedName>
    <definedName name="_5__123Graph_ACHART_3" hidden="1">[4]CF!$B$197:$V$197</definedName>
    <definedName name="_55__123Graph_CCHART_2" localSheetId="12" hidden="1">'[3]Summary - Drivers'!#REF!</definedName>
    <definedName name="_55__123Graph_CCHART_2" localSheetId="27" hidden="1">'[3]Summary - Drivers'!#REF!</definedName>
    <definedName name="_55__123Graph_CCHART_2" hidden="1">'[3]Summary - Drivers'!#REF!</definedName>
    <definedName name="_56__123Graph_CCHART_3" hidden="1">[5]CF!$B$202:$V$202</definedName>
    <definedName name="_6__123Graph_ACHART_4" hidden="1">[4]CF!$B$176:$V$176</definedName>
    <definedName name="_62__123Graph_DCHART_1" localSheetId="12" hidden="1">'[3]Summary - Drivers'!#REF!</definedName>
    <definedName name="_62__123Graph_DCHART_1" localSheetId="27" hidden="1">'[3]Summary - Drivers'!#REF!</definedName>
    <definedName name="_62__123Graph_DCHART_1" hidden="1">'[3]Summary - Drivers'!#REF!</definedName>
    <definedName name="_68__123Graph_DCHART_2" localSheetId="12" hidden="1">'[3]Summary - Drivers'!#REF!</definedName>
    <definedName name="_68__123Graph_DCHART_2" localSheetId="27" hidden="1">'[3]Summary - Drivers'!#REF!</definedName>
    <definedName name="_68__123Graph_DCHART_2" hidden="1">'[3]Summary - Drivers'!#REF!</definedName>
    <definedName name="_69__123Graph_DCHART_3" hidden="1">[5]CF!$B$196:$V$196</definedName>
    <definedName name="_7__123Graph_ACHART_5" hidden="1">[4]CF!$B$194:$V$194</definedName>
    <definedName name="_75__123Graph_ECHART_1" localSheetId="12" hidden="1">'[3]Summary - Drivers'!#REF!</definedName>
    <definedName name="_75__123Graph_ECHART_1" localSheetId="27" hidden="1">'[3]Summary - Drivers'!#REF!</definedName>
    <definedName name="_75__123Graph_ECHART_1" hidden="1">'[3]Summary - Drivers'!#REF!</definedName>
    <definedName name="_8__123Graph_ACHART_6" hidden="1">[4]CF!$B$160:$V$160</definedName>
    <definedName name="_81__123Graph_ECHART_2" localSheetId="12" hidden="1">'[3]Summary - Drivers'!#REF!</definedName>
    <definedName name="_81__123Graph_ECHART_2" localSheetId="27" hidden="1">'[3]Summary - Drivers'!#REF!</definedName>
    <definedName name="_81__123Graph_ECHART_2" hidden="1">'[3]Summary - Drivers'!#REF!</definedName>
    <definedName name="_82__123Graph_XCHART_2" hidden="1">[6]Drivers!$G$2:$AA$2</definedName>
    <definedName name="_83__123Graph_XCHART_4" hidden="1">[5]CF!$B$121:$V$121</definedName>
    <definedName name="_84__123Graph_XCHART_5" hidden="1">[5]CF!$B$121:$V$121</definedName>
    <definedName name="_85__123Graph_XCHART_6" hidden="1">[5]CF!$B$121:$V$121</definedName>
    <definedName name="_9__123Graph_AR_M_MARG" localSheetId="12" hidden="1">[7]P!#REF!</definedName>
    <definedName name="_9__123Graph_AR_M_MARG" localSheetId="27" hidden="1">[7]P!#REF!</definedName>
    <definedName name="_9__123Graph_AR_M_MARG" hidden="1">[7]P!#REF!</definedName>
    <definedName name="_bdm.236EA32745904930B2B5BAF782E7EACA.edm" hidden="1">[8]Margins!$A:$IV</definedName>
    <definedName name="_bdm.352CC0E86942495F9DD68124E31D1D6C.edm" hidden="1">[8]Anrev!$A:$IV</definedName>
    <definedName name="_bdm.3A2AFA5D12C6427EBD5F22BDBE91686A.edm" localSheetId="12" hidden="1">#REF!</definedName>
    <definedName name="_bdm.3A2AFA5D12C6427EBD5F22BDBE91686A.edm" localSheetId="27" hidden="1">#REF!</definedName>
    <definedName name="_bdm.3A2AFA5D12C6427EBD5F22BDBE91686A.edm" hidden="1">#REF!</definedName>
    <definedName name="_bdm.3CC3C3A7D35644BCB60105C27F57256D.edm" localSheetId="12" hidden="1">#REF!</definedName>
    <definedName name="_bdm.3CC3C3A7D35644BCB60105C27F57256D.edm" localSheetId="27" hidden="1">#REF!</definedName>
    <definedName name="_bdm.3CC3C3A7D35644BCB60105C27F57256D.edm" hidden="1">#REF!</definedName>
    <definedName name="_bdm.4B02255312114AC6A8C7D44E727A4AAD.edm" localSheetId="12" hidden="1">#REF!</definedName>
    <definedName name="_bdm.4B02255312114AC6A8C7D44E727A4AAD.edm" localSheetId="27" hidden="1">#REF!</definedName>
    <definedName name="_bdm.4B02255312114AC6A8C7D44E727A4AAD.edm" hidden="1">#REF!</definedName>
    <definedName name="_bdm.588A2DC55057433B86545CE351A3F2F5.edm" localSheetId="12" hidden="1">#REF!</definedName>
    <definedName name="_bdm.588A2DC55057433B86545CE351A3F2F5.edm" localSheetId="27" hidden="1">#REF!</definedName>
    <definedName name="_bdm.588A2DC55057433B86545CE351A3F2F5.edm" hidden="1">#REF!</definedName>
    <definedName name="_bdm.5B2BB78AA4E3478FBAC7E48680A59B88.edm" localSheetId="12" hidden="1">#REF!</definedName>
    <definedName name="_bdm.5B2BB78AA4E3478FBAC7E48680A59B88.edm" localSheetId="27" hidden="1">#REF!</definedName>
    <definedName name="_bdm.5B2BB78AA4E3478FBAC7E48680A59B88.edm" hidden="1">#REF!</definedName>
    <definedName name="_bdm.789B277314C748848C143C640565C29A.edm" localSheetId="12" hidden="1">#REF!</definedName>
    <definedName name="_bdm.789B277314C748848C143C640565C29A.edm" localSheetId="27" hidden="1">#REF!</definedName>
    <definedName name="_bdm.789B277314C748848C143C640565C29A.edm" hidden="1">#REF!</definedName>
    <definedName name="_bdm.81EE23756CDF438E83BE331BDBE5B4FF.edm" hidden="1">[8]BalSht!$A:$IV</definedName>
    <definedName name="_bdm.8388ACC908624336A668330E18367B19.edm" hidden="1">'[8]Prod Sales'!$A:$IV</definedName>
    <definedName name="_bdm.9EA325CD19E34189A314C56A80A49BCE.edm" localSheetId="12" hidden="1">#REF!</definedName>
    <definedName name="_bdm.9EA325CD19E34189A314C56A80A49BCE.edm" localSheetId="27" hidden="1">#REF!</definedName>
    <definedName name="_bdm.9EA325CD19E34189A314C56A80A49BCE.edm" hidden="1">#REF!</definedName>
    <definedName name="_bdm.A3BC5FE179CC45BDB5735AFCF4C74CD5.edm" localSheetId="12" hidden="1">#REF!</definedName>
    <definedName name="_bdm.A3BC5FE179CC45BDB5735AFCF4C74CD5.edm" localSheetId="27" hidden="1">#REF!</definedName>
    <definedName name="_bdm.A3BC5FE179CC45BDB5735AFCF4C74CD5.edm" hidden="1">#REF!</definedName>
    <definedName name="_bdm.A8C2B2DD311C4E30920D3449EABDEFFA.edm" hidden="1">[8]Income!$A:$IV</definedName>
    <definedName name="_bdm.B55C5FBA2A134D56AFB4BF8CD286C11D.edm" localSheetId="12" hidden="1">#REF!</definedName>
    <definedName name="_bdm.B55C5FBA2A134D56AFB4BF8CD286C11D.edm" localSheetId="27" hidden="1">#REF!</definedName>
    <definedName name="_bdm.B55C5FBA2A134D56AFB4BF8CD286C11D.edm" hidden="1">#REF!</definedName>
    <definedName name="_bdm.CB43EC64998F4DF2ACEE52524316A461.edm" localSheetId="12" hidden="1">#REF!</definedName>
    <definedName name="_bdm.CB43EC64998F4DF2ACEE52524316A461.edm" localSheetId="27" hidden="1">#REF!</definedName>
    <definedName name="_bdm.CB43EC64998F4DF2ACEE52524316A461.edm" hidden="1">#REF!</definedName>
    <definedName name="_bdm.E6C77F92740E4C57B68B75A3B48E1C2F.edm" hidden="1">[8]Q_ProdSales!$A:$IV</definedName>
    <definedName name="_bdm.E7EA5AB6B3AA45A1BBD77651B3539A6E.edm" localSheetId="12" hidden="1">#REF!</definedName>
    <definedName name="_bdm.E7EA5AB6B3AA45A1BBD77651B3539A6E.edm" localSheetId="27" hidden="1">#REF!</definedName>
    <definedName name="_bdm.E7EA5AB6B3AA45A1BBD77651B3539A6E.edm" hidden="1">#REF!</definedName>
    <definedName name="_bdm.F74420E3F7AC4EA58EF6DAA876211574.edm" hidden="1">[8]CashFlow!$A:$IV</definedName>
    <definedName name="_Dist_Values" localSheetId="12" hidden="1">#REF!</definedName>
    <definedName name="_Dist_Values" localSheetId="27" hidden="1">#REF!</definedName>
    <definedName name="_Dist_Values" hidden="1">#REF!</definedName>
    <definedName name="_Example" hidden="1">[9]Variables!$B$1</definedName>
    <definedName name="_Fill" localSheetId="12" hidden="1">#REF!</definedName>
    <definedName name="_Fill" localSheetId="27" hidden="1">#REF!</definedName>
    <definedName name="_Fill" hidden="1">#REF!</definedName>
    <definedName name="_xlnm._FilterDatabase" localSheetId="12" hidden="1">[10]BKLG!#REF!</definedName>
    <definedName name="_xlnm._FilterDatabase" localSheetId="27" hidden="1">[10]BKLG!#REF!</definedName>
    <definedName name="_xlnm._FilterDatabase" hidden="1">[10]BKLG!#REF!</definedName>
    <definedName name="_Key1" localSheetId="12" hidden="1">#REF!</definedName>
    <definedName name="_Key1" localSheetId="27" hidden="1">#REF!</definedName>
    <definedName name="_Key1" hidden="1">#REF!</definedName>
    <definedName name="_Look" hidden="1">[9]Variables!$B$4</definedName>
    <definedName name="_MatMult_B" localSheetId="12" hidden="1">#REF!</definedName>
    <definedName name="_MatMult_B" localSheetId="27" hidden="1">#REF!</definedName>
    <definedName name="_MatMult_B" hidden="1">#REF!</definedName>
    <definedName name="_Order1" hidden="1">255</definedName>
    <definedName name="_Order2" hidden="1">255</definedName>
    <definedName name="_Regression_Int" hidden="1">1</definedName>
    <definedName name="_Regression_X" localSheetId="12" hidden="1">#REF!</definedName>
    <definedName name="_Regression_X" localSheetId="27" hidden="1">#REF!</definedName>
    <definedName name="_Regression_X" hidden="1">#REF!</definedName>
    <definedName name="_Series" hidden="1">[9]Variables!$B$3</definedName>
    <definedName name="_Shading" hidden="1">[9]Variables!$B$2</definedName>
    <definedName name="_Sort" localSheetId="12" hidden="1">#REF!</definedName>
    <definedName name="_Sort" localSheetId="27" hidden="1">#REF!</definedName>
    <definedName name="_Sort" hidden="1">#REF!</definedName>
    <definedName name="_Table1_In1" localSheetId="12" hidden="1">#REF!</definedName>
    <definedName name="_Table1_In1" localSheetId="27" hidden="1">#REF!</definedName>
    <definedName name="_Table1_In1" hidden="1">#REF!</definedName>
    <definedName name="_Table1_Out" localSheetId="12" hidden="1">#REF!</definedName>
    <definedName name="_Table1_Out" localSheetId="27" hidden="1">#REF!</definedName>
    <definedName name="_Table1_Out" hidden="1">#REF!</definedName>
    <definedName name="_Table2_In1" localSheetId="12" hidden="1">'[11]Pro Forma Assumptions'!#REF!</definedName>
    <definedName name="_Table2_In1" localSheetId="27" hidden="1">'[11]Pro Forma Assumptions'!#REF!</definedName>
    <definedName name="_Table2_In1" hidden="1">'[11]Pro Forma Assumptions'!#REF!</definedName>
    <definedName name="_Table2_In2" localSheetId="12" hidden="1">#REF!</definedName>
    <definedName name="_Table2_In2" localSheetId="27" hidden="1">#REF!</definedName>
    <definedName name="_Table2_In2" hidden="1">#REF!</definedName>
    <definedName name="_Table2_Out" localSheetId="12" hidden="1">#REF!</definedName>
    <definedName name="_Table2_Out" localSheetId="27" hidden="1">#REF!</definedName>
    <definedName name="_Table2_Out" hidden="1">#REF!</definedName>
    <definedName name="_xz4" localSheetId="15" hidden="1">{0,0,0,0;0,0,0,0;0,0,0,0;0,0,0,0;0,0,0,0;0,0,0,0}</definedName>
    <definedName name="_xz4" localSheetId="26" hidden="1">{0,0,0,0;0,0,0,0;0,0,0,0;0,0,0,0;0,0,0,0;0,0,0,0}</definedName>
    <definedName name="_xz4" localSheetId="27" hidden="1">{0,0,0,0;0,0,0,0;0,0,0,0;0,0,0,0;0,0,0,0;0,0,0,0}</definedName>
    <definedName name="_xz4" hidden="1">{0,0,0,0;0,0,0,0;0,0,0,0;0,0,0,0;0,0,0,0;0,0,0,0}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Cwvu.all" localSheetId="12" hidden="1">'[10]#REF'!#REF!</definedName>
    <definedName name="ACwvu.all" localSheetId="27" hidden="1">'[10]#REF'!#REF!</definedName>
    <definedName name="ACwvu.all" hidden="1">'[10]#REF'!#REF!</definedName>
    <definedName name="ACwvu.ALL." localSheetId="12" hidden="1">[10]BKLG!#REF!</definedName>
    <definedName name="ACwvu.ALL." localSheetId="27" hidden="1">[10]BKLG!#REF!</definedName>
    <definedName name="ACwvu.ALL." hidden="1">[10]BKLG!#REF!</definedName>
    <definedName name="ACwvu.Months." localSheetId="12" hidden="1">[10]BKLG!#REF!</definedName>
    <definedName name="ACwvu.Months." localSheetId="27" hidden="1">[10]BKLG!#REF!</definedName>
    <definedName name="ACwvu.Months." hidden="1">[10]BKLG!#REF!</definedName>
    <definedName name="anscount" hidden="1">1</definedName>
    <definedName name="AS2DocOpenMode" hidden="1">"AS2DocumentEdit"</definedName>
    <definedName name="cb_sChart12595BBC_opts" hidden="1">"1, 1, 1, False, 2, True, False, , 0, False, False, 2, 2"</definedName>
    <definedName name="cb_sChart12595E44_opts" hidden="1">"1, 3, 1, False, 2, True, False, , 0, True, False, 2, 2"</definedName>
    <definedName name="CBWorkbookPriority" hidden="1">-1523877792</definedName>
    <definedName name="ChangeRange" localSheetId="17" hidden="1">[12]!ChangeRange</definedName>
    <definedName name="ChangeRange" localSheetId="14" hidden="1">[12]!ChangeRange</definedName>
    <definedName name="ChangeRange" localSheetId="10" hidden="1">[12]!ChangeRange</definedName>
    <definedName name="ChangeRange" localSheetId="2" hidden="1">[12]!ChangeRange</definedName>
    <definedName name="ChangeRange" localSheetId="23" hidden="1">[12]!ChangeRange</definedName>
    <definedName name="ChangeRange" localSheetId="7" hidden="1">[12]!ChangeRange</definedName>
    <definedName name="ChangeRange" localSheetId="8" hidden="1">[12]!ChangeRange</definedName>
    <definedName name="ChangeRange" localSheetId="18" hidden="1">[12]!ChangeRange</definedName>
    <definedName name="ChangeRange" localSheetId="11" hidden="1">[12]!ChangeRange</definedName>
    <definedName name="ChangeRange" localSheetId="5" hidden="1">[12]!ChangeRange</definedName>
    <definedName name="ChangeRange" localSheetId="3" hidden="1">[12]!ChangeRange</definedName>
    <definedName name="ChangeRange" localSheetId="15" hidden="1">[12]!ChangeRange</definedName>
    <definedName name="ChangeRange" localSheetId="21" hidden="1">[12]!ChangeRange</definedName>
    <definedName name="ChangeRange" localSheetId="4" hidden="1">[12]!ChangeRange</definedName>
    <definedName name="ChangeRange" localSheetId="26" hidden="1">[12]!ChangeRange</definedName>
    <definedName name="ChangeRange" localSheetId="13" hidden="1">[12]!ChangeRange</definedName>
    <definedName name="ChangeRange" localSheetId="24" hidden="1">[12]!ChangeRange</definedName>
    <definedName name="ChangeRange" localSheetId="25" hidden="1">[12]!ChangeRange</definedName>
    <definedName name="ChangeRange" localSheetId="20" hidden="1">[12]!ChangeRange</definedName>
    <definedName name="ChangeRange" localSheetId="22" hidden="1">[12]!ChangeRange</definedName>
    <definedName name="ChangeRange" localSheetId="9" hidden="1">[12]!ChangeRange</definedName>
    <definedName name="ChangeRange" localSheetId="12" hidden="1">[12]!ChangeRange</definedName>
    <definedName name="ChangeRange" localSheetId="27" hidden="1">[12]!ChangeRange</definedName>
    <definedName name="ChangeRange" localSheetId="16" hidden="1">[12]!ChangeRange</definedName>
    <definedName name="ChangeRange" localSheetId="1" hidden="1">[12]!ChangeRange</definedName>
    <definedName name="ChangeRange" localSheetId="6" hidden="1">[12]!ChangeRange</definedName>
    <definedName name="ChangeRange" hidden="1">[12]!ChangeRange</definedName>
    <definedName name="ContentsHelp" localSheetId="17" hidden="1">[12]!ContentsHelp</definedName>
    <definedName name="ContentsHelp" localSheetId="14" hidden="1">[12]!ContentsHelp</definedName>
    <definedName name="ContentsHelp" localSheetId="10" hidden="1">[12]!ContentsHelp</definedName>
    <definedName name="ContentsHelp" localSheetId="2" hidden="1">[12]!ContentsHelp</definedName>
    <definedName name="ContentsHelp" localSheetId="23" hidden="1">[12]!ContentsHelp</definedName>
    <definedName name="ContentsHelp" localSheetId="7" hidden="1">[12]!ContentsHelp</definedName>
    <definedName name="ContentsHelp" localSheetId="8" hidden="1">[12]!ContentsHelp</definedName>
    <definedName name="ContentsHelp" localSheetId="18" hidden="1">[12]!ContentsHelp</definedName>
    <definedName name="ContentsHelp" localSheetId="11" hidden="1">[12]!ContentsHelp</definedName>
    <definedName name="ContentsHelp" localSheetId="5" hidden="1">[12]!ContentsHelp</definedName>
    <definedName name="ContentsHelp" localSheetId="3" hidden="1">[12]!ContentsHelp</definedName>
    <definedName name="ContentsHelp" localSheetId="15" hidden="1">[12]!ContentsHelp</definedName>
    <definedName name="ContentsHelp" localSheetId="21" hidden="1">[12]!ContentsHelp</definedName>
    <definedName name="ContentsHelp" localSheetId="4" hidden="1">[12]!ContentsHelp</definedName>
    <definedName name="ContentsHelp" localSheetId="26" hidden="1">[12]!ContentsHelp</definedName>
    <definedName name="ContentsHelp" localSheetId="13" hidden="1">[12]!ContentsHelp</definedName>
    <definedName name="ContentsHelp" localSheetId="24" hidden="1">[12]!ContentsHelp</definedName>
    <definedName name="ContentsHelp" localSheetId="25" hidden="1">[12]!ContentsHelp</definedName>
    <definedName name="ContentsHelp" localSheetId="20" hidden="1">[12]!ContentsHelp</definedName>
    <definedName name="ContentsHelp" localSheetId="22" hidden="1">[12]!ContentsHelp</definedName>
    <definedName name="ContentsHelp" localSheetId="9" hidden="1">[12]!ContentsHelp</definedName>
    <definedName name="ContentsHelp" localSheetId="12" hidden="1">[12]!ContentsHelp</definedName>
    <definedName name="ContentsHelp" localSheetId="27" hidden="1">[12]!ContentsHelp</definedName>
    <definedName name="ContentsHelp" localSheetId="16" hidden="1">[12]!ContentsHelp</definedName>
    <definedName name="ContentsHelp" localSheetId="1" hidden="1">[12]!ContentsHelp</definedName>
    <definedName name="ContentsHelp" localSheetId="6" hidden="1">[12]!ContentsHelp</definedName>
    <definedName name="ContentsHelp" hidden="1">[12]!ContentsHelp</definedName>
    <definedName name="CreateTable" localSheetId="17" hidden="1">[12]!CreateTable</definedName>
    <definedName name="CreateTable" localSheetId="14" hidden="1">[12]!CreateTable</definedName>
    <definedName name="CreateTable" localSheetId="10" hidden="1">[12]!CreateTable</definedName>
    <definedName name="CreateTable" localSheetId="2" hidden="1">[12]!CreateTable</definedName>
    <definedName name="CreateTable" localSheetId="23" hidden="1">[12]!CreateTable</definedName>
    <definedName name="CreateTable" localSheetId="7" hidden="1">[12]!CreateTable</definedName>
    <definedName name="CreateTable" localSheetId="8" hidden="1">[12]!CreateTable</definedName>
    <definedName name="CreateTable" localSheetId="18" hidden="1">[12]!CreateTable</definedName>
    <definedName name="CreateTable" localSheetId="11" hidden="1">[12]!CreateTable</definedName>
    <definedName name="CreateTable" localSheetId="5" hidden="1">[12]!CreateTable</definedName>
    <definedName name="CreateTable" localSheetId="3" hidden="1">[12]!CreateTable</definedName>
    <definedName name="CreateTable" localSheetId="15" hidden="1">[12]!CreateTable</definedName>
    <definedName name="CreateTable" localSheetId="21" hidden="1">[12]!CreateTable</definedName>
    <definedName name="CreateTable" localSheetId="4" hidden="1">[12]!CreateTable</definedName>
    <definedName name="CreateTable" localSheetId="26" hidden="1">[12]!CreateTable</definedName>
    <definedName name="CreateTable" localSheetId="13" hidden="1">[12]!CreateTable</definedName>
    <definedName name="CreateTable" localSheetId="24" hidden="1">[12]!CreateTable</definedName>
    <definedName name="CreateTable" localSheetId="25" hidden="1">[12]!CreateTable</definedName>
    <definedName name="CreateTable" localSheetId="20" hidden="1">[12]!CreateTable</definedName>
    <definedName name="CreateTable" localSheetId="22" hidden="1">[12]!CreateTable</definedName>
    <definedName name="CreateTable" localSheetId="9" hidden="1">[12]!CreateTable</definedName>
    <definedName name="CreateTable" localSheetId="12" hidden="1">[12]!CreateTable</definedName>
    <definedName name="CreateTable" localSheetId="27" hidden="1">[12]!CreateTable</definedName>
    <definedName name="CreateTable" localSheetId="16" hidden="1">[12]!CreateTable</definedName>
    <definedName name="CreateTable" localSheetId="1" hidden="1">[12]!CreateTable</definedName>
    <definedName name="CreateTable" localSheetId="6" hidden="1">[12]!CreateTable</definedName>
    <definedName name="CreateTable" hidden="1">[12]!CreateTable</definedName>
    <definedName name="Data.Dump" localSheetId="17" hidden="1">OFFSET([13]!Data.Top.Left,1,0)</definedName>
    <definedName name="Data.Dump" localSheetId="14" hidden="1">OFFSET([13]!Data.Top.Left,1,0)</definedName>
    <definedName name="Data.Dump" localSheetId="10" hidden="1">OFFSET([13]!Data.Top.Left,1,0)</definedName>
    <definedName name="Data.Dump" localSheetId="2" hidden="1">OFFSET([13]!Data.Top.Left,1,0)</definedName>
    <definedName name="Data.Dump" localSheetId="23" hidden="1">OFFSET([13]!Data.Top.Left,1,0)</definedName>
    <definedName name="Data.Dump" localSheetId="7" hidden="1">OFFSET([13]!Data.Top.Left,1,0)</definedName>
    <definedName name="Data.Dump" localSheetId="8" hidden="1">OFFSET([13]!Data.Top.Left,1,0)</definedName>
    <definedName name="Data.Dump" localSheetId="18" hidden="1">OFFSET([13]!Data.Top.Left,1,0)</definedName>
    <definedName name="Data.Dump" localSheetId="11" hidden="1">OFFSET([13]!Data.Top.Left,1,0)</definedName>
    <definedName name="Data.Dump" localSheetId="5" hidden="1">OFFSET([13]!Data.Top.Left,1,0)</definedName>
    <definedName name="Data.Dump" localSheetId="3" hidden="1">OFFSET([13]!Data.Top.Left,1,0)</definedName>
    <definedName name="Data.Dump" localSheetId="15" hidden="1">OFFSET([13]!Data.Top.Left,1,0)</definedName>
    <definedName name="Data.Dump" localSheetId="21" hidden="1">OFFSET([13]!Data.Top.Left,1,0)</definedName>
    <definedName name="Data.Dump" localSheetId="4" hidden="1">OFFSET([13]!Data.Top.Left,1,0)</definedName>
    <definedName name="Data.Dump" localSheetId="26" hidden="1">OFFSET([13]!Data.Top.Left,1,0)</definedName>
    <definedName name="Data.Dump" localSheetId="13" hidden="1">OFFSET([13]!Data.Top.Left,1,0)</definedName>
    <definedName name="Data.Dump" localSheetId="24" hidden="1">OFFSET([13]!Data.Top.Left,1,0)</definedName>
    <definedName name="Data.Dump" localSheetId="25" hidden="1">OFFSET([13]!Data.Top.Left,1,0)</definedName>
    <definedName name="Data.Dump" localSheetId="20" hidden="1">OFFSET([13]!Data.Top.Left,1,0)</definedName>
    <definedName name="Data.Dump" localSheetId="22" hidden="1">OFFSET([13]!Data.Top.Left,1,0)</definedName>
    <definedName name="Data.Dump" localSheetId="9" hidden="1">OFFSET([13]!Data.Top.Left,1,0)</definedName>
    <definedName name="Data.Dump" localSheetId="12" hidden="1">OFFSET([13]!Data.Top.Left,1,0)</definedName>
    <definedName name="Data.Dump" localSheetId="27" hidden="1">OFFSET([13]!Data.Top.Left,1,0)</definedName>
    <definedName name="Data.Dump" localSheetId="16" hidden="1">OFFSET([13]!Data.Top.Left,1,0)</definedName>
    <definedName name="Data.Dump" localSheetId="1" hidden="1">OFFSET([13]!Data.Top.Left,1,0)</definedName>
    <definedName name="Data.Dump" localSheetId="6" hidden="1">OFFSET([13]!Data.Top.Left,1,0)</definedName>
    <definedName name="Data.Dump" hidden="1">OFFSET([13]!Data.Top.Left,1,0)</definedName>
    <definedName name="DATA_01" localSheetId="12" hidden="1">#REF!</definedName>
    <definedName name="DATA_01" localSheetId="27" hidden="1">#REF!</definedName>
    <definedName name="DATA_01" hidden="1">#REF!</definedName>
    <definedName name="DATA_02" localSheetId="12" hidden="1">#REF!</definedName>
    <definedName name="DATA_02" localSheetId="27" hidden="1">#REF!</definedName>
    <definedName name="DATA_02" hidden="1">#REF!</definedName>
    <definedName name="DATA_03" localSheetId="12" hidden="1">#REF!</definedName>
    <definedName name="DATA_03" localSheetId="27" hidden="1">#REF!</definedName>
    <definedName name="DATA_03" hidden="1">#REF!</definedName>
    <definedName name="DATA_04" localSheetId="12" hidden="1">#REF!</definedName>
    <definedName name="DATA_04" localSheetId="27" hidden="1">#REF!</definedName>
    <definedName name="DATA_04" hidden="1">#REF!</definedName>
    <definedName name="DATA_05" localSheetId="12" hidden="1">#REF!</definedName>
    <definedName name="DATA_05" localSheetId="27" hidden="1">#REF!</definedName>
    <definedName name="DATA_05" hidden="1">#REF!</definedName>
    <definedName name="DATA_06" localSheetId="12" hidden="1">#REF!</definedName>
    <definedName name="DATA_06" localSheetId="27" hidden="1">#REF!</definedName>
    <definedName name="DATA_06" hidden="1">#REF!</definedName>
    <definedName name="DATA_07" localSheetId="12" hidden="1">#REF!</definedName>
    <definedName name="DATA_07" localSheetId="27" hidden="1">#REF!</definedName>
    <definedName name="DATA_07" hidden="1">#REF!</definedName>
    <definedName name="DATA_08" localSheetId="12" hidden="1">#REF!</definedName>
    <definedName name="DATA_08" localSheetId="27" hidden="1">#REF!</definedName>
    <definedName name="DATA_08" hidden="1">#REF!</definedName>
    <definedName name="DATA_09" localSheetId="12" hidden="1">#REF!</definedName>
    <definedName name="DATA_09" localSheetId="27" hidden="1">#REF!</definedName>
    <definedName name="DATA_09" hidden="1">#REF!</definedName>
    <definedName name="DeleteRange" localSheetId="17" hidden="1">[12]!DeleteRange</definedName>
    <definedName name="DeleteRange" localSheetId="14" hidden="1">[12]!DeleteRange</definedName>
    <definedName name="DeleteRange" localSheetId="10" hidden="1">[12]!DeleteRange</definedName>
    <definedName name="DeleteRange" localSheetId="2" hidden="1">[12]!DeleteRange</definedName>
    <definedName name="DeleteRange" localSheetId="23" hidden="1">[12]!DeleteRange</definedName>
    <definedName name="DeleteRange" localSheetId="7" hidden="1">[12]!DeleteRange</definedName>
    <definedName name="DeleteRange" localSheetId="8" hidden="1">[12]!DeleteRange</definedName>
    <definedName name="DeleteRange" localSheetId="18" hidden="1">[12]!DeleteRange</definedName>
    <definedName name="DeleteRange" localSheetId="11" hidden="1">[12]!DeleteRange</definedName>
    <definedName name="DeleteRange" localSheetId="5" hidden="1">[12]!DeleteRange</definedName>
    <definedName name="DeleteRange" localSheetId="3" hidden="1">[12]!DeleteRange</definedName>
    <definedName name="DeleteRange" localSheetId="15" hidden="1">[12]!DeleteRange</definedName>
    <definedName name="DeleteRange" localSheetId="21" hidden="1">[12]!DeleteRange</definedName>
    <definedName name="DeleteRange" localSheetId="4" hidden="1">[12]!DeleteRange</definedName>
    <definedName name="DeleteRange" localSheetId="26" hidden="1">[12]!DeleteRange</definedName>
    <definedName name="DeleteRange" localSheetId="13" hidden="1">[12]!DeleteRange</definedName>
    <definedName name="DeleteRange" localSheetId="24" hidden="1">[12]!DeleteRange</definedName>
    <definedName name="DeleteRange" localSheetId="25" hidden="1">[12]!DeleteRange</definedName>
    <definedName name="DeleteRange" localSheetId="20" hidden="1">[12]!DeleteRange</definedName>
    <definedName name="DeleteRange" localSheetId="22" hidden="1">[12]!DeleteRange</definedName>
    <definedName name="DeleteRange" localSheetId="9" hidden="1">[12]!DeleteRange</definedName>
    <definedName name="DeleteRange" localSheetId="12" hidden="1">[12]!DeleteRange</definedName>
    <definedName name="DeleteRange" localSheetId="27" hidden="1">[12]!DeleteRange</definedName>
    <definedName name="DeleteRange" localSheetId="16" hidden="1">[12]!DeleteRange</definedName>
    <definedName name="DeleteRange" localSheetId="1" hidden="1">[12]!DeleteRange</definedName>
    <definedName name="DeleteRange" localSheetId="6" hidden="1">[12]!DeleteRange</definedName>
    <definedName name="DeleteRange" hidden="1">[12]!DeleteRange</definedName>
    <definedName name="DeleteTable" localSheetId="17" hidden="1">[12]!DeleteTable</definedName>
    <definedName name="DeleteTable" localSheetId="14" hidden="1">[12]!DeleteTable</definedName>
    <definedName name="DeleteTable" localSheetId="10" hidden="1">[12]!DeleteTable</definedName>
    <definedName name="DeleteTable" localSheetId="2" hidden="1">[12]!DeleteTable</definedName>
    <definedName name="DeleteTable" localSheetId="23" hidden="1">[12]!DeleteTable</definedName>
    <definedName name="DeleteTable" localSheetId="7" hidden="1">[12]!DeleteTable</definedName>
    <definedName name="DeleteTable" localSheetId="8" hidden="1">[12]!DeleteTable</definedName>
    <definedName name="DeleteTable" localSheetId="18" hidden="1">[12]!DeleteTable</definedName>
    <definedName name="DeleteTable" localSheetId="11" hidden="1">[12]!DeleteTable</definedName>
    <definedName name="DeleteTable" localSheetId="5" hidden="1">[12]!DeleteTable</definedName>
    <definedName name="DeleteTable" localSheetId="3" hidden="1">[12]!DeleteTable</definedName>
    <definedName name="DeleteTable" localSheetId="15" hidden="1">[12]!DeleteTable</definedName>
    <definedName name="DeleteTable" localSheetId="21" hidden="1">[12]!DeleteTable</definedName>
    <definedName name="DeleteTable" localSheetId="4" hidden="1">[12]!DeleteTable</definedName>
    <definedName name="DeleteTable" localSheetId="26" hidden="1">[12]!DeleteTable</definedName>
    <definedName name="DeleteTable" localSheetId="13" hidden="1">[12]!DeleteTable</definedName>
    <definedName name="DeleteTable" localSheetId="24" hidden="1">[12]!DeleteTable</definedName>
    <definedName name="DeleteTable" localSheetId="25" hidden="1">[12]!DeleteTable</definedName>
    <definedName name="DeleteTable" localSheetId="20" hidden="1">[12]!DeleteTable</definedName>
    <definedName name="DeleteTable" localSheetId="22" hidden="1">[12]!DeleteTable</definedName>
    <definedName name="DeleteTable" localSheetId="9" hidden="1">[12]!DeleteTable</definedName>
    <definedName name="DeleteTable" localSheetId="12" hidden="1">[12]!DeleteTable</definedName>
    <definedName name="DeleteTable" localSheetId="27" hidden="1">[12]!DeleteTable</definedName>
    <definedName name="DeleteTable" localSheetId="16" hidden="1">[12]!DeleteTable</definedName>
    <definedName name="DeleteTable" localSheetId="1" hidden="1">[12]!DeleteTable</definedName>
    <definedName name="DeleteTable" localSheetId="6" hidden="1">[12]!DeleteTable</definedName>
    <definedName name="DeleteTable" hidden="1">[12]!DeleteTable</definedName>
    <definedName name="ev.Calculation" hidden="1">-4135</definedName>
    <definedName name="ev.Initialized" hidden="1">FALSE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ilterdatabase" localSheetId="12" hidden="1">'[10]#REF'!#REF!</definedName>
    <definedName name="filterdatabase" localSheetId="27" hidden="1">'[10]#REF'!#REF!</definedName>
    <definedName name="filterdatabase" hidden="1">'[10]#REF'!#REF!</definedName>
    <definedName name="hn.ModelVersion" hidden="1">1</definedName>
    <definedName name="hn.NoUpload" hidden="1">0</definedName>
    <definedName name="HTML_CodePage" hidden="1">1252</definedName>
    <definedName name="HTML_Control" localSheetId="15" hidden="1">{"'Leverage'!$B$2:$M$418"}</definedName>
    <definedName name="HTML_Control" localSheetId="26" hidden="1">{"'Leverage'!$B$2:$M$418"}</definedName>
    <definedName name="HTML_Control" localSheetId="27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IntroPrintArea" localSheetId="12" hidden="1">#REF!</definedName>
    <definedName name="IntroPrintArea" localSheetId="27" hidden="1">#REF!</definedName>
    <definedName name="IntroPrintArea" hidden="1">#REF!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"c7"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"c39"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PER_SHARE_BASIC" hidden="1">"c8869"</definedName>
    <definedName name="IQ_AFFO_PER_SHARE_DILUTED" hidden="1">"c8870"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"c16"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"c1471"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NAME_AP" hidden="1">"c8921"</definedName>
    <definedName name="IQ_ASSETS_NAME_AP_ABS" hidden="1">"c8940"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REUT" hidden="1">"c5315"</definedName>
    <definedName name="IQ_AVG_BROKER_REC_NO_THOM" hidden="1">"c5094"</definedName>
    <definedName name="IQ_AVG_BROKER_REC_REUT" hidden="1">"c3630"</definedName>
    <definedName name="IQ_AVG_BROKER_REC_THOM" hidden="1">"c3648"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"c65"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_UNUSED_UNUSED" hidden="1">"c8135"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"c88"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ACT_OR_EST_CIQ" hidden="1">"c5068"</definedName>
    <definedName name="IQ_BV_OVER_SHARES" hidden="1">"c100"</definedName>
    <definedName name="IQ_BV_SHARE" hidden="1">"c100"</definedName>
    <definedName name="IQ_BV_SHARE_ACT_OR_EST_THOM" hidden="1">"c5312"</definedName>
    <definedName name="IQ_BV_SHARE_EST" hidden="1">"c3541"</definedName>
    <definedName name="IQ_BV_SHARE_EST_THOM" hidden="1">"c4020"</definedName>
    <definedName name="IQ_BV_SHARE_HIGH_EST" hidden="1">"c3542"</definedName>
    <definedName name="IQ_BV_SHARE_HIGH_EST_THOM" hidden="1">"c4022"</definedName>
    <definedName name="IQ_BV_SHARE_LOW_EST" hidden="1">"c3543"</definedName>
    <definedName name="IQ_BV_SHARE_LOW_EST_THOM" hidden="1">"c4023"</definedName>
    <definedName name="IQ_BV_SHARE_MEDIAN_EST" hidden="1">"c3544"</definedName>
    <definedName name="IQ_BV_SHARE_MEDIAN_EST_THOM" hidden="1">"c4021"</definedName>
    <definedName name="IQ_BV_SHARE_NUM_EST" hidden="1">"c3539"</definedName>
    <definedName name="IQ_BV_SHARE_NUM_EST_THOM" hidden="1">"c4024"</definedName>
    <definedName name="IQ_BV_SHARE_STDDEV_EST" hidden="1">"c3540"</definedName>
    <definedName name="IQ_BV_SHARE_STDDEV_EST_THOM" hidden="1">"c4025"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Q_EST_REUT" hidden="1">"c6800"</definedName>
    <definedName name="IQ_CAL_Q_EST_THOM" hidden="1">"c6804"</definedName>
    <definedName name="IQ_CAL_Y" hidden="1">"c102"</definedName>
    <definedName name="IQ_CAL_Y_EST" hidden="1">"c6797"</definedName>
    <definedName name="IQ_CAL_Y_EST_CIQ" hidden="1">"c6809"</definedName>
    <definedName name="IQ_CAL_Y_EST_REUT" hidden="1">"c6801"</definedName>
    <definedName name="IQ_CAL_Y_EST_THOM" hidden="1">"c6805"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_THOM" hidden="1">"c5546"</definedName>
    <definedName name="IQ_CAPEX_BNK" hidden="1">"c110"</definedName>
    <definedName name="IQ_CAPEX_BR" hidden="1">"c111"</definedName>
    <definedName name="IQ_CAPEX_EST" hidden="1">"c3523"</definedName>
    <definedName name="IQ_CAPEX_EST_THOM" hidden="1">"c5502"</definedName>
    <definedName name="IQ_CAPEX_FIN" hidden="1">"c112"</definedName>
    <definedName name="IQ_CAPEX_HIGH_EST" hidden="1">"c3524"</definedName>
    <definedName name="IQ_CAPEX_HIGH_EST_THOM" hidden="1">"c5504"</definedName>
    <definedName name="IQ_CAPEX_INS" hidden="1">"c113"</definedName>
    <definedName name="IQ_CAPEX_LOW_EST" hidden="1">"c3525"</definedName>
    <definedName name="IQ_CAPEX_LOW_EST_THOM" hidden="1">"c5505"</definedName>
    <definedName name="IQ_CAPEX_MEDIAN_EST" hidden="1">"c3526"</definedName>
    <definedName name="IQ_CAPEX_MEDIAN_EST_THOM" hidden="1">"c5503"</definedName>
    <definedName name="IQ_CAPEX_NUM_EST" hidden="1">"c3521"</definedName>
    <definedName name="IQ_CAPEX_NUM_EST_THOM" hidden="1">"c5506"</definedName>
    <definedName name="IQ_CAPEX_STDDEV_EST" hidden="1">"c3522"</definedName>
    <definedName name="IQ_CAPEX_STDDEV_EST_THOM" hidden="1">"c5507"</definedName>
    <definedName name="IQ_CAPEX_UTI" hidden="1">"c114"</definedName>
    <definedName name="IQ_CAPITAL_LEASE" hidden="1">"c115"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"c118"</definedName>
    <definedName name="IQ_CASH_ACQUIRE_CF" hidden="1">"c1630"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IVIDENDS_NET_INCOME_FDIC" hidden="1">"c6738"</definedName>
    <definedName name="IQ_CASH_DUE_BANKS" hidden="1">"c118"</definedName>
    <definedName name="IQ_CASH_EPS_ACT_OR_EST_THOM" hidden="1">"c5646"</definedName>
    <definedName name="IQ_CASH_EPS_EST" hidden="1">"c5631"</definedName>
    <definedName name="IQ_CASH_EPS_EST_THOM" hidden="1">"c5639"</definedName>
    <definedName name="IQ_CASH_EPS_HIGH_EST" hidden="1">"c5633"</definedName>
    <definedName name="IQ_CASH_EPS_HIGH_EST_THOM" hidden="1">"c5641"</definedName>
    <definedName name="IQ_CASH_EPS_LOW_EST" hidden="1">"c5634"</definedName>
    <definedName name="IQ_CASH_EPS_LOW_EST_THOM" hidden="1">"c5642"</definedName>
    <definedName name="IQ_CASH_EPS_MEDIAN_EST" hidden="1">"c5632"</definedName>
    <definedName name="IQ_CASH_EPS_MEDIAN_EST_THOM" hidden="1">"c5640"</definedName>
    <definedName name="IQ_CASH_EPS_NUM_EST" hidden="1">"c5635"</definedName>
    <definedName name="IQ_CASH_EPS_NUM_EST_THOM" hidden="1">"c5643"</definedName>
    <definedName name="IQ_CASH_EPS_STDDEV_EST" hidden="1">"c5636"</definedName>
    <definedName name="IQ_CASH_EPS_STDDEV_EST_THOM" hidden="1">"c5644"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P" hidden="1">"c8888"</definedName>
    <definedName name="IQ_CASH_OPER_AP_ABS" hidden="1">"c8907"</definedName>
    <definedName name="IQ_CASH_OPER_NAME_AP" hidden="1">"c8926"</definedName>
    <definedName name="IQ_CASH_OPER_NAME_AP_ABS" hidden="1">"c8945"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SEGREG" hidden="1">"c123"</definedName>
    <definedName name="IQ_CASH_SHARE" hidden="1">"c1911"</definedName>
    <definedName name="IQ_CASH_ST" hidden="1">"c124"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ACT_OR_EST_THOM" hidden="1">"c5301"</definedName>
    <definedName name="IQ_CFPS_EST" hidden="1">"c1667"</definedName>
    <definedName name="IQ_CFPS_EST_THOM" hidden="1">"c4006"</definedName>
    <definedName name="IQ_CFPS_HIGH_EST" hidden="1">"c1669"</definedName>
    <definedName name="IQ_CFPS_HIGH_EST_THOM" hidden="1">"c4008"</definedName>
    <definedName name="IQ_CFPS_LOW_EST" hidden="1">"c1670"</definedName>
    <definedName name="IQ_CFPS_LOW_EST_THOM" hidden="1">"c4009"</definedName>
    <definedName name="IQ_CFPS_MEDIAN_EST" hidden="1">"c1668"</definedName>
    <definedName name="IQ_CFPS_MEDIAN_EST_THOM" hidden="1">"c4007"</definedName>
    <definedName name="IQ_CFPS_NUM_EST" hidden="1">"c1671"</definedName>
    <definedName name="IQ_CFPS_NUM_EST_THOM" hidden="1">"c4010"</definedName>
    <definedName name="IQ_CFPS_STDDEV_EST" hidden="1">"c1672"</definedName>
    <definedName name="IQ_CFPS_STDDEV_EST_THOM" hidden="1">"c4011"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_UNUSED_UNUSED" hidden="1">"c8280"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OF_FUNDING_ASSETS_FDIC" hidden="1">"c6725"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VERED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EXPOSURE" hidden="1">"c10038"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_UNUSED_UNUSED" hidden="1">"c7947"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_UNUSED_UNUSED" hidden="1">"c8167"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"c315"</definedName>
    <definedName name="IQ_DEFERRED_TAXES" hidden="1">"c147"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RIVATIVES_FDIC" hidden="1">"c6523"</definedName>
    <definedName name="IQ_DESCRIPTION_LONG" hidden="1">"c322"</definedName>
    <definedName name="IQ_DEVELOP_LAND" hidden="1">"c323"</definedName>
    <definedName name="IQ_DIFF_LASTCLOSE_TARGET_PRICE" hidden="1">"c1854"</definedName>
    <definedName name="IQ_DIFF_LASTCLOSE_TARGET_PRICE_THOM" hidden="1">"c5278"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THOM" hidden="1">"c5302"</definedName>
    <definedName name="IQ_DPS_EST" hidden="1">"c1674"</definedName>
    <definedName name="IQ_DPS_EST_THOM" hidden="1">"c4013"</definedName>
    <definedName name="IQ_DPS_HIGH_EST" hidden="1">"c1676"</definedName>
    <definedName name="IQ_DPS_HIGH_EST_THOM" hidden="1">"c4015"</definedName>
    <definedName name="IQ_DPS_LOW_EST" hidden="1">"c1677"</definedName>
    <definedName name="IQ_DPS_LOW_EST_THOM" hidden="1">"c4016"</definedName>
    <definedName name="IQ_DPS_MEDIAN_EST" hidden="1">"c1675"</definedName>
    <definedName name="IQ_DPS_MEDIAN_EST_THOM" hidden="1">"c4014"</definedName>
    <definedName name="IQ_DPS_NUM_EST" hidden="1">"c1678"</definedName>
    <definedName name="IQ_DPS_NUM_EST_THOM" hidden="1">"c4017"</definedName>
    <definedName name="IQ_DPS_STDDEV_EST" hidden="1">"c1679"</definedName>
    <definedName name="IQ_DPS_STDDEV_EST_THOM" hidden="1">"c4018"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ANNOUNCE_DATE_REUT" hidden="1">"c5314"</definedName>
    <definedName name="IQ_EARNINGS_ANNOUNCE_DATE_THOM" hidden="1">"c5093"</definedName>
    <definedName name="IQ_EARNINGS_COVERAGE_NET_CHARGE_OFFS_FDIC" hidden="1">"c6735"</definedName>
    <definedName name="IQ_EARNINGS_PERIOD_COVERED" hidden="1">"c9958"</definedName>
    <definedName name="IQ_EARNINGS_PERIOD_GROUP" hidden="1">"c9944"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THOM" hidden="1">"c5303"</definedName>
    <definedName name="IQ_EBIT_EQ_INC" hidden="1">"c3498"</definedName>
    <definedName name="IQ_EBIT_EQ_INC_EXCL_SBC" hidden="1">"c3502"</definedName>
    <definedName name="IQ_EBIT_EST" hidden="1">"c1681"</definedName>
    <definedName name="IQ_EBIT_EST_THOM" hidden="1">"c5105"</definedName>
    <definedName name="IQ_EBIT_EXCL_SBC" hidden="1">"c3082"</definedName>
    <definedName name="IQ_EBIT_GW_ACT_OR_EST" hidden="1">"c4306"</definedName>
    <definedName name="IQ_EBIT_HIGH_EST" hidden="1">"c1683"</definedName>
    <definedName name="IQ_EBIT_HIGH_EST_THOM" hidden="1">"c5107"</definedName>
    <definedName name="IQ_EBIT_INT" hidden="1">"c360"</definedName>
    <definedName name="IQ_EBIT_LOW_EST" hidden="1">"c1684"</definedName>
    <definedName name="IQ_EBIT_LOW_EST_THOM" hidden="1">"c5108"</definedName>
    <definedName name="IQ_EBIT_MARGIN" hidden="1">"c359"</definedName>
    <definedName name="IQ_EBIT_MEDIAN_EST" hidden="1">"c1682"</definedName>
    <definedName name="IQ_EBIT_MEDIAN_EST_THOM" hidden="1">"c5106"</definedName>
    <definedName name="IQ_EBIT_NUM_EST" hidden="1">"c1685"</definedName>
    <definedName name="IQ_EBIT_NUM_EST_THOM" hidden="1">"c5109"</definedName>
    <definedName name="IQ_EBIT_OVER_IE" hidden="1">"c360"</definedName>
    <definedName name="IQ_EBIT_SBC_ACT_OR_EST" hidden="1">"c4316"</definedName>
    <definedName name="IQ_EBIT_SBC_ACT_OR_EST_CIQ" hidden="1">"c4841"</definedName>
    <definedName name="IQ_EBIT_SBC_GW_ACT_OR_EST" hidden="1">"c4320"</definedName>
    <definedName name="IQ_EBIT_SBC_GW_ACT_OR_EST_CIQ" hidden="1">"c4845"</definedName>
    <definedName name="IQ_EBIT_STDDEV_EST" hidden="1">"c1686"</definedName>
    <definedName name="IQ_EBIT_STDDEV_EST_THOM" hidden="1">"c5110"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THOM" hidden="1">"c5300"</definedName>
    <definedName name="IQ_EBITDA_CAPEX_INT" hidden="1">"c368"</definedName>
    <definedName name="IQ_EBITDA_CAPEX_OVER_TOTAL_IE" hidden="1">"c368"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REUT" hidden="1">"c3640"</definedName>
    <definedName name="IQ_EBITDA_EST_THOM" hidden="1">"c3658"</definedName>
    <definedName name="IQ_EBITDA_EXCL_SBC" hidden="1">"c3081"</definedName>
    <definedName name="IQ_EBITDA_HIGH_EST" hidden="1">"c370"</definedName>
    <definedName name="IQ_EBITDA_HIGH_EST_CIQ" hidden="1">"c3624"</definedName>
    <definedName name="IQ_EBITDA_HIGH_EST_REUT" hidden="1">"c3642"</definedName>
    <definedName name="IQ_EBITDA_HIGH_EST_THOM" hidden="1">"c3660"</definedName>
    <definedName name="IQ_EBITDA_INT" hidden="1">"c373"</definedName>
    <definedName name="IQ_EBITDA_LOW_EST" hidden="1">"c371"</definedName>
    <definedName name="IQ_EBITDA_LOW_EST_CIQ" hidden="1">"c3625"</definedName>
    <definedName name="IQ_EBITDA_LOW_EST_REUT" hidden="1">"c3643"</definedName>
    <definedName name="IQ_EBITDA_LOW_EST_THOM" hidden="1">"c3661"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REUT" hidden="1">"c3641"</definedName>
    <definedName name="IQ_EBITDA_MEDIAN_EST_THOM" hidden="1">"c3659"</definedName>
    <definedName name="IQ_EBITDA_NUM_EST" hidden="1">"c374"</definedName>
    <definedName name="IQ_EBITDA_NUM_EST_CIQ" hidden="1">"c3626"</definedName>
    <definedName name="IQ_EBITDA_NUM_EST_REUT" hidden="1">"c3644"</definedName>
    <definedName name="IQ_EBITDA_NUM_EST_THOM" hidden="1">"c3662"</definedName>
    <definedName name="IQ_EBITDA_OVER_TOTAL_IE" hidden="1">"c373"</definedName>
    <definedName name="IQ_EBITDA_SBC_ACT_OR_EST" hidden="1">"c4337"</definedName>
    <definedName name="IQ_EBITDA_SBC_ACT_OR_EST_CIQ" hidden="1">"c4862"</definedName>
    <definedName name="IQ_EBITDA_STDDEV_EST" hidden="1">"c375"</definedName>
    <definedName name="IQ_EBITDA_STDDEV_EST_CIQ" hidden="1">"c3627"</definedName>
    <definedName name="IQ_EBITDA_STDDEV_EST_REUT" hidden="1">"c3645"</definedName>
    <definedName name="IQ_EBITDA_STDDEV_EST_THOM" hidden="1">"c3663"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GW_ACT_OR_EST" hidden="1">"c4354"</definedName>
    <definedName name="IQ_EBT_SBC_GW_ACT_OR_EST_CIQ" hidden="1">"c4879"</definedName>
    <definedName name="IQ_EBT_SUBTOTAL_AP" hidden="1">"c8982"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27" hidden="1">"c6927"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147" hidden="1">"c7147"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367" hidden="1">"c7367"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587" hidden="1">"c7587"</definedName>
    <definedName name="IQ_ECO_METRIC_7648_UNUSED_UNUSED_UNUSED" hidden="1">"c7648"</definedName>
    <definedName name="IQ_ECO_METRIC_7704" hidden="1">"c7704"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_UNUSED_UNUSED" hidden="1">"c8436"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NTERPRISE_VALUE" hidden="1">"c84"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THOM" hidden="1">"c5298"</definedName>
    <definedName name="IQ_EPS_AP" hidden="1">"c8880"</definedName>
    <definedName name="IQ_EPS_AP_ABS" hidden="1">"c8899"</definedName>
    <definedName name="IQ_EPS_EST" hidden="1">"c399"</definedName>
    <definedName name="IQ_EPS_EST_BOTTOM_UP" hidden="1">"c5489"</definedName>
    <definedName name="IQ_EPS_EST_BOTTOM_UP_THOM" hidden="1">"c5647"</definedName>
    <definedName name="IQ_EPS_EST_CIQ" hidden="1">"c4994"</definedName>
    <definedName name="IQ_EPS_EST_REUT" hidden="1">"c5453"</definedName>
    <definedName name="IQ_EPS_EST_THOM" hidden="1">"c5290"</definedName>
    <definedName name="IQ_EPS_GW_ACT_OR_EST" hidden="1">"c2223"</definedName>
    <definedName name="IQ_EPS_GW_ACT_OR_EST_CIQ" hidden="1">"c5066"</definedName>
    <definedName name="IQ_EPS_GW_EST" hidden="1">"c1737"</definedName>
    <definedName name="IQ_EPS_GW_EST_CIQ" hidden="1">"c4723"</definedName>
    <definedName name="IQ_EPS_GW_EST_REUT" hidden="1">"c5389"</definedName>
    <definedName name="IQ_EPS_GW_EST_THOM" hidden="1">"c5133"</definedName>
    <definedName name="IQ_EPS_GW_HIGH_EST" hidden="1">"c1739"</definedName>
    <definedName name="IQ_EPS_GW_HIGH_EST_CIQ" hidden="1">"c4725"</definedName>
    <definedName name="IQ_EPS_GW_HIGH_EST_REUT" hidden="1">"c5391"</definedName>
    <definedName name="IQ_EPS_GW_HIGH_EST_THOM" hidden="1">"c5135"</definedName>
    <definedName name="IQ_EPS_GW_LOW_EST" hidden="1">"c1740"</definedName>
    <definedName name="IQ_EPS_GW_LOW_EST_CIQ" hidden="1">"c4726"</definedName>
    <definedName name="IQ_EPS_GW_LOW_EST_REUT" hidden="1">"c5392"</definedName>
    <definedName name="IQ_EPS_GW_LOW_EST_THOM" hidden="1">"c5136"</definedName>
    <definedName name="IQ_EPS_GW_MEDIAN_EST" hidden="1">"c1738"</definedName>
    <definedName name="IQ_EPS_GW_MEDIAN_EST_CIQ" hidden="1">"c4724"</definedName>
    <definedName name="IQ_EPS_GW_MEDIAN_EST_REUT" hidden="1">"c5390"</definedName>
    <definedName name="IQ_EPS_GW_MEDIAN_EST_THOM" hidden="1">"c5134"</definedName>
    <definedName name="IQ_EPS_GW_NUM_EST" hidden="1">"c1741"</definedName>
    <definedName name="IQ_EPS_GW_NUM_EST_CIQ" hidden="1">"c4727"</definedName>
    <definedName name="IQ_EPS_GW_NUM_EST_REUT" hidden="1">"c5393"</definedName>
    <definedName name="IQ_EPS_GW_NUM_EST_THOM" hidden="1">"c5137"</definedName>
    <definedName name="IQ_EPS_GW_STDDEV_EST" hidden="1">"c1742"</definedName>
    <definedName name="IQ_EPS_GW_STDDEV_EST_CIQ" hidden="1">"c4728"</definedName>
    <definedName name="IQ_EPS_GW_STDDEV_EST_REUT" hidden="1">"c5394"</definedName>
    <definedName name="IQ_EPS_GW_STDDEV_EST_THOM" hidden="1">"c5138"</definedName>
    <definedName name="IQ_EPS_HIGH_EST" hidden="1">"c400"</definedName>
    <definedName name="IQ_EPS_HIGH_EST_CIQ" hidden="1">"c4995"</definedName>
    <definedName name="IQ_EPS_HIGH_EST_REUT" hidden="1">"c5454"</definedName>
    <definedName name="IQ_EPS_HIGH_EST_THOM" hidden="1">"c5291"</definedName>
    <definedName name="IQ_EPS_LOW_EST" hidden="1">"c401"</definedName>
    <definedName name="IQ_EPS_LOW_EST_CIQ" hidden="1">"c4996"</definedName>
    <definedName name="IQ_EPS_LOW_EST_REUT" hidden="1">"c5455"</definedName>
    <definedName name="IQ_EPS_LOW_EST_THOM" hidden="1">"c5292"</definedName>
    <definedName name="IQ_EPS_MEDIAN_EST" hidden="1">"c1661"</definedName>
    <definedName name="IQ_EPS_MEDIAN_EST_CIQ" hidden="1">"c4997"</definedName>
    <definedName name="IQ_EPS_MEDIAN_EST_REUT" hidden="1">"c5456"</definedName>
    <definedName name="IQ_EPS_MEDIAN_EST_THOM" hidden="1">"c5293"</definedName>
    <definedName name="IQ_EPS_NAME_AP" hidden="1">"c8918"</definedName>
    <definedName name="IQ_EPS_NAME_AP_ABS" hidden="1">"c8937"</definedName>
    <definedName name="IQ_EPS_NORM" hidden="1">"c1902"</definedName>
    <definedName name="IQ_EPS_NORM_EST" hidden="1">"c2226"</definedName>
    <definedName name="IQ_EPS_NORM_EST_CIQ" hidden="1">"c4667"</definedName>
    <definedName name="IQ_EPS_NORM_EST_REUT" hidden="1">"c5326"</definedName>
    <definedName name="IQ_EPS_NORM_HIGH_EST" hidden="1">"c2228"</definedName>
    <definedName name="IQ_EPS_NORM_HIGH_EST_CIQ" hidden="1">"c4669"</definedName>
    <definedName name="IQ_EPS_NORM_HIGH_EST_REUT" hidden="1">"c5328"</definedName>
    <definedName name="IQ_EPS_NORM_LOW_EST" hidden="1">"c2229"</definedName>
    <definedName name="IQ_EPS_NORM_LOW_EST_CIQ" hidden="1">"c4670"</definedName>
    <definedName name="IQ_EPS_NORM_LOW_EST_REUT" hidden="1">"c5329"</definedName>
    <definedName name="IQ_EPS_NORM_MEDIAN_EST" hidden="1">"c2227"</definedName>
    <definedName name="IQ_EPS_NORM_MEDIAN_EST_CIQ" hidden="1">"c4668"</definedName>
    <definedName name="IQ_EPS_NORM_MEDIAN_EST_REUT" hidden="1">"c5327"</definedName>
    <definedName name="IQ_EPS_NORM_NUM_EST" hidden="1">"c2230"</definedName>
    <definedName name="IQ_EPS_NORM_NUM_EST_CIQ" hidden="1">"c4671"</definedName>
    <definedName name="IQ_EPS_NORM_NUM_EST_REUT" hidden="1">"c5330"</definedName>
    <definedName name="IQ_EPS_NORM_STDDEV_EST" hidden="1">"c2231"</definedName>
    <definedName name="IQ_EPS_NORM_STDDEV_EST_CIQ" hidden="1">"c4672"</definedName>
    <definedName name="IQ_EPS_NORM_STDDEV_EST_REUT" hidden="1">"c5331"</definedName>
    <definedName name="IQ_EPS_NUM_EST" hidden="1">"c402"</definedName>
    <definedName name="IQ_EPS_NUM_EST_CIQ" hidden="1">"c4992"</definedName>
    <definedName name="IQ_EPS_NUM_EST_REUT" hidden="1">"c5451"</definedName>
    <definedName name="IQ_EPS_NUM_EST_THOM" hidden="1">"c5288"</definedName>
    <definedName name="IQ_EPS_REPORT_ACT_OR_EST" hidden="1">"c2224"</definedName>
    <definedName name="IQ_EPS_REPORT_ACT_OR_EST_CIQ" hidden="1">"c5067"</definedName>
    <definedName name="IQ_EPS_REPORT_ACT_OR_EST_THOM" hidden="1">"c5307"</definedName>
    <definedName name="IQ_EPS_REPORTED_EST" hidden="1">"c1744"</definedName>
    <definedName name="IQ_EPS_REPORTED_EST_CIQ" hidden="1">"c4730"</definedName>
    <definedName name="IQ_EPS_REPORTED_EST_REUT" hidden="1">"c5396"</definedName>
    <definedName name="IQ_EPS_REPORTED_EST_THOM" hidden="1">"c5140"</definedName>
    <definedName name="IQ_EPS_REPORTED_HIGH_EST" hidden="1">"c1746"</definedName>
    <definedName name="IQ_EPS_REPORTED_HIGH_EST_CIQ" hidden="1">"c4732"</definedName>
    <definedName name="IQ_EPS_REPORTED_HIGH_EST_REUT" hidden="1">"c5398"</definedName>
    <definedName name="IQ_EPS_REPORTED_HIGH_EST_THOM" hidden="1">"c5142"</definedName>
    <definedName name="IQ_EPS_REPORTED_LOW_EST" hidden="1">"c1747"</definedName>
    <definedName name="IQ_EPS_REPORTED_LOW_EST_CIQ" hidden="1">"c4733"</definedName>
    <definedName name="IQ_EPS_REPORTED_LOW_EST_REUT" hidden="1">"c5399"</definedName>
    <definedName name="IQ_EPS_REPORTED_LOW_EST_THOM" hidden="1">"c5143"</definedName>
    <definedName name="IQ_EPS_REPORTED_MEDIAN_EST" hidden="1">"c1745"</definedName>
    <definedName name="IQ_EPS_REPORTED_MEDIAN_EST_CIQ" hidden="1">"c4731"</definedName>
    <definedName name="IQ_EPS_REPORTED_MEDIAN_EST_REUT" hidden="1">"c5397"</definedName>
    <definedName name="IQ_EPS_REPORTED_MEDIAN_EST_THOM" hidden="1">"c5141"</definedName>
    <definedName name="IQ_EPS_REPORTED_NUM_EST" hidden="1">"c1748"</definedName>
    <definedName name="IQ_EPS_REPORTED_NUM_EST_CIQ" hidden="1">"c4734"</definedName>
    <definedName name="IQ_EPS_REPORTED_NUM_EST_REUT" hidden="1">"c5400"</definedName>
    <definedName name="IQ_EPS_REPORTED_NUM_EST_THOM" hidden="1">"c5144"</definedName>
    <definedName name="IQ_EPS_REPORTED_STDDEV_EST" hidden="1">"c1749"</definedName>
    <definedName name="IQ_EPS_REPORTED_STDDEV_EST_CIQ" hidden="1">"c4735"</definedName>
    <definedName name="IQ_EPS_REPORTED_STDDEV_EST_REUT" hidden="1">"c5401"</definedName>
    <definedName name="IQ_EPS_REPORTED_STDDEV_EST_THOM" hidden="1">"c5145"</definedName>
    <definedName name="IQ_EPS_SBC_ACT_OR_EST" hidden="1">"c4376"</definedName>
    <definedName name="IQ_EPS_SBC_ACT_OR_EST_CIQ" hidden="1">"c4901"</definedName>
    <definedName name="IQ_EPS_SBC_GW_ACT_OR_EST" hidden="1">"c4380"</definedName>
    <definedName name="IQ_EPS_SBC_GW_ACT_OR_EST_CIQ" hidden="1">"c4905"</definedName>
    <definedName name="IQ_EPS_STDDEV_EST" hidden="1">"c403"</definedName>
    <definedName name="IQ_EPS_STDDEV_EST_CIQ" hidden="1">"c4993"</definedName>
    <definedName name="IQ_EPS_STDDEV_EST_REUT" hidden="1">"c5452"</definedName>
    <definedName name="IQ_EPS_STDDEV_EST_THOM" hidden="1">"c5289"</definedName>
    <definedName name="IQ_EQUITY_AFFIL" hidden="1">"c552"</definedName>
    <definedName name="IQ_EQUITY_AP" hidden="1">"c8887"</definedName>
    <definedName name="IQ_EQUITY_AP_ABS" hidden="1">"c8906"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NAME_AP" hidden="1">"c8925"</definedName>
    <definedName name="IQ_EQUITY_NAME_AP_ABS" hidden="1">"c8944"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"c739"</definedName>
    <definedName name="IQ_ESOP_DEBT" hidden="1">"c1597"</definedName>
    <definedName name="IQ_EST_ACT_BV_SHARE" hidden="1">"c3549"</definedName>
    <definedName name="IQ_EST_ACT_BV_SHARE_THOM" hidden="1">"c4026"</definedName>
    <definedName name="IQ_EST_ACT_CAPEX" hidden="1">"c3546"</definedName>
    <definedName name="IQ_EST_ACT_CAPEX_THOM" hidden="1">"c5508"</definedName>
    <definedName name="IQ_EST_ACT_CASH_EPS" hidden="1">"c5637"</definedName>
    <definedName name="IQ_EST_ACT_CASH_EPS_THOM" hidden="1">"c5645"</definedName>
    <definedName name="IQ_EST_ACT_CFPS" hidden="1">"c1673"</definedName>
    <definedName name="IQ_EST_ACT_CFPS_THOM" hidden="1">"c4012"</definedName>
    <definedName name="IQ_EST_ACT_DPS" hidden="1">"c1680"</definedName>
    <definedName name="IQ_EST_ACT_DPS_THOM" hidden="1">"c4019"</definedName>
    <definedName name="IQ_EST_ACT_EBIT" hidden="1">"c1687"</definedName>
    <definedName name="IQ_EST_ACT_EBIT_THOM" hidden="1">"c5111"</definedName>
    <definedName name="IQ_EST_ACT_EBITDA" hidden="1">"c1664"</definedName>
    <definedName name="IQ_EST_ACT_EBITDA_THOM" hidden="1">"c3998"</definedName>
    <definedName name="IQ_EST_ACT_EPS" hidden="1">"c1648"</definedName>
    <definedName name="IQ_EST_ACT_EPS_GW" hidden="1">"c1743"</definedName>
    <definedName name="IQ_EST_ACT_EPS_GW_CIQ" hidden="1">"c4729"</definedName>
    <definedName name="IQ_EST_ACT_EPS_GW_REUT" hidden="1">"c5395"</definedName>
    <definedName name="IQ_EST_ACT_EPS_GW_THOM" hidden="1">"c5139"</definedName>
    <definedName name="IQ_EST_ACT_EPS_NORM" hidden="1">"c2232"</definedName>
    <definedName name="IQ_EST_ACT_EPS_NORM_CIQ" hidden="1">"c4673"</definedName>
    <definedName name="IQ_EST_ACT_EPS_NORM_REUT" hidden="1">"c5332"</definedName>
    <definedName name="IQ_EST_ACT_EPS_REPORTED" hidden="1">"c1750"</definedName>
    <definedName name="IQ_EST_ACT_EPS_REPORTED_CIQ" hidden="1">"c4736"</definedName>
    <definedName name="IQ_EST_ACT_EPS_REPORTED_REUT" hidden="1">"c5402"</definedName>
    <definedName name="IQ_EST_ACT_EPS_REPORTED_THOM" hidden="1">"c5146"</definedName>
    <definedName name="IQ_EST_ACT_EPS_THOM" hidden="1">"c5294"</definedName>
    <definedName name="IQ_EST_ACT_FFO" hidden="1">"c1666"</definedName>
    <definedName name="IQ_EST_ACT_FFO_THOM" hidden="1">"c4005"</definedName>
    <definedName name="IQ_EST_ACT_GROSS_MARGIN" hidden="1">"c5553"</definedName>
    <definedName name="IQ_EST_ACT_GROSS_MARGIN_THOM" hidden="1">"c5561"</definedName>
    <definedName name="IQ_EST_ACT_NAV" hidden="1">"c1757"</definedName>
    <definedName name="IQ_EST_ACT_NAV_THOM" hidden="1">"c5600"</definedName>
    <definedName name="IQ_EST_ACT_NET_DEBT" hidden="1">"c3545"</definedName>
    <definedName name="IQ_EST_ACT_NET_DEBT_THOM" hidden="1">"c4033"</definedName>
    <definedName name="IQ_EST_ACT_NI" hidden="1">"c1722"</definedName>
    <definedName name="IQ_EST_ACT_NI_GW" hidden="1">"c1729"</definedName>
    <definedName name="IQ_EST_ACT_NI_REPORTED" hidden="1">"c1736"</definedName>
    <definedName name="IQ_EST_ACT_NI_THOM" hidden="1">"c5132"</definedName>
    <definedName name="IQ_EST_ACT_OPER_INC" hidden="1">"c1694"</definedName>
    <definedName name="IQ_EST_ACT_OPER_INC_THOM" hidden="1">"c5118"</definedName>
    <definedName name="IQ_EST_ACT_PRETAX_GW_INC" hidden="1">"c1708"</definedName>
    <definedName name="IQ_EST_ACT_PRETAX_INC" hidden="1">"c1701"</definedName>
    <definedName name="IQ_EST_ACT_PRETAX_INC_THOM" hidden="1">"c5125"</definedName>
    <definedName name="IQ_EST_ACT_PRETAX_REPORT_INC" hidden="1">"c1715"</definedName>
    <definedName name="IQ_EST_ACT_RECURRING_PROFIT" hidden="1">"c4411"</definedName>
    <definedName name="IQ_EST_ACT_RETURN_ASSETS" hidden="1">"c3547"</definedName>
    <definedName name="IQ_EST_ACT_RETURN_ASSETS_THOM" hidden="1">"c4040"</definedName>
    <definedName name="IQ_EST_ACT_RETURN_EQUITY" hidden="1">"c3548"</definedName>
    <definedName name="IQ_EST_ACT_RETURN_EQUITY_THOM" hidden="1">"c5287"</definedName>
    <definedName name="IQ_EST_ACT_REV" hidden="1">"c2113"</definedName>
    <definedName name="IQ_EST_ACT_REV_THOM" hidden="1">"c3997"</definedName>
    <definedName name="IQ_EST_CAPEX_GROWTH_1YR" hidden="1">"c3588"</definedName>
    <definedName name="IQ_EST_CAPEX_GROWTH_1YR_THOM" hidden="1">"c5542"</definedName>
    <definedName name="IQ_EST_CAPEX_GROWTH_2YR" hidden="1">"c3589"</definedName>
    <definedName name="IQ_EST_CAPEX_GROWTH_2YR_THOM" hidden="1">"c5543"</definedName>
    <definedName name="IQ_EST_CAPEX_GROWTH_Q_1YR" hidden="1">"c3590"</definedName>
    <definedName name="IQ_EST_CAPEX_GROWTH_Q_1YR_THOM" hidden="1">"c5544"</definedName>
    <definedName name="IQ_EST_CAPEX_SEQ_GROWTH_Q" hidden="1">"c3591"</definedName>
    <definedName name="IQ_EST_CAPEX_SEQ_GROWTH_Q_THOM" hidden="1">"c5545"</definedName>
    <definedName name="IQ_EST_CFPS_DIFF" hidden="1">"c1871"</definedName>
    <definedName name="IQ_EST_CFPS_DIFF_THOM" hidden="1">"c5188"</definedName>
    <definedName name="IQ_EST_CFPS_GROWTH_1YR" hidden="1">"c1774"</definedName>
    <definedName name="IQ_EST_CFPS_GROWTH_1YR_THOM" hidden="1">"c5174"</definedName>
    <definedName name="IQ_EST_CFPS_GROWTH_2YR" hidden="1">"c1775"</definedName>
    <definedName name="IQ_EST_CFPS_GROWTH_2YR_THOM" hidden="1">"c5175"</definedName>
    <definedName name="IQ_EST_CFPS_GROWTH_Q_1YR" hidden="1">"c1776"</definedName>
    <definedName name="IQ_EST_CFPS_GROWTH_Q_1YR_THOM" hidden="1">"c5176"</definedName>
    <definedName name="IQ_EST_CFPS_SEQ_GROWTH_Q" hidden="1">"c1777"</definedName>
    <definedName name="IQ_EST_CFPS_SEQ_GROWTH_Q_THOM" hidden="1">"c5177"</definedName>
    <definedName name="IQ_EST_CFPS_SURPRISE_PERCENT" hidden="1">"c1872"</definedName>
    <definedName name="IQ_EST_CFPS_SURPRISE_PERCENT_THOM" hidden="1">"c5189"</definedName>
    <definedName name="IQ_EST_CURRENCY" hidden="1">"c2140"</definedName>
    <definedName name="IQ_EST_CURRENCY_CIQ" hidden="1">"c4769"</definedName>
    <definedName name="IQ_EST_CURRENCY_REUT" hidden="1">"c5437"</definedName>
    <definedName name="IQ_EST_CURRENCY_THOM" hidden="1">"c5280"</definedName>
    <definedName name="IQ_EST_DATE" hidden="1">"c1634"</definedName>
    <definedName name="IQ_EST_DATE_CIQ" hidden="1">"c4770"</definedName>
    <definedName name="IQ_EST_DATE_REUT" hidden="1">"c5438"</definedName>
    <definedName name="IQ_EST_DATE_THOM" hidden="1">"c5281"</definedName>
    <definedName name="IQ_EST_DPS_DIFF" hidden="1">"c1873"</definedName>
    <definedName name="IQ_EST_DPS_DIFF_THOM" hidden="1">"c5190"</definedName>
    <definedName name="IQ_EST_DPS_GROWTH_1YR" hidden="1">"c1778"</definedName>
    <definedName name="IQ_EST_DPS_GROWTH_1YR_THOM" hidden="1">"c5178"</definedName>
    <definedName name="IQ_EST_DPS_GROWTH_2YR" hidden="1">"c1779"</definedName>
    <definedName name="IQ_EST_DPS_GROWTH_2YR_THOM" hidden="1">"c5179"</definedName>
    <definedName name="IQ_EST_DPS_GROWTH_Q_1YR" hidden="1">"c1780"</definedName>
    <definedName name="IQ_EST_DPS_GROWTH_Q_1YR_THOM" hidden="1">"c5180"</definedName>
    <definedName name="IQ_EST_DPS_SEQ_GROWTH_Q" hidden="1">"c1781"</definedName>
    <definedName name="IQ_EST_DPS_SEQ_GROWTH_Q_THOM" hidden="1">"c5181"</definedName>
    <definedName name="IQ_EST_DPS_SURPRISE_PERCENT" hidden="1">"c1874"</definedName>
    <definedName name="IQ_EST_DPS_SURPRISE_PERCENT_THOM" hidden="1">"c5191"</definedName>
    <definedName name="IQ_EST_EBIT_DIFF" hidden="1">"c1875"</definedName>
    <definedName name="IQ_EST_EBIT_DIFF_THOM" hidden="1">"c5192"</definedName>
    <definedName name="IQ_EST_EBIT_SURPRISE_PERCENT" hidden="1">"c1876"</definedName>
    <definedName name="IQ_EST_EBIT_SURPRISE_PERCENT_THOM" hidden="1">"c5193"</definedName>
    <definedName name="IQ_EST_EBITDA_DIFF" hidden="1">"c1867"</definedName>
    <definedName name="IQ_EST_EBITDA_DIFF_THOM" hidden="1">"c5184"</definedName>
    <definedName name="IQ_EST_EBITDA_GROWTH_1YR" hidden="1">"c1766"</definedName>
    <definedName name="IQ_EST_EBITDA_GROWTH_1YR_THOM" hidden="1">"c5161"</definedName>
    <definedName name="IQ_EST_EBITDA_GROWTH_2YR" hidden="1">"c1767"</definedName>
    <definedName name="IQ_EST_EBITDA_GROWTH_2YR_THOM" hidden="1">"c5162"</definedName>
    <definedName name="IQ_EST_EBITDA_GROWTH_Q_1YR" hidden="1">"c1768"</definedName>
    <definedName name="IQ_EST_EBITDA_GROWTH_Q_1YR_THOM" hidden="1">"c5163"</definedName>
    <definedName name="IQ_EST_EBITDA_SEQ_GROWTH_Q" hidden="1">"c1769"</definedName>
    <definedName name="IQ_EST_EBITDA_SEQ_GROWTH_Q_THOM" hidden="1">"c5164"</definedName>
    <definedName name="IQ_EST_EBITDA_SURPRISE_PERCENT" hidden="1">"c1868"</definedName>
    <definedName name="IQ_EST_EBITDA_SURPRISE_PERCENT_THOM" hidden="1">"c5185"</definedName>
    <definedName name="IQ_EST_EPS_DIFF" hidden="1">"c1864"</definedName>
    <definedName name="IQ_EST_EPS_DIFF_THOM" hidden="1">"c5295"</definedName>
    <definedName name="IQ_EST_EPS_GROWTH_1YR" hidden="1">"c1636"</definedName>
    <definedName name="IQ_EST_EPS_GROWTH_1YR_CIQ" hidden="1">"c3628"</definedName>
    <definedName name="IQ_EST_EPS_GROWTH_1YR_REUT" hidden="1">"c3646"</definedName>
    <definedName name="IQ_EST_EPS_GROWTH_1YR_THOM" hidden="1">"c3664"</definedName>
    <definedName name="IQ_EST_EPS_GROWTH_2YR" hidden="1">"c1637"</definedName>
    <definedName name="IQ_EST_EPS_GROWTH_2YR_THOM" hidden="1">"c5154"</definedName>
    <definedName name="IQ_EST_EPS_GROWTH_5YR" hidden="1">"c1655"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THOM" hidden="1">"c5101"</definedName>
    <definedName name="IQ_EST_EPS_GROWTH_5YR_LOW" hidden="1">"c1658"</definedName>
    <definedName name="IQ_EST_EPS_GROWTH_5YR_LOW_CIQ" hidden="1">"c4664"</definedName>
    <definedName name="IQ_EST_EPS_GROWTH_5YR_LOW_THOM" hidden="1">"c5102"</definedName>
    <definedName name="IQ_EST_EPS_GROWTH_5YR_MEDIAN" hidden="1">"c1656"</definedName>
    <definedName name="IQ_EST_EPS_GROWTH_5YR_MEDIAN_CIQ" hidden="1">"c5480"</definedName>
    <definedName name="IQ_EST_EPS_GROWTH_5YR_MEDIAN_THOM" hidden="1">"c5100"</definedName>
    <definedName name="IQ_EST_EPS_GROWTH_5YR_NUM" hidden="1">"c1659"</definedName>
    <definedName name="IQ_EST_EPS_GROWTH_5YR_NUM_CIQ" hidden="1">"c4665"</definedName>
    <definedName name="IQ_EST_EPS_GROWTH_5YR_NUM_THOM" hidden="1">"c5103"</definedName>
    <definedName name="IQ_EST_EPS_GROWTH_5YR_REUT" hidden="1">"c3633"</definedName>
    <definedName name="IQ_EST_EPS_GROWTH_5YR_STDDEV" hidden="1">"c1660"</definedName>
    <definedName name="IQ_EST_EPS_GROWTH_5YR_STDDEV_CIQ" hidden="1">"c4666"</definedName>
    <definedName name="IQ_EST_EPS_GROWTH_5YR_STDDEV_THOM" hidden="1">"c5104"</definedName>
    <definedName name="IQ_EST_EPS_GROWTH_5YR_THOM" hidden="1">"c3651"</definedName>
    <definedName name="IQ_EST_EPS_GROWTH_Q_1YR" hidden="1">"c1641"</definedName>
    <definedName name="IQ_EST_EPS_GROWTH_Q_1YR_CIQ" hidden="1">"c4744"</definedName>
    <definedName name="IQ_EST_EPS_GROWTH_Q_1YR_REUT" hidden="1">"c5410"</definedName>
    <definedName name="IQ_EST_EPS_GROWTH_Q_1YR_THOM" hidden="1">"c5155"</definedName>
    <definedName name="IQ_EST_EPS_GW_DIFF" hidden="1">"c1891"</definedName>
    <definedName name="IQ_EST_EPS_GW_DIFF_CIQ" hidden="1">"c4761"</definedName>
    <definedName name="IQ_EST_EPS_GW_DIFF_REUT" hidden="1">"c5429"</definedName>
    <definedName name="IQ_EST_EPS_GW_DIFF_THOM" hidden="1">"c5200"</definedName>
    <definedName name="IQ_EST_EPS_GW_SURPRISE_PERCENT" hidden="1">"c1892"</definedName>
    <definedName name="IQ_EST_EPS_GW_SURPRISE_PERCENT_CIQ" hidden="1">"c4762"</definedName>
    <definedName name="IQ_EST_EPS_GW_SURPRISE_PERCENT_REUT" hidden="1">"c5430"</definedName>
    <definedName name="IQ_EST_EPS_GW_SURPRISE_PERCENT_THOM" hidden="1">"c5201"</definedName>
    <definedName name="IQ_EST_EPS_NORM_DIFF" hidden="1">"c2247"</definedName>
    <definedName name="IQ_EST_EPS_NORM_DIFF_CIQ" hidden="1">"c4745"</definedName>
    <definedName name="IQ_EST_EPS_NORM_DIFF_REUT" hidden="1">"c5411"</definedName>
    <definedName name="IQ_EST_EPS_NORM_SURPRISE_PERCENT" hidden="1">"c2248"</definedName>
    <definedName name="IQ_EST_EPS_NORM_SURPRISE_PERCENT_CIQ" hidden="1">"c4746"</definedName>
    <definedName name="IQ_EST_EPS_NORM_SURPRISE_PERCENT_REUT" hidden="1">"c5412"</definedName>
    <definedName name="IQ_EST_EPS_REPORT_DIFF" hidden="1">"c1893"</definedName>
    <definedName name="IQ_EST_EPS_REPORT_DIFF_CIQ" hidden="1">"c4763"</definedName>
    <definedName name="IQ_EST_EPS_REPORT_DIFF_REUT" hidden="1">"c5431"</definedName>
    <definedName name="IQ_EST_EPS_REPORT_DIFF_THOM" hidden="1">"c5202"</definedName>
    <definedName name="IQ_EST_EPS_REPORT_SURPRISE_PERCENT" hidden="1">"c1894"</definedName>
    <definedName name="IQ_EST_EPS_REPORT_SURPRISE_PERCENT_CIQ" hidden="1">"c4764"</definedName>
    <definedName name="IQ_EST_EPS_REPORT_SURPRISE_PERCENT_REUT" hidden="1">"c5432"</definedName>
    <definedName name="IQ_EST_EPS_REPORT_SURPRISE_PERCENT_THOM" hidden="1">"c5203"</definedName>
    <definedName name="IQ_EST_EPS_SEQ_GROWTH_Q" hidden="1">"c1764"</definedName>
    <definedName name="IQ_EST_EPS_SEQ_GROWTH_Q_THOM" hidden="1">"c5156"</definedName>
    <definedName name="IQ_EST_EPS_SURPRISE" hidden="1">"c1635"</definedName>
    <definedName name="IQ_EST_EPS_SURPRISE_PERCENT" hidden="1">"c1635"</definedName>
    <definedName name="IQ_EST_EPS_SURPRISE_PERCENT_THOM" hidden="1">"c5296"</definedName>
    <definedName name="IQ_EST_FFO_DIFF" hidden="1">"c1869"</definedName>
    <definedName name="IQ_EST_FFO_DIFF_THOM" hidden="1">"c5186"</definedName>
    <definedName name="IQ_EST_FFO_GROWTH_1YR" hidden="1">"c1770"</definedName>
    <definedName name="IQ_EST_FFO_GROWTH_1YR_THOM" hidden="1">"c5170"</definedName>
    <definedName name="IQ_EST_FFO_GROWTH_2YR" hidden="1">"c1771"</definedName>
    <definedName name="IQ_EST_FFO_GROWTH_2YR_THOM" hidden="1">"c5171"</definedName>
    <definedName name="IQ_EST_FFO_GROWTH_Q_1YR" hidden="1">"c1772"</definedName>
    <definedName name="IQ_EST_FFO_GROWTH_Q_1YR_THOM" hidden="1">"c5172"</definedName>
    <definedName name="IQ_EST_FFO_SEQ_GROWTH_Q" hidden="1">"c1773"</definedName>
    <definedName name="IQ_EST_FFO_SEQ_GROWTH_Q_THOM" hidden="1">"c5173"</definedName>
    <definedName name="IQ_EST_FFO_SURPRISE_PERCENT" hidden="1">"c1870"</definedName>
    <definedName name="IQ_EST_FFO_SURPRISE_PERCENT_THOM" hidden="1">"c5187"</definedName>
    <definedName name="IQ_EST_FOOTNOTE" hidden="1">"c4540"</definedName>
    <definedName name="IQ_EST_FOOTNOTE_THOM" hidden="1">"c5313"</definedName>
    <definedName name="IQ_EST_NAV_DIFF" hidden="1">"c1895"</definedName>
    <definedName name="IQ_EST_NAV_SURPRISE_PERCENT" hidden="1">"c1896"</definedName>
    <definedName name="IQ_EST_NI_DIFF" hidden="1">"c1885"</definedName>
    <definedName name="IQ_EST_NI_DIFF_THOM" hidden="1">"c5198"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I_SURPRISE_PERCENT_THOM" hidden="1">"c5199"</definedName>
    <definedName name="IQ_EST_NUM_BUY" hidden="1">"c1759"</definedName>
    <definedName name="IQ_EST_NUM_HIGH_REC" hidden="1">"c5649"</definedName>
    <definedName name="IQ_EST_NUM_HIGH_REC_THOM" hidden="1">"c5166"</definedName>
    <definedName name="IQ_EST_NUM_HIGHEST_REC" hidden="1">"c5648"</definedName>
    <definedName name="IQ_EST_NUM_HIGHEST_REC_THOM" hidden="1">"c5165"</definedName>
    <definedName name="IQ_EST_NUM_HOLD" hidden="1">"c1761"</definedName>
    <definedName name="IQ_EST_NUM_LOW_REC" hidden="1">"c5651"</definedName>
    <definedName name="IQ_EST_NUM_LOW_REC_THOM" hidden="1">"c5168"</definedName>
    <definedName name="IQ_EST_NUM_LOWEST_REC" hidden="1">"c5652"</definedName>
    <definedName name="IQ_EST_NUM_LOWEST_REC_THOM" hidden="1">"c5169"</definedName>
    <definedName name="IQ_EST_NUM_NEUTRAL_REC" hidden="1">"c5650"</definedName>
    <definedName name="IQ_EST_NUM_NEUTRAL_REC_THOM" hidden="1">"c5167"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DIFF_THOM" hidden="1">"c5194"</definedName>
    <definedName name="IQ_EST_OPER_INC_SURPRISE_PERCENT" hidden="1">"c1878"</definedName>
    <definedName name="IQ_EST_OPER_INC_SURPRISE_PERCENT_THOM" hidden="1">"c5195"</definedName>
    <definedName name="IQ_EST_PRE_TAX_DIFF" hidden="1">"c1879"</definedName>
    <definedName name="IQ_EST_PRE_TAX_DIFF_THOM" hidden="1">"c5196"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PRE_TAX_SURPRISE_PERCENT_THOM" hidden="1">"c5197"</definedName>
    <definedName name="IQ_EST_REV_DIFF" hidden="1">"c1865"</definedName>
    <definedName name="IQ_EST_REV_DIFF_THOM" hidden="1">"c5182"</definedName>
    <definedName name="IQ_EST_REV_GROWTH_1YR" hidden="1">"c1638"</definedName>
    <definedName name="IQ_EST_REV_GROWTH_1YR_THOM" hidden="1">"c5157"</definedName>
    <definedName name="IQ_EST_REV_GROWTH_2YR" hidden="1">"c1639"</definedName>
    <definedName name="IQ_EST_REV_GROWTH_2YR_THOM" hidden="1">"c5158"</definedName>
    <definedName name="IQ_EST_REV_GROWTH_Q_1YR" hidden="1">"c1640"</definedName>
    <definedName name="IQ_EST_REV_GROWTH_Q_1YR_THOM" hidden="1">"c5159"</definedName>
    <definedName name="IQ_EST_REV_SEQ_GROWTH_Q" hidden="1">"c1765"</definedName>
    <definedName name="IQ_EST_REV_SEQ_GROWTH_Q_THOM" hidden="1">"c5160"</definedName>
    <definedName name="IQ_EST_REV_SURPRISE_PERCENT" hidden="1">"c1866"</definedName>
    <definedName name="IQ_EST_REV_SURPRISE_PERCENT_THOM" hidden="1">"c5183"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"c406"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S_AP" hidden="1">"c8875"</definedName>
    <definedName name="IQ_EXPENSES_AP_ABS" hidden="1">"c8894"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_UNUSED_UNUSED" hidden="1">"c8401"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" hidden="1">"c11931"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" hidden="1">"c11932"</definedName>
    <definedName name="IQ_EXPORTS_GOODS_REAL_SAAR_YOY_FC_UNUSED_UNUSED_UNUSED" hidden="1">"c8292"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_UNUSED_UNUSED" hidden="1">"c7961"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_UNUSED_UNUSED" hidden="1">"c8296"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"c413"</definedName>
    <definedName name="IQ_EXTRAORDINARY_GAINS_FDIC" hidden="1">"c6586"</definedName>
    <definedName name="IQ_FAD" hidden="1">"c8757"</definedName>
    <definedName name="IQ_FAD_PAYOUT_RATIO" hidden="1">"c8872"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EST" hidden="1">"c418"</definedName>
    <definedName name="IQ_FFO_EST_THOM" hidden="1">"c3999"</definedName>
    <definedName name="IQ_FFO_HIGH_EST" hidden="1">"c419"</definedName>
    <definedName name="IQ_FFO_HIGH_EST_THOM" hidden="1">"c4001"</definedName>
    <definedName name="IQ_FFO_LOW_EST" hidden="1">"c420"</definedName>
    <definedName name="IQ_FFO_LOW_EST_THOM" hidden="1">"c4002"</definedName>
    <definedName name="IQ_FFO_MEDIAN_EST" hidden="1">"c1665"</definedName>
    <definedName name="IQ_FFO_MEDIAN_EST_THOM" hidden="1">"c4000"</definedName>
    <definedName name="IQ_FFO_NUM_EST" hidden="1">"c421"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" hidden="1">"c4446"</definedName>
    <definedName name="IQ_FFO_SHARE_ACT_OR_EST_CIQ" hidden="1">"c4971"</definedName>
    <definedName name="IQ_FFO_STDDEV_EST" hidden="1">"c422"</definedName>
    <definedName name="IQ_FFO_STDDEV_EST_THOM" hidden="1">"c4004"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"c893"</definedName>
    <definedName name="IQ_FINANCING_CASH_SUPPL" hidden="1">"c899"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Q_EST_REUT" hidden="1">"c6798"</definedName>
    <definedName name="IQ_FISCAL_Q_EST_THOM" hidden="1">"c6802"</definedName>
    <definedName name="IQ_FISCAL_Y" hidden="1">"c441"</definedName>
    <definedName name="IQ_FISCAL_Y_EST" hidden="1">"c6795"</definedName>
    <definedName name="IQ_FISCAL_Y_EST_CIQ" hidden="1">"c6807"</definedName>
    <definedName name="IQ_FISCAL_Y_EST_REUT" hidden="1">"c6799"</definedName>
    <definedName name="IQ_FISCAL_Y_EST_THOM" hidden="1">"c6803"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_UNUSED_UNUSED" hidden="1">"c8298"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"c451"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"c530"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"c192"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MARGIN_ACT_OR_EST_THOM" hidden="1">"c5562"</definedName>
    <definedName name="IQ_GROSS_MARGIN_EST" hidden="1">"c5547"</definedName>
    <definedName name="IQ_GROSS_MARGIN_EST_THOM" hidden="1">"c5555"</definedName>
    <definedName name="IQ_GROSS_MARGIN_HIGH_EST" hidden="1">"c5549"</definedName>
    <definedName name="IQ_GROSS_MARGIN_HIGH_EST_THOM" hidden="1">"c5557"</definedName>
    <definedName name="IQ_GROSS_MARGIN_LOW_EST" hidden="1">"c5550"</definedName>
    <definedName name="IQ_GROSS_MARGIN_LOW_EST_THOM" hidden="1">"c5558"</definedName>
    <definedName name="IQ_GROSS_MARGIN_MEDIAN_EST" hidden="1">"c5548"</definedName>
    <definedName name="IQ_GROSS_MARGIN_MEDIAN_EST_THOM" hidden="1">"c5556"</definedName>
    <definedName name="IQ_GROSS_MARGIN_NUM_EST" hidden="1">"c5551"</definedName>
    <definedName name="IQ_GROSS_MARGIN_NUM_EST_THOM" hidden="1">"c5559"</definedName>
    <definedName name="IQ_GROSS_MARGIN_STDDEV_EST" hidden="1">"c5552"</definedName>
    <definedName name="IQ_GROSS_MARGIN_STDDEV_EST_THOM" hidden="1">"c5560"</definedName>
    <definedName name="IQ_GROSS_PC_EARNED" hidden="1">"c2747"</definedName>
    <definedName name="IQ_GROSS_PROFIT" hidden="1">"c511"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EXP_CASINO" hidden="1">"c8733"</definedName>
    <definedName name="IQ_HG_EXP_DEVELOPMENT" hidden="1">"c8738"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INCENTIVE_MANAGEMENT_FEES" hidden="1">"c8727"</definedName>
    <definedName name="IQ_HG_REV_MANAGEMENT_FEES" hidden="1">"c8718"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PROM_COSTS" hidden="1">"c8745"</definedName>
    <definedName name="IQ_HG_ROOMS_BEG" hidden="1">"c8600"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TARGET_PRICE" hidden="1">"c1651"</definedName>
    <definedName name="IQ_HIGH_TARGET_PRICE_CIQ" hidden="1">"c4659"</definedName>
    <definedName name="IQ_HIGH_TARGET_PRICE_REUT" hidden="1">"c5317"</definedName>
    <definedName name="IQ_HIGH_TARGET_PRICE_THOM" hidden="1">"c5096"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IR_OIL" hidden="1">"c547"</definedName>
    <definedName name="IQ_IMPAIRMENT_GW" hidden="1">"c548"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_UNUSED_UNUSED" hidden="1">"c8209"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_DEPOSITS" hidden="1">"c89"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EARING_DEPOSITS" hidden="1">"c1166"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"c907"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"c751"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"c656"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CIQ" hidden="1">"c4660"</definedName>
    <definedName name="IQ_LOW_TARGET_PRICE_REUT" hidden="1">"c5318"</definedName>
    <definedName name="IQ_LOW_TARGET_PRICE_THOM" hidden="1">"c5097"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DAYS_CLAIMS_PAYABLE" hidden="1">"c9937"</definedName>
    <definedName name="IQ_MC_DAYS_CLAIMS_PAYABLE_EXCL_CAPITATION" hidden="1">"c9938"</definedName>
    <definedName name="IQ_MC_MEDICAL_COSTS_PMPM" hidden="1">"c9925"</definedName>
    <definedName name="IQ_MC_PARENT_CASH" hidden="1">"c9942"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TATUTORY_SURPLUS" hidden="1">"c2772"</definedName>
    <definedName name="IQ_MC_TOTAL_COVERED_LIVES" hidden="1">"c9919"</definedName>
    <definedName name="IQ_MC_TOTAL_MEMBERSHIP" hidden="1">"c9922"</definedName>
    <definedName name="IQ_MC_TOTAL_MEMBERSHIP_CAPITATION" hidden="1">"c9923"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REUT" hidden="1">"c5316"</definedName>
    <definedName name="IQ_MEDIAN_TARGET_PRICE_THOM" hidden="1">"c5095"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REUT" hidden="1">"c4048"</definedName>
    <definedName name="IQ_MKTCAP_TOTAL_REV_FWD_THOM" hidden="1">"c4055"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ULTIFAMILY_RESIDENTIAL_LOANS_FDIC" hidden="1">"c6311"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V_ACT_OR_EST" hidden="1">"c2225"</definedName>
    <definedName name="IQ_NAV_ACT_OR_EST_THOM" hidden="1">"c5607"</definedName>
    <definedName name="IQ_NAV_EST" hidden="1">"c1751"</definedName>
    <definedName name="IQ_NAV_EST_THOM" hidden="1">"c5601"</definedName>
    <definedName name="IQ_NAV_HIGH_EST" hidden="1">"c1753"</definedName>
    <definedName name="IQ_NAV_HIGH_EST_THOM" hidden="1">"c5604"</definedName>
    <definedName name="IQ_NAV_LOW_EST" hidden="1">"c1754"</definedName>
    <definedName name="IQ_NAV_LOW_EST_THOM" hidden="1">"c5605"</definedName>
    <definedName name="IQ_NAV_MEDIAN_EST" hidden="1">"c1752"</definedName>
    <definedName name="IQ_NAV_MEDIAN_EST_THOM" hidden="1">"c5602"</definedName>
    <definedName name="IQ_NAV_NUM_EST" hidden="1">"c1755"</definedName>
    <definedName name="IQ_NAV_NUM_EST_THOM" hidden="1">"c5606"</definedName>
    <definedName name="IQ_NAV_STDDEV_EST" hidden="1">"c1756"</definedName>
    <definedName name="IQ_NAV_STDDEV_EST_THOM" hidden="1">"c5603"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_THOM" hidden="1">"c5309"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THOM" hidden="1">"c4027"</definedName>
    <definedName name="IQ_NET_DEBT_HIGH_EST" hidden="1">"c3518"</definedName>
    <definedName name="IQ_NET_DEBT_HIGH_EST_THOM" hidden="1">"c4029"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THOM" hidden="1">"c4030"</definedName>
    <definedName name="IQ_NET_DEBT_MEDIAN_EST" hidden="1">"c3520"</definedName>
    <definedName name="IQ_NET_DEBT_MEDIAN_EST_THOM" hidden="1">"c4028"</definedName>
    <definedName name="IQ_NET_DEBT_NUM_EST" hidden="1">"c3515"</definedName>
    <definedName name="IQ_NET_DEBT_NUM_EST_THOM" hidden="1">"c4031"</definedName>
    <definedName name="IQ_NET_DEBT_STDDEV_EST" hidden="1">"c3516"</definedName>
    <definedName name="IQ_NET_DEBT_STDDEV_EST_THOM" hidden="1">"c4032"</definedName>
    <definedName name="IQ_NET_EARNED" hidden="1">"c2734"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THOM" hidden="1">"c5306"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BEFORE_CAPITALIZED" hidden="1">"c792"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EST" hidden="1">"c1716"</definedName>
    <definedName name="IQ_NI_EST_THOM" hidden="1">"c5126"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HIGH_EST_THOM" hidden="1">"c5128"</definedName>
    <definedName name="IQ_NI_LOW_EST" hidden="1">"c1719"</definedName>
    <definedName name="IQ_NI_LOW_EST_THOM" hidden="1">"c5129"</definedName>
    <definedName name="IQ_NI_MARGIN" hidden="1">"c794"</definedName>
    <definedName name="IQ_NI_MEDIAN_EST" hidden="1">"c1717"</definedName>
    <definedName name="IQ_NI_MEDIAN_EST_THOM" hidden="1">"c5127"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THOM" hidden="1">"c5130"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ACT_OR_EST_CIQ" hidden="1">"c5012"</definedName>
    <definedName name="IQ_NI_SBC_GW_ACT_OR_EST" hidden="1">"c4478"</definedName>
    <definedName name="IQ_NI_SBC_GW_ACT_OR_EST_CIQ" hidden="1">"c5016"</definedName>
    <definedName name="IQ_NI_SFAS" hidden="1">"c795"</definedName>
    <definedName name="IQ_NI_STDDEV_EST" hidden="1">"c1721"</definedName>
    <definedName name="IQ_NI_STDDEV_EST_THOM" hidden="1">"c5131"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BEARING_DEPOSITS" hidden="1">"c800"</definedName>
    <definedName name="IQ_NON_INT_EXP" hidden="1">"c801"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_UNUSED_UNUSED" hidden="1">"c8248"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"c10073"</definedName>
    <definedName name="IQ_OG_DAILY_PRDUCTION_GROWTH_GAS_EQUIVALENT" hidden="1">"c10076"</definedName>
    <definedName name="IQ_OG_DAILY_PRDUCTION_GROWTH_NGL" hidden="1">"c10074"</definedName>
    <definedName name="IQ_OG_DAILY_PRDUCTION_GROWTH_OIL" hidden="1">"c10072"</definedName>
    <definedName name="IQ_OG_DAILY_PRDUCTION_GROWTH_OIL_EQUIVALENT" hidden="1">"c10075"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TOTAL_WELLS_DRILLED" hidden="1">"c10096"</definedName>
    <definedName name="IQ_OG_GROSS_OPERATED_WELLS" hidden="1">"c10092"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"c10067"</definedName>
    <definedName name="IQ_OG_PRDUCTION_GROWTH_GAS_EQUIVALENT" hidden="1">"c10070"</definedName>
    <definedName name="IQ_OG_PRDUCTION_GROWTH_NGL" hidden="1">"c10068"</definedName>
    <definedName name="IQ_OG_PRDUCTION_GROWTH_OIL" hidden="1">"c10066"</definedName>
    <definedName name="IQ_OG_PRDUCTION_GROWTH_OIL_EQUIVALENT" hidden="1">"c10069"</definedName>
    <definedName name="IQ_OG_PRDUCTION_GROWTH_TOAL" hidden="1">"c10071"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ACT_OR_EST_THOM" hidden="1">"c5304"</definedName>
    <definedName name="IQ_OPER_INC_BR" hidden="1">"c850"</definedName>
    <definedName name="IQ_OPER_INC_EST" hidden="1">"c1688"</definedName>
    <definedName name="IQ_OPER_INC_EST_THOM" hidden="1">"c5112"</definedName>
    <definedName name="IQ_OPER_INC_FIN" hidden="1">"c851"</definedName>
    <definedName name="IQ_OPER_INC_HIGH_EST" hidden="1">"c1690"</definedName>
    <definedName name="IQ_OPER_INC_HIGH_EST_THOM" hidden="1">"c5114"</definedName>
    <definedName name="IQ_OPER_INC_INS" hidden="1">"c852"</definedName>
    <definedName name="IQ_OPER_INC_LOW_EST" hidden="1">"c1691"</definedName>
    <definedName name="IQ_OPER_INC_LOW_EST_THOM" hidden="1">"c5115"</definedName>
    <definedName name="IQ_OPER_INC_MARGIN" hidden="1">"c362"</definedName>
    <definedName name="IQ_OPER_INC_MEDIAN_EST" hidden="1">"c1689"</definedName>
    <definedName name="IQ_OPER_INC_MEDIAN_EST_THOM" hidden="1">"c5113"</definedName>
    <definedName name="IQ_OPER_INC_NUM_EST" hidden="1">"c1692"</definedName>
    <definedName name="IQ_OPER_INC_NUM_EST_THOM" hidden="1">"c5116"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THOM" hidden="1">"c5117"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DJUSTMENTS_COVERED" hidden="1">"c9961"</definedName>
    <definedName name="IQ_OTHER_ADJUSTMENTS_GROUP" hidden="1">"c9947"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"c868"</definedName>
    <definedName name="IQ_OTHER_CURRENT_LIAB" hidden="1">"c877"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PROP" hidden="1">"c8764"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ROOMS" hidden="1">"c8788"</definedName>
    <definedName name="IQ_OTHER_SAVINGS_DEPOSITS_FDIC" hidden="1">"c6554"</definedName>
    <definedName name="IQ_OTHER_SQ_FT" hidden="1">"c8780"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"c1022"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NERSHIP_INC_RE" hidden="1">"c12039"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"c8"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REUT" hidden="1">"c4049"</definedName>
    <definedName name="IQ_PE_EXCL_FWD_THOM" hidden="1">"c4056"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REUT" hidden="1">"c4052"</definedName>
    <definedName name="IQ_PEG_FWD_THOM" hidden="1">"c4059"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THOM" hidden="1">"c5269"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THOM" hidden="1">"c5270"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THOM" hidden="1">"c5266"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THOM" hidden="1">"c5267"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THOM" hidden="1">"c5268"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THOM" hidden="1">"c5264"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THOM" hidden="1">"c5265"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THOM" hidden="1">"c5277"</definedName>
    <definedName name="IQ_PERCENT_CHANGE_EST_CFPS_12MONTHS" hidden="1">"c1812"</definedName>
    <definedName name="IQ_PERCENT_CHANGE_EST_CFPS_12MONTHS_THOM" hidden="1">"c5234"</definedName>
    <definedName name="IQ_PERCENT_CHANGE_EST_CFPS_18MONTHS" hidden="1">"c1813"</definedName>
    <definedName name="IQ_PERCENT_CHANGE_EST_CFPS_18MONTHS_THOM" hidden="1">"c5235"</definedName>
    <definedName name="IQ_PERCENT_CHANGE_EST_CFPS_3MONTHS" hidden="1">"c1809"</definedName>
    <definedName name="IQ_PERCENT_CHANGE_EST_CFPS_3MONTHS_THOM" hidden="1">"c5231"</definedName>
    <definedName name="IQ_PERCENT_CHANGE_EST_CFPS_6MONTHS" hidden="1">"c1810"</definedName>
    <definedName name="IQ_PERCENT_CHANGE_EST_CFPS_6MONTHS_THOM" hidden="1">"c5232"</definedName>
    <definedName name="IQ_PERCENT_CHANGE_EST_CFPS_9MONTHS" hidden="1">"c1811"</definedName>
    <definedName name="IQ_PERCENT_CHANGE_EST_CFPS_9MONTHS_THOM" hidden="1">"c5233"</definedName>
    <definedName name="IQ_PERCENT_CHANGE_EST_CFPS_DAY" hidden="1">"c1806"</definedName>
    <definedName name="IQ_PERCENT_CHANGE_EST_CFPS_DAY_THOM" hidden="1">"c5229"</definedName>
    <definedName name="IQ_PERCENT_CHANGE_EST_CFPS_MONTH" hidden="1">"c1808"</definedName>
    <definedName name="IQ_PERCENT_CHANGE_EST_CFPS_MONTH_THOM" hidden="1">"c5230"</definedName>
    <definedName name="IQ_PERCENT_CHANGE_EST_CFPS_WEEK" hidden="1">"c1807"</definedName>
    <definedName name="IQ_PERCENT_CHANGE_EST_CFPS_WEEK_THOM" hidden="1">"c5272"</definedName>
    <definedName name="IQ_PERCENT_CHANGE_EST_DPS_12MONTHS" hidden="1">"c1820"</definedName>
    <definedName name="IQ_PERCENT_CHANGE_EST_DPS_12MONTHS_THOM" hidden="1">"c5241"</definedName>
    <definedName name="IQ_PERCENT_CHANGE_EST_DPS_18MONTHS" hidden="1">"c1821"</definedName>
    <definedName name="IQ_PERCENT_CHANGE_EST_DPS_18MONTHS_THOM" hidden="1">"c5242"</definedName>
    <definedName name="IQ_PERCENT_CHANGE_EST_DPS_3MONTHS" hidden="1">"c1817"</definedName>
    <definedName name="IQ_PERCENT_CHANGE_EST_DPS_3MONTHS_THOM" hidden="1">"c5238"</definedName>
    <definedName name="IQ_PERCENT_CHANGE_EST_DPS_6MONTHS" hidden="1">"c1818"</definedName>
    <definedName name="IQ_PERCENT_CHANGE_EST_DPS_6MONTHS_THOM" hidden="1">"c5239"</definedName>
    <definedName name="IQ_PERCENT_CHANGE_EST_DPS_9MONTHS" hidden="1">"c1819"</definedName>
    <definedName name="IQ_PERCENT_CHANGE_EST_DPS_9MONTHS_THOM" hidden="1">"c5240"</definedName>
    <definedName name="IQ_PERCENT_CHANGE_EST_DPS_DAY" hidden="1">"c1814"</definedName>
    <definedName name="IQ_PERCENT_CHANGE_EST_DPS_DAY_THOM" hidden="1">"c5236"</definedName>
    <definedName name="IQ_PERCENT_CHANGE_EST_DPS_MONTH" hidden="1">"c1816"</definedName>
    <definedName name="IQ_PERCENT_CHANGE_EST_DPS_MONTH_THOM" hidden="1">"c5237"</definedName>
    <definedName name="IQ_PERCENT_CHANGE_EST_DPS_WEEK" hidden="1">"c1815"</definedName>
    <definedName name="IQ_PERCENT_CHANGE_EST_DPS_WEEK_THOM" hidden="1">"c5273"</definedName>
    <definedName name="IQ_PERCENT_CHANGE_EST_EBITDA_12MONTHS" hidden="1">"c1804"</definedName>
    <definedName name="IQ_PERCENT_CHANGE_EST_EBITDA_12MONTHS_CIQ" hidden="1">"c3748"</definedName>
    <definedName name="IQ_PERCENT_CHANGE_EST_EBITDA_12MONTHS_THOM" hidden="1">"c5227"</definedName>
    <definedName name="IQ_PERCENT_CHANGE_EST_EBITDA_18MONTHS" hidden="1">"c1805"</definedName>
    <definedName name="IQ_PERCENT_CHANGE_EST_EBITDA_18MONTHS_CIQ" hidden="1">"c3749"</definedName>
    <definedName name="IQ_PERCENT_CHANGE_EST_EBITDA_18MONTHS_THOM" hidden="1">"c5228"</definedName>
    <definedName name="IQ_PERCENT_CHANGE_EST_EBITDA_3MONTHS" hidden="1">"c1801"</definedName>
    <definedName name="IQ_PERCENT_CHANGE_EST_EBITDA_3MONTHS_CIQ" hidden="1">"c3745"</definedName>
    <definedName name="IQ_PERCENT_CHANGE_EST_EBITDA_3MONTHS_THOM" hidden="1">"c5224"</definedName>
    <definedName name="IQ_PERCENT_CHANGE_EST_EBITDA_6MONTHS" hidden="1">"c1802"</definedName>
    <definedName name="IQ_PERCENT_CHANGE_EST_EBITDA_6MONTHS_CIQ" hidden="1">"c3746"</definedName>
    <definedName name="IQ_PERCENT_CHANGE_EST_EBITDA_6MONTHS_THOM" hidden="1">"c5225"</definedName>
    <definedName name="IQ_PERCENT_CHANGE_EST_EBITDA_9MONTHS" hidden="1">"c1803"</definedName>
    <definedName name="IQ_PERCENT_CHANGE_EST_EBITDA_9MONTHS_CIQ" hidden="1">"c3747"</definedName>
    <definedName name="IQ_PERCENT_CHANGE_EST_EBITDA_9MONTHS_THOM" hidden="1">"c5226"</definedName>
    <definedName name="IQ_PERCENT_CHANGE_EST_EBITDA_DAY" hidden="1">"c1798"</definedName>
    <definedName name="IQ_PERCENT_CHANGE_EST_EBITDA_DAY_CIQ" hidden="1">"c3743"</definedName>
    <definedName name="IQ_PERCENT_CHANGE_EST_EBITDA_DAY_THOM" hidden="1">"c5222"</definedName>
    <definedName name="IQ_PERCENT_CHANGE_EST_EBITDA_MONTH" hidden="1">"c1800"</definedName>
    <definedName name="IQ_PERCENT_CHANGE_EST_EBITDA_MONTH_CIQ" hidden="1">"c3744"</definedName>
    <definedName name="IQ_PERCENT_CHANGE_EST_EBITDA_MONTH_THOM" hidden="1">"c5223"</definedName>
    <definedName name="IQ_PERCENT_CHANGE_EST_EBITDA_WEEK" hidden="1">"c1799"</definedName>
    <definedName name="IQ_PERCENT_CHANGE_EST_EBITDA_WEEK_CIQ" hidden="1">"c3792"</definedName>
    <definedName name="IQ_PERCENT_CHANGE_EST_EBITDA_WEEK_THOM" hidden="1">"c5271"</definedName>
    <definedName name="IQ_PERCENT_CHANGE_EST_EPS_12MONTHS" hidden="1">"c1788"</definedName>
    <definedName name="IQ_PERCENT_CHANGE_EST_EPS_12MONTHS_CIQ" hidden="1">"c3733"</definedName>
    <definedName name="IQ_PERCENT_CHANGE_EST_EPS_12MONTHS_THOM" hidden="1">"c5212"</definedName>
    <definedName name="IQ_PERCENT_CHANGE_EST_EPS_18MONTHS" hidden="1">"c1789"</definedName>
    <definedName name="IQ_PERCENT_CHANGE_EST_EPS_18MONTHS_CIQ" hidden="1">"c3734"</definedName>
    <definedName name="IQ_PERCENT_CHANGE_EST_EPS_18MONTHS_THOM" hidden="1">"c5213"</definedName>
    <definedName name="IQ_PERCENT_CHANGE_EST_EPS_3MONTHS" hidden="1">"c1785"</definedName>
    <definedName name="IQ_PERCENT_CHANGE_EST_EPS_3MONTHS_CIQ" hidden="1">"c3730"</definedName>
    <definedName name="IQ_PERCENT_CHANGE_EST_EPS_3MONTHS_THOM" hidden="1">"c5209"</definedName>
    <definedName name="IQ_PERCENT_CHANGE_EST_EPS_6MONTHS" hidden="1">"c1786"</definedName>
    <definedName name="IQ_PERCENT_CHANGE_EST_EPS_6MONTHS_CIQ" hidden="1">"c3731"</definedName>
    <definedName name="IQ_PERCENT_CHANGE_EST_EPS_6MONTHS_THOM" hidden="1">"c5210"</definedName>
    <definedName name="IQ_PERCENT_CHANGE_EST_EPS_9MONTHS" hidden="1">"c1787"</definedName>
    <definedName name="IQ_PERCENT_CHANGE_EST_EPS_9MONTHS_CIQ" hidden="1">"c3732"</definedName>
    <definedName name="IQ_PERCENT_CHANGE_EST_EPS_9MONTHS_THOM" hidden="1">"c5211"</definedName>
    <definedName name="IQ_PERCENT_CHANGE_EST_EPS_DAY" hidden="1">"c1782"</definedName>
    <definedName name="IQ_PERCENT_CHANGE_EST_EPS_DAY_CIQ" hidden="1">"c3727"</definedName>
    <definedName name="IQ_PERCENT_CHANGE_EST_EPS_DAY_THOM" hidden="1">"c5206"</definedName>
    <definedName name="IQ_PERCENT_CHANGE_EST_EPS_MONTH" hidden="1">"c1784"</definedName>
    <definedName name="IQ_PERCENT_CHANGE_EST_EPS_MONTH_CIQ" hidden="1">"c3729"</definedName>
    <definedName name="IQ_PERCENT_CHANGE_EST_EPS_MONTH_THOM" hidden="1">"c5208"</definedName>
    <definedName name="IQ_PERCENT_CHANGE_EST_EPS_WEEK" hidden="1">"c1783"</definedName>
    <definedName name="IQ_PERCENT_CHANGE_EST_EPS_WEEK_CIQ" hidden="1">"c3728"</definedName>
    <definedName name="IQ_PERCENT_CHANGE_EST_EPS_WEEK_THOM" hidden="1">"c5207"</definedName>
    <definedName name="IQ_PERCENT_CHANGE_EST_FFO_12MONTHS" hidden="1">"c1828"</definedName>
    <definedName name="IQ_PERCENT_CHANGE_EST_FFO_12MONTHS_THOM" hidden="1">"c5248"</definedName>
    <definedName name="IQ_PERCENT_CHANGE_EST_FFO_18MONTHS" hidden="1">"c1829"</definedName>
    <definedName name="IQ_PERCENT_CHANGE_EST_FFO_18MONTHS_THOM" hidden="1">"c5249"</definedName>
    <definedName name="IQ_PERCENT_CHANGE_EST_FFO_3MONTHS" hidden="1">"c1825"</definedName>
    <definedName name="IQ_PERCENT_CHANGE_EST_FFO_3MONTHS_THOM" hidden="1">"c5245"</definedName>
    <definedName name="IQ_PERCENT_CHANGE_EST_FFO_6MONTHS" hidden="1">"c1826"</definedName>
    <definedName name="IQ_PERCENT_CHANGE_EST_FFO_6MONTHS_THOM" hidden="1">"c5246"</definedName>
    <definedName name="IQ_PERCENT_CHANGE_EST_FFO_9MONTHS" hidden="1">"c1827"</definedName>
    <definedName name="IQ_PERCENT_CHANGE_EST_FFO_9MONTHS_THOM" hidden="1">"c5247"</definedName>
    <definedName name="IQ_PERCENT_CHANGE_EST_FFO_DAY" hidden="1">"c1822"</definedName>
    <definedName name="IQ_PERCENT_CHANGE_EST_FFO_DAY_THOM" hidden="1">"c5243"</definedName>
    <definedName name="IQ_PERCENT_CHANGE_EST_FFO_MONTH" hidden="1">"c1824"</definedName>
    <definedName name="IQ_PERCENT_CHANGE_EST_FFO_MONTH_THOM" hidden="1">"c5244"</definedName>
    <definedName name="IQ_PERCENT_CHANGE_EST_FFO_WEEK" hidden="1">"c1823"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THOM" hidden="1">"c5262"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THOM" hidden="1">"c5263"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THOM" hidden="1">"c5259"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THOM" hidden="1">"c5260"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THOM" hidden="1">"c5261"</definedName>
    <definedName name="IQ_PERCENT_CHANGE_EST_PRICE_TARGET_DAY" hidden="1">"c1838"</definedName>
    <definedName name="IQ_PERCENT_CHANGE_EST_PRICE_TARGET_DAY_CIQ" hidden="1">"c3778"</definedName>
    <definedName name="IQ_PERCENT_CHANGE_EST_PRICE_TARGET_DAY_THOM" hidden="1">"c5257"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THOM" hidden="1">"c5258"</definedName>
    <definedName name="IQ_PERCENT_CHANGE_EST_PRICE_TARGET_WEEK" hidden="1">"c1839"</definedName>
    <definedName name="IQ_PERCENT_CHANGE_EST_PRICE_TARGET_WEEK_CIQ" hidden="1">"c3798"</definedName>
    <definedName name="IQ_PERCENT_CHANGE_EST_PRICE_TARGET_WEEK_THOM" hidden="1">"c5276"</definedName>
    <definedName name="IQ_PERCENT_CHANGE_EST_RECO_12MONTHS" hidden="1">"c1836"</definedName>
    <definedName name="IQ_PERCENT_CHANGE_EST_RECO_12MONTHS_CIQ" hidden="1">"c3776"</definedName>
    <definedName name="IQ_PERCENT_CHANGE_EST_RECO_12MONTHS_THOM" hidden="1">"c5255"</definedName>
    <definedName name="IQ_PERCENT_CHANGE_EST_RECO_18MONTHS" hidden="1">"c1837"</definedName>
    <definedName name="IQ_PERCENT_CHANGE_EST_RECO_18MONTHS_CIQ" hidden="1">"c3777"</definedName>
    <definedName name="IQ_PERCENT_CHANGE_EST_RECO_18MONTHS_THOM" hidden="1">"c5256"</definedName>
    <definedName name="IQ_PERCENT_CHANGE_EST_RECO_3MONTHS" hidden="1">"c1833"</definedName>
    <definedName name="IQ_PERCENT_CHANGE_EST_RECO_3MONTHS_CIQ" hidden="1">"c3773"</definedName>
    <definedName name="IQ_PERCENT_CHANGE_EST_RECO_3MONTHS_THOM" hidden="1">"c5252"</definedName>
    <definedName name="IQ_PERCENT_CHANGE_EST_RECO_6MONTHS" hidden="1">"c1834"</definedName>
    <definedName name="IQ_PERCENT_CHANGE_EST_RECO_6MONTHS_CIQ" hidden="1">"c3774"</definedName>
    <definedName name="IQ_PERCENT_CHANGE_EST_RECO_6MONTHS_THOM" hidden="1">"c5253"</definedName>
    <definedName name="IQ_PERCENT_CHANGE_EST_RECO_9MONTHS" hidden="1">"c1835"</definedName>
    <definedName name="IQ_PERCENT_CHANGE_EST_RECO_9MONTHS_CIQ" hidden="1">"c3775"</definedName>
    <definedName name="IQ_PERCENT_CHANGE_EST_RECO_9MONTHS_THOM" hidden="1">"c5254"</definedName>
    <definedName name="IQ_PERCENT_CHANGE_EST_RECO_DAY" hidden="1">"c1830"</definedName>
    <definedName name="IQ_PERCENT_CHANGE_EST_RECO_DAY_CIQ" hidden="1">"c3771"</definedName>
    <definedName name="IQ_PERCENT_CHANGE_EST_RECO_DAY_THOM" hidden="1">"c5250"</definedName>
    <definedName name="IQ_PERCENT_CHANGE_EST_RECO_MONTH" hidden="1">"c1832"</definedName>
    <definedName name="IQ_PERCENT_CHANGE_EST_RECO_MONTH_CIQ" hidden="1">"c3772"</definedName>
    <definedName name="IQ_PERCENT_CHANGE_EST_RECO_MONTH_THOM" hidden="1">"c5251"</definedName>
    <definedName name="IQ_PERCENT_CHANGE_EST_RECO_WEEK" hidden="1">"c1831"</definedName>
    <definedName name="IQ_PERCENT_CHANGE_EST_RECO_WEEK_CIQ" hidden="1">"c3796"</definedName>
    <definedName name="IQ_PERCENT_CHANGE_EST_RECO_WEEK_THOM" hidden="1">"c5275"</definedName>
    <definedName name="IQ_PERCENT_CHANGE_EST_REV_12MONTHS" hidden="1">"c1796"</definedName>
    <definedName name="IQ_PERCENT_CHANGE_EST_REV_12MONTHS_CIQ" hidden="1">"c3741"</definedName>
    <definedName name="IQ_PERCENT_CHANGE_EST_REV_12MONTHS_THOM" hidden="1">"c5220"</definedName>
    <definedName name="IQ_PERCENT_CHANGE_EST_REV_18MONTHS" hidden="1">"c1797"</definedName>
    <definedName name="IQ_PERCENT_CHANGE_EST_REV_18MONTHS_CIQ" hidden="1">"c3742"</definedName>
    <definedName name="IQ_PERCENT_CHANGE_EST_REV_18MONTHS_THOM" hidden="1">"c5221"</definedName>
    <definedName name="IQ_PERCENT_CHANGE_EST_REV_3MONTHS" hidden="1">"c1793"</definedName>
    <definedName name="IQ_PERCENT_CHANGE_EST_REV_3MONTHS_CIQ" hidden="1">"c3738"</definedName>
    <definedName name="IQ_PERCENT_CHANGE_EST_REV_3MONTHS_THOM" hidden="1">"c5217"</definedName>
    <definedName name="IQ_PERCENT_CHANGE_EST_REV_6MONTHS" hidden="1">"c1794"</definedName>
    <definedName name="IQ_PERCENT_CHANGE_EST_REV_6MONTHS_CIQ" hidden="1">"c3739"</definedName>
    <definedName name="IQ_PERCENT_CHANGE_EST_REV_6MONTHS_THOM" hidden="1">"c5218"</definedName>
    <definedName name="IQ_PERCENT_CHANGE_EST_REV_9MONTHS" hidden="1">"c1795"</definedName>
    <definedName name="IQ_PERCENT_CHANGE_EST_REV_9MONTHS_CIQ" hidden="1">"c3740"</definedName>
    <definedName name="IQ_PERCENT_CHANGE_EST_REV_9MONTHS_THOM" hidden="1">"c5219"</definedName>
    <definedName name="IQ_PERCENT_CHANGE_EST_REV_DAY" hidden="1">"c1790"</definedName>
    <definedName name="IQ_PERCENT_CHANGE_EST_REV_DAY_CIQ" hidden="1">"c3735"</definedName>
    <definedName name="IQ_PERCENT_CHANGE_EST_REV_DAY_THOM" hidden="1">"c5214"</definedName>
    <definedName name="IQ_PERCENT_CHANGE_EST_REV_MONTH" hidden="1">"c1792"</definedName>
    <definedName name="IQ_PERCENT_CHANGE_EST_REV_MONTH_CIQ" hidden="1">"c3737"</definedName>
    <definedName name="IQ_PERCENT_CHANGE_EST_REV_MONTH_THOM" hidden="1">"c5216"</definedName>
    <definedName name="IQ_PERCENT_CHANGE_EST_REV_WEEK" hidden="1">"c1791"</definedName>
    <definedName name="IQ_PERCENT_CHANGE_EST_REV_WEEK_CIQ" hidden="1">"c3736"</definedName>
    <definedName name="IQ_PERCENT_CHANGE_EST_REV_WEEK_THOM" hidden="1">"c5215"</definedName>
    <definedName name="IQ_PERCENT_INSURED_FDIC" hidden="1">"c6374"</definedName>
    <definedName name="IQ_PERIODDATE" hidden="1">"c1034"</definedName>
    <definedName name="IQ_PERIODDATE_AP" hidden="1">"c11745"</definedName>
    <definedName name="IQ_PERIODDATE_BS" hidden="1">"c1032"</definedName>
    <definedName name="IQ_PERIODDATE_CF" hidden="1">"c1033"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"c10027"</definedName>
    <definedName name="IQ_PHARMBIO_NUMBER_PROD__CLINICAL_DEV" hidden="1">"c10022"</definedName>
    <definedName name="IQ_PHARMBIO_NUMBER_PROD__LAUNCHED_DURING_PERIOD" hidden="1">"c10028"</definedName>
    <definedName name="IQ_PHARMBIO_NUMBER_PROD__PHASE_I" hidden="1">"c10023"</definedName>
    <definedName name="IQ_PHARMBIO_NUMBER_PROD__PHASE_II" hidden="1">"c10024"</definedName>
    <definedName name="IQ_PHARMBIO_NUMBER_PROD__PHASE_III" hidden="1">"c10025"</definedName>
    <definedName name="IQ_PHARMBIO_NUMBER_PROD__PRE_CLINICAL_TRIALS" hidden="1">"c10021"</definedName>
    <definedName name="IQ_PHARMBIO_NUMBER_PROD__PRE_REGISTRATION" hidden="1">"c10026"</definedName>
    <definedName name="IQ_PHARMBIO_NUMBER_PROD__RESEARCH_DEV" hidden="1">"c10020"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THOM" hidden="1">"c5279"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THOM" hidden="1">"c5305"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"c1068"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EST_THOM" hidden="1">"c5119"</definedName>
    <definedName name="IQ_PRETAX_INC_HIGH_EST" hidden="1">"c1697"</definedName>
    <definedName name="IQ_PRETAX_INC_HIGH_EST_THOM" hidden="1">"c5121"</definedName>
    <definedName name="IQ_PRETAX_INC_LOW_EST" hidden="1">"c1698"</definedName>
    <definedName name="IQ_PRETAX_INC_LOW_EST_THOM" hidden="1">"c5122"</definedName>
    <definedName name="IQ_PRETAX_INC_MEDIAN_EST" hidden="1">"c1696"</definedName>
    <definedName name="IQ_PRETAX_INC_MEDIAN_EST_THOM" hidden="1">"c5120"</definedName>
    <definedName name="IQ_PRETAX_INC_NUM_EST" hidden="1">"c1699"</definedName>
    <definedName name="IQ_PRETAX_INC_NUM_EST_THOM" hidden="1">"c5123"</definedName>
    <definedName name="IQ_PRETAX_INC_STDDEV_EST" hidden="1">"c1700"</definedName>
    <definedName name="IQ_PRETAX_INC_STDDEV_EST_THOM" hidden="1">"c5124"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ETAX_RETURN_ASSETS_FDIC" hidden="1">"c6731"</definedName>
    <definedName name="IQ_PRICE_CFPS_FWD" hidden="1">"c2237"</definedName>
    <definedName name="IQ_PRICE_CFPS_FWD_THOM" hidden="1">"c4060"</definedName>
    <definedName name="IQ_PRICE_OVER_BVPS" hidden="1">"c1026"</definedName>
    <definedName name="IQ_PRICE_OVER_LTM_EPS" hidden="1">"c1029"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CIQ" hidden="1">"c3613"</definedName>
    <definedName name="IQ_PRICE_TARGET_REUT" hidden="1">"c3631"</definedName>
    <definedName name="IQ_PRICE_TARGET_THOM" hidden="1">"c3649"</definedName>
    <definedName name="IQ_PRICEDATE" hidden="1">"c1069"</definedName>
    <definedName name="IQ_PRICING_DATE" hidden="1">"c1613"</definedName>
    <definedName name="IQ_PRIMARY_EPS_TYPE" hidden="1">"c4498"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FESSIONAL" hidden="1">"c1071"</definedName>
    <definedName name="IQ_PROFESSIONAL_TITLE" hidden="1">"c1072"</definedName>
    <definedName name="IQ_PROFIT_AFTER_COST_CAPITAL_NEW_BUSINESS" hidden="1">"c9969"</definedName>
    <definedName name="IQ_PROFIT_BEFORE_COST_CAPITAL_NEW_BUSINESS" hidden="1">"c9967"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DEPR_AMORT" hidden="1">"c8750"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GAIN_LOSS_SALE_ASSETS" hidden="1">"c8751"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ACT_OR_EST_CIQ" hidden="1">"c5045"</definedName>
    <definedName name="IQ_RECURRING_PROFIT_SHARE_ACT_OR_EST" hidden="1">"c4508"</definedName>
    <definedName name="IQ_RECURRING_PROFIT_SHARE_ACT_OR_EST_CIQ" hidden="1">"c5046"</definedName>
    <definedName name="IQ_REDEEM_PREF_STOCK" hidden="1">"c1059"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"c1090"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NED_EARN" hidden="1">"c1092"</definedName>
    <definedName name="IQ_RETAINED_EARNINGS_AVERAGE_EQUITY_FDIC" hidden="1">"c6733"</definedName>
    <definedName name="IQ_RETURN_ASSETS" hidden="1">"c1113"</definedName>
    <definedName name="IQ_RETURN_ASSETS_ACT_OR_EST_THOM" hidden="1">"c5310"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THOM" hidden="1">"c4034"</definedName>
    <definedName name="IQ_RETURN_ASSETS_FDIC" hidden="1">"c6730"</definedName>
    <definedName name="IQ_RETURN_ASSETS_FS" hidden="1">"c1116"</definedName>
    <definedName name="IQ_RETURN_ASSETS_HIGH_EST" hidden="1">"c3530"</definedName>
    <definedName name="IQ_RETURN_ASSETS_HIGH_EST_THOM" hidden="1">"c4036"</definedName>
    <definedName name="IQ_RETURN_ASSETS_LOW_EST" hidden="1">"c3531"</definedName>
    <definedName name="IQ_RETURN_ASSETS_LOW_EST_THOM" hidden="1">"c4037"</definedName>
    <definedName name="IQ_RETURN_ASSETS_MEDIAN_EST" hidden="1">"c3532"</definedName>
    <definedName name="IQ_RETURN_ASSETS_MEDIAN_EST_THOM" hidden="1">"c4035"</definedName>
    <definedName name="IQ_RETURN_ASSETS_NUM_EST" hidden="1">"c3527"</definedName>
    <definedName name="IQ_RETURN_ASSETS_NUM_EST_THOM" hidden="1">"c4038"</definedName>
    <definedName name="IQ_RETURN_ASSETS_STDDEV_EST" hidden="1">"c3528"</definedName>
    <definedName name="IQ_RETURN_ASSETS_STDDEV_EST_THOM" hidden="1">"c4039"</definedName>
    <definedName name="IQ_RETURN_CAPITAL" hidden="1">"c1117"</definedName>
    <definedName name="IQ_RETURN_EMBEDDED_VALUE" hidden="1">"c9974"</definedName>
    <definedName name="IQ_RETURN_EQUITY" hidden="1">"c1118"</definedName>
    <definedName name="IQ_RETURN_EQUITY_ACT_OR_EST_THOM" hidden="1">"c5311"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THOM" hidden="1">"c5479"</definedName>
    <definedName name="IQ_RETURN_EQUITY_FDIC" hidden="1">"c6732"</definedName>
    <definedName name="IQ_RETURN_EQUITY_FS" hidden="1">"c1121"</definedName>
    <definedName name="IQ_RETURN_EQUITY_HIGH_EST" hidden="1">"c3536"</definedName>
    <definedName name="IQ_RETURN_EQUITY_HIGH_EST_THOM" hidden="1">"c5283"</definedName>
    <definedName name="IQ_RETURN_EQUITY_LOW_EST" hidden="1">"c3537"</definedName>
    <definedName name="IQ_RETURN_EQUITY_LOW_EST_THOM" hidden="1">"c5284"</definedName>
    <definedName name="IQ_RETURN_EQUITY_MEDIAN_EST" hidden="1">"c3538"</definedName>
    <definedName name="IQ_RETURN_EQUITY_MEDIAN_EST_THOM" hidden="1">"c5282"</definedName>
    <definedName name="IQ_RETURN_EQUITY_NUM_EST" hidden="1">"c3533"</definedName>
    <definedName name="IQ_RETURN_EQUITY_NUM_EST_THOM" hidden="1">"c5285"</definedName>
    <definedName name="IQ_RETURN_EQUITY_STDDEV_EST" hidden="1">"c3534"</definedName>
    <definedName name="IQ_RETURN_EQUITY_STDDEV_EST_THOM" hidden="1">"c5286"</definedName>
    <definedName name="IQ_RETURN_INVESTMENT" hidden="1">"c1117"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REUT" hidden="1">"c3639"</definedName>
    <definedName name="IQ_REV_STDDEV_EST_THOM" hidden="1">"c3657"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"c1122"</definedName>
    <definedName name="IQ_REVENUE_ACT_OR_EST" hidden="1">"c2214"</definedName>
    <definedName name="IQ_REVENUE_ACT_OR_EST_CIQ" hidden="1">"c5059"</definedName>
    <definedName name="IQ_REVENUE_ACT_OR_EST_THOM" hidden="1">"c5299"</definedName>
    <definedName name="IQ_REVENUE_EST" hidden="1">"c1126"</definedName>
    <definedName name="IQ_REVENUE_EST_CIQ" hidden="1">"c3616"</definedName>
    <definedName name="IQ_REVENUE_EST_REUT" hidden="1">"c3634"</definedName>
    <definedName name="IQ_REVENUE_EST_THOM" hidden="1">"c3652"</definedName>
    <definedName name="IQ_REVENUE_HIGH_EST" hidden="1">"c1127"</definedName>
    <definedName name="IQ_REVENUE_HIGH_EST_CIQ" hidden="1">"c3618"</definedName>
    <definedName name="IQ_REVENUE_HIGH_EST_REUT" hidden="1">"c3636"</definedName>
    <definedName name="IQ_REVENUE_HIGH_EST_THOM" hidden="1">"c3654"</definedName>
    <definedName name="IQ_REVENUE_LOW_EST" hidden="1">"c1128"</definedName>
    <definedName name="IQ_REVENUE_LOW_EST_CIQ" hidden="1">"c3619"</definedName>
    <definedName name="IQ_REVENUE_LOW_EST_REUT" hidden="1">"c3637"</definedName>
    <definedName name="IQ_REVENUE_LOW_EST_THOM" hidden="1">"c3655"</definedName>
    <definedName name="IQ_REVENUE_MEDIAN_EST" hidden="1">"c1662"</definedName>
    <definedName name="IQ_REVENUE_MEDIAN_EST_CIQ" hidden="1">"c3617"</definedName>
    <definedName name="IQ_REVENUE_MEDIAN_EST_REUT" hidden="1">"c3635"</definedName>
    <definedName name="IQ_REVENUE_MEDIAN_EST_THOM" hidden="1">"c3653"</definedName>
    <definedName name="IQ_REVENUE_NUM_EST" hidden="1">"c1129"</definedName>
    <definedName name="IQ_REVENUE_NUM_EST_CIQ" hidden="1">"c3620"</definedName>
    <definedName name="IQ_REVENUE_NUM_EST_REUT" hidden="1">"c3638"</definedName>
    <definedName name="IQ_REVENUE_NUM_EST_THOM" hidden="1">"c3656"</definedName>
    <definedName name="IQ_REVISION_DATE_" hidden="1">39716.5566898148</definedName>
    <definedName name="IQ_Revision_Date_guess" hidden="1">38978.3778356481</definedName>
    <definedName name="IQ_RISK_ADJ_BANK_ASSETS" hidden="1">"c2670"</definedName>
    <definedName name="IQ_RISK_WEIGHTED_ASSETS_FDIC" hidden="1">"c6370"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"c83"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NUM" hidden="1">"c1653"</definedName>
    <definedName name="IQ_TARGET_PRICE_NUM_CIQ" hidden="1">"c4661"</definedName>
    <definedName name="IQ_TARGET_PRICE_NUM_REUT" hidden="1">"c5319"</definedName>
    <definedName name="IQ_TARGET_PRICE_NUM_THOM" hidden="1">"c5098"</definedName>
    <definedName name="IQ_TARGET_PRICE_STDDEV" hidden="1">"c1654"</definedName>
    <definedName name="IQ_TARGET_PRICE_STDDEV_CIQ" hidden="1">"c4662"</definedName>
    <definedName name="IQ_TARGET_PRICE_STDDEV_REUT" hidden="1">"c5320"</definedName>
    <definedName name="IQ_TARGET_PRICE_STDDEV_THOM" hidden="1">"c5099"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THOM" hidden="1">"c4061"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BITDA_FWD_REUT" hidden="1">"c4050"</definedName>
    <definedName name="IQ_TEV_EBITDA_FWD_THOM" hidden="1">"c4057"</definedName>
    <definedName name="IQ_TEV_EMPLOYEE_AVG" hidden="1">"c1225"</definedName>
    <definedName name="IQ_TEV_EST" hidden="1">"c4526"</definedName>
    <definedName name="IQ_TEV_EST_THOM" hidden="1">"c5529"</definedName>
    <definedName name="IQ_TEV_HIGH_EST" hidden="1">"c4527"</definedName>
    <definedName name="IQ_TEV_HIGH_EST_THOM" hidden="1">"c5530"</definedName>
    <definedName name="IQ_TEV_LOW_EST" hidden="1">"c4528"</definedName>
    <definedName name="IQ_TEV_LOW_EST_THOM" hidden="1">"c5531"</definedName>
    <definedName name="IQ_TEV_MEDIAN_EST" hidden="1">"c4529"</definedName>
    <definedName name="IQ_TEV_MEDIAN_EST_THOM" hidden="1">"c5532"</definedName>
    <definedName name="IQ_TEV_NUM_EST" hidden="1">"c4530"</definedName>
    <definedName name="IQ_TEV_NUM_EST_THOM" hidden="1">"c5533"</definedName>
    <definedName name="IQ_TEV_STDDEV_EST" hidden="1">"c4531"</definedName>
    <definedName name="IQ_TEV_STDDEV_EST_THOM" hidden="1">"c5534"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REUT" hidden="1">"c4051"</definedName>
    <definedName name="IQ_TEV_TOTAL_REV_FWD_THOM" hidden="1">"c4058"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NON_CURRENT" hidden="1">"c6191"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"c1522"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SUBTOTAL_AP" hidden="1">"c8989"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"c1294"</definedName>
    <definedName name="IQ_TOTAL_RISK_BASED_CAPITAL_RATIO_FDIC" hidden="1">"c6747"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"c1177"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"c40"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EASURY_STOCK_TRANSACTIONS_FDIC" hidden="1">"c6501"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CONSOL_BEDS" hidden="1">"c8783"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K2_WBEVMODE" hidden="1">-1</definedName>
    <definedName name="limcount" hidden="1">2</definedName>
    <definedName name="ListOffset" hidden="1">1</definedName>
    <definedName name="M_PlaceofPath" hidden="1">"g:\blabla"</definedName>
    <definedName name="MerrillPrintIt" localSheetId="17" hidden="1">[12]!MerrillPrintIt</definedName>
    <definedName name="MerrillPrintIt" localSheetId="14" hidden="1">[12]!MerrillPrintIt</definedName>
    <definedName name="MerrillPrintIt" localSheetId="10" hidden="1">[12]!MerrillPrintIt</definedName>
    <definedName name="MerrillPrintIt" localSheetId="2" hidden="1">[12]!MerrillPrintIt</definedName>
    <definedName name="MerrillPrintIt" localSheetId="23" hidden="1">[12]!MerrillPrintIt</definedName>
    <definedName name="MerrillPrintIt" localSheetId="7" hidden="1">[12]!MerrillPrintIt</definedName>
    <definedName name="MerrillPrintIt" localSheetId="8" hidden="1">[12]!MerrillPrintIt</definedName>
    <definedName name="MerrillPrintIt" localSheetId="18" hidden="1">[12]!MerrillPrintIt</definedName>
    <definedName name="MerrillPrintIt" localSheetId="11" hidden="1">[12]!MerrillPrintIt</definedName>
    <definedName name="MerrillPrintIt" localSheetId="5" hidden="1">[12]!MerrillPrintIt</definedName>
    <definedName name="MerrillPrintIt" localSheetId="3" hidden="1">[12]!MerrillPrintIt</definedName>
    <definedName name="MerrillPrintIt" localSheetId="15" hidden="1">[12]!MerrillPrintIt</definedName>
    <definedName name="MerrillPrintIt" localSheetId="21" hidden="1">[12]!MerrillPrintIt</definedName>
    <definedName name="MerrillPrintIt" localSheetId="4" hidden="1">[12]!MerrillPrintIt</definedName>
    <definedName name="MerrillPrintIt" localSheetId="26" hidden="1">[12]!MerrillPrintIt</definedName>
    <definedName name="MerrillPrintIt" localSheetId="13" hidden="1">[12]!MerrillPrintIt</definedName>
    <definedName name="MerrillPrintIt" localSheetId="24" hidden="1">[12]!MerrillPrintIt</definedName>
    <definedName name="MerrillPrintIt" localSheetId="25" hidden="1">[12]!MerrillPrintIt</definedName>
    <definedName name="MerrillPrintIt" localSheetId="20" hidden="1">[12]!MerrillPrintIt</definedName>
    <definedName name="MerrillPrintIt" localSheetId="22" hidden="1">[12]!MerrillPrintIt</definedName>
    <definedName name="MerrillPrintIt" localSheetId="9" hidden="1">[12]!MerrillPrintIt</definedName>
    <definedName name="MerrillPrintIt" localSheetId="12" hidden="1">[12]!MerrillPrintIt</definedName>
    <definedName name="MerrillPrintIt" localSheetId="27" hidden="1">[12]!MerrillPrintIt</definedName>
    <definedName name="MerrillPrintIt" localSheetId="16" hidden="1">[12]!MerrillPrintIt</definedName>
    <definedName name="MerrillPrintIt" localSheetId="1" hidden="1">[12]!MerrillPrintIt</definedName>
    <definedName name="MerrillPrintIt" localSheetId="6" hidden="1">[12]!MerrillPrintIt</definedName>
    <definedName name="MerrillPrintIt" hidden="1">[12]!MerrillPrintIt</definedName>
    <definedName name="NewRange" localSheetId="17" hidden="1">[12]!NewRange</definedName>
    <definedName name="NewRange" localSheetId="14" hidden="1">[12]!NewRange</definedName>
    <definedName name="NewRange" localSheetId="10" hidden="1">[12]!NewRange</definedName>
    <definedName name="NewRange" localSheetId="2" hidden="1">[12]!NewRange</definedName>
    <definedName name="NewRange" localSheetId="23" hidden="1">[12]!NewRange</definedName>
    <definedName name="NewRange" localSheetId="7" hidden="1">[12]!NewRange</definedName>
    <definedName name="NewRange" localSheetId="8" hidden="1">[12]!NewRange</definedName>
    <definedName name="NewRange" localSheetId="18" hidden="1">[12]!NewRange</definedName>
    <definedName name="NewRange" localSheetId="11" hidden="1">[12]!NewRange</definedName>
    <definedName name="NewRange" localSheetId="5" hidden="1">[12]!NewRange</definedName>
    <definedName name="NewRange" localSheetId="3" hidden="1">[12]!NewRange</definedName>
    <definedName name="NewRange" localSheetId="15" hidden="1">[12]!NewRange</definedName>
    <definedName name="NewRange" localSheetId="21" hidden="1">[12]!NewRange</definedName>
    <definedName name="NewRange" localSheetId="4" hidden="1">[12]!NewRange</definedName>
    <definedName name="NewRange" localSheetId="26" hidden="1">[12]!NewRange</definedName>
    <definedName name="NewRange" localSheetId="13" hidden="1">[12]!NewRange</definedName>
    <definedName name="NewRange" localSheetId="24" hidden="1">[12]!NewRange</definedName>
    <definedName name="NewRange" localSheetId="25" hidden="1">[12]!NewRange</definedName>
    <definedName name="NewRange" localSheetId="20" hidden="1">[12]!NewRange</definedName>
    <definedName name="NewRange" localSheetId="22" hidden="1">[12]!NewRange</definedName>
    <definedName name="NewRange" localSheetId="9" hidden="1">[12]!NewRange</definedName>
    <definedName name="NewRange" localSheetId="12" hidden="1">[12]!NewRange</definedName>
    <definedName name="NewRange" localSheetId="27" hidden="1">[12]!NewRange</definedName>
    <definedName name="NewRange" localSheetId="16" hidden="1">[12]!NewRange</definedName>
    <definedName name="NewRange" localSheetId="1" hidden="1">[12]!NewRange</definedName>
    <definedName name="NewRange" localSheetId="6" hidden="1">[12]!NewRange</definedName>
    <definedName name="NewRange" hidden="1">[12]!NewRange</definedName>
    <definedName name="Ownership" localSheetId="17" hidden="1">OFFSET([13]!Data.Top.Left,1,0)</definedName>
    <definedName name="Ownership" localSheetId="14" hidden="1">OFFSET([13]!Data.Top.Left,1,0)</definedName>
    <definedName name="Ownership" localSheetId="10" hidden="1">OFFSET([13]!Data.Top.Left,1,0)</definedName>
    <definedName name="Ownership" localSheetId="2" hidden="1">OFFSET([13]!Data.Top.Left,1,0)</definedName>
    <definedName name="Ownership" localSheetId="23" hidden="1">OFFSET([13]!Data.Top.Left,1,0)</definedName>
    <definedName name="Ownership" localSheetId="7" hidden="1">OFFSET([13]!Data.Top.Left,1,0)</definedName>
    <definedName name="Ownership" localSheetId="8" hidden="1">OFFSET([13]!Data.Top.Left,1,0)</definedName>
    <definedName name="Ownership" localSheetId="18" hidden="1">OFFSET([13]!Data.Top.Left,1,0)</definedName>
    <definedName name="Ownership" localSheetId="11" hidden="1">OFFSET([13]!Data.Top.Left,1,0)</definedName>
    <definedName name="Ownership" localSheetId="5" hidden="1">OFFSET([13]!Data.Top.Left,1,0)</definedName>
    <definedName name="Ownership" localSheetId="3" hidden="1">OFFSET([13]!Data.Top.Left,1,0)</definedName>
    <definedName name="Ownership" localSheetId="15" hidden="1">OFFSET([13]!Data.Top.Left,1,0)</definedName>
    <definedName name="Ownership" localSheetId="21" hidden="1">OFFSET([13]!Data.Top.Left,1,0)</definedName>
    <definedName name="Ownership" localSheetId="4" hidden="1">OFFSET([13]!Data.Top.Left,1,0)</definedName>
    <definedName name="Ownership" localSheetId="26" hidden="1">OFFSET([13]!Data.Top.Left,1,0)</definedName>
    <definedName name="Ownership" localSheetId="13" hidden="1">OFFSET([13]!Data.Top.Left,1,0)</definedName>
    <definedName name="Ownership" localSheetId="24" hidden="1">OFFSET([13]!Data.Top.Left,1,0)</definedName>
    <definedName name="Ownership" localSheetId="25" hidden="1">OFFSET([13]!Data.Top.Left,1,0)</definedName>
    <definedName name="Ownership" localSheetId="20" hidden="1">OFFSET([13]!Data.Top.Left,1,0)</definedName>
    <definedName name="Ownership" localSheetId="22" hidden="1">OFFSET([13]!Data.Top.Left,1,0)</definedName>
    <definedName name="Ownership" localSheetId="9" hidden="1">OFFSET([13]!Data.Top.Left,1,0)</definedName>
    <definedName name="Ownership" localSheetId="12" hidden="1">OFFSET([13]!Data.Top.Left,1,0)</definedName>
    <definedName name="Ownership" localSheetId="27" hidden="1">OFFSET([13]!Data.Top.Left,1,0)</definedName>
    <definedName name="Ownership" localSheetId="16" hidden="1">OFFSET([13]!Data.Top.Left,1,0)</definedName>
    <definedName name="Ownership" localSheetId="1" hidden="1">OFFSET([13]!Data.Top.Left,1,0)</definedName>
    <definedName name="Ownership" localSheetId="6" hidden="1">OFFSET([13]!Data.Top.Left,1,0)</definedName>
    <definedName name="Ownership" hidden="1">OFFSET([13]!Data.Top.Left,1,0)</definedName>
    <definedName name="PUB_FileID" hidden="1">"L10003649.xls"</definedName>
    <definedName name="PUB_UserID" hidden="1">"MAYERX"</definedName>
    <definedName name="RedefinePrintTableRange" localSheetId="17" hidden="1">[12]!RedefinePrintTableRange</definedName>
    <definedName name="RedefinePrintTableRange" localSheetId="14" hidden="1">[12]!RedefinePrintTableRange</definedName>
    <definedName name="RedefinePrintTableRange" localSheetId="10" hidden="1">[12]!RedefinePrintTableRange</definedName>
    <definedName name="RedefinePrintTableRange" localSheetId="2" hidden="1">[12]!RedefinePrintTableRange</definedName>
    <definedName name="RedefinePrintTableRange" localSheetId="23" hidden="1">[12]!RedefinePrintTableRange</definedName>
    <definedName name="RedefinePrintTableRange" localSheetId="7" hidden="1">[12]!RedefinePrintTableRange</definedName>
    <definedName name="RedefinePrintTableRange" localSheetId="8" hidden="1">[12]!RedefinePrintTableRange</definedName>
    <definedName name="RedefinePrintTableRange" localSheetId="18" hidden="1">[12]!RedefinePrintTableRange</definedName>
    <definedName name="RedefinePrintTableRange" localSheetId="11" hidden="1">[12]!RedefinePrintTableRange</definedName>
    <definedName name="RedefinePrintTableRange" localSheetId="5" hidden="1">[12]!RedefinePrintTableRange</definedName>
    <definedName name="RedefinePrintTableRange" localSheetId="3" hidden="1">[12]!RedefinePrintTableRange</definedName>
    <definedName name="RedefinePrintTableRange" localSheetId="15" hidden="1">[12]!RedefinePrintTableRange</definedName>
    <definedName name="RedefinePrintTableRange" localSheetId="21" hidden="1">[12]!RedefinePrintTableRange</definedName>
    <definedName name="RedefinePrintTableRange" localSheetId="4" hidden="1">[12]!RedefinePrintTableRange</definedName>
    <definedName name="RedefinePrintTableRange" localSheetId="26" hidden="1">[12]!RedefinePrintTableRange</definedName>
    <definedName name="RedefinePrintTableRange" localSheetId="13" hidden="1">[12]!RedefinePrintTableRange</definedName>
    <definedName name="RedefinePrintTableRange" localSheetId="24" hidden="1">[12]!RedefinePrintTableRange</definedName>
    <definedName name="RedefinePrintTableRange" localSheetId="25" hidden="1">[12]!RedefinePrintTableRange</definedName>
    <definedName name="RedefinePrintTableRange" localSheetId="20" hidden="1">[12]!RedefinePrintTableRange</definedName>
    <definedName name="RedefinePrintTableRange" localSheetId="22" hidden="1">[12]!RedefinePrintTableRange</definedName>
    <definedName name="RedefinePrintTableRange" localSheetId="9" hidden="1">[12]!RedefinePrintTableRange</definedName>
    <definedName name="RedefinePrintTableRange" localSheetId="12" hidden="1">[12]!RedefinePrintTableRange</definedName>
    <definedName name="RedefinePrintTableRange" localSheetId="27" hidden="1">[12]!RedefinePrintTableRange</definedName>
    <definedName name="RedefinePrintTableRange" localSheetId="16" hidden="1">[12]!RedefinePrintTableRange</definedName>
    <definedName name="RedefinePrintTableRange" localSheetId="1" hidden="1">[12]!RedefinePrintTableRange</definedName>
    <definedName name="RedefinePrintTableRange" localSheetId="6" hidden="1">[12]!RedefinePrintTableRange</definedName>
    <definedName name="RedefinePrintTableRange" hidden="1">[12]!RedefinePrintTableRange</definedName>
    <definedName name="Rwvu.ALL." localSheetId="12" hidden="1">[10]BKLG!#REF!</definedName>
    <definedName name="Rwvu.ALL." localSheetId="27" hidden="1">[10]BKLG!#REF!</definedName>
    <definedName name="Rwvu.ALL." hidden="1">[10]BKLG!#REF!</definedName>
    <definedName name="Rwvu.Months." localSheetId="12" hidden="1">[10]BKLG!#REF!,[10]BKLG!#REF!,[10]BKLG!#REF!,[10]BKLG!#REF!,[10]BKLG!#REF!</definedName>
    <definedName name="Rwvu.Months." localSheetId="27" hidden="1">[10]BKLG!#REF!,[10]BKLG!#REF!,[10]BKLG!#REF!,[10]BKLG!#REF!,[10]BKLG!#REF!</definedName>
    <definedName name="Rwvu.Months." hidden="1">[10]BKLG!#REF!,[10]BKLG!#REF!,[10]BKLG!#REF!,[10]BKLG!#REF!,[10]BKLG!#REF!</definedName>
    <definedName name="SAPBEXhrIndnt" hidden="1">1</definedName>
    <definedName name="SAPBEXrevision" hidden="1">1</definedName>
    <definedName name="SAPBEXsysID" hidden="1">"P66"</definedName>
    <definedName name="SAPBEXwbID" hidden="1">"3RCWGI2UXL6U3W2QXXPNPHWQ1"</definedName>
    <definedName name="sencount" hidden="1">1</definedName>
    <definedName name="solver_adj" localSheetId="12" hidden="1">#REF!,#REF!</definedName>
    <definedName name="solver_adj" localSheetId="27" hidden="1">#REF!,#REF!</definedName>
    <definedName name="solver_adj" hidden="1">#REF!,#REF!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hs1" localSheetId="12" hidden="1">#REF!</definedName>
    <definedName name="solver_lhs1" localSheetId="27" hidden="1">#REF!</definedName>
    <definedName name="solver_lhs1" hidden="1">#REF!</definedName>
    <definedName name="solver_lin" hidden="1">2</definedName>
    <definedName name="solver_neg" hidden="1">2</definedName>
    <definedName name="solver_num" hidden="1">1</definedName>
    <definedName name="solver_nwt" hidden="1">1</definedName>
    <definedName name="solver_opt" localSheetId="12" hidden="1">#REF!</definedName>
    <definedName name="solver_opt" localSheetId="27" hidden="1">#REF!</definedName>
    <definedName name="solver_opt" hidden="1">#REF!</definedName>
    <definedName name="solver_pre" hidden="1">0.000001</definedName>
    <definedName name="solver_rel1" hidden="1">2</definedName>
    <definedName name="solver_rhs1" hidden="1">100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wvu.ALL." localSheetId="12" hidden="1">[10]BKLG!#REF!</definedName>
    <definedName name="Swvu.ALL." localSheetId="27" hidden="1">[10]BKLG!#REF!</definedName>
    <definedName name="Swvu.ALL." hidden="1">[10]BKLG!#REF!</definedName>
    <definedName name="Swvu.Months." localSheetId="12" hidden="1">[10]BKLG!#REF!</definedName>
    <definedName name="Swvu.Months." localSheetId="27" hidden="1">[10]BKLG!#REF!</definedName>
    <definedName name="Swvu.Months." hidden="1">[10]BKLG!#REF!</definedName>
    <definedName name="TabNames">OFFSET('[14]Assumptions List'!$C$37, 0, 0, COUNTA('[14]Assumptions List'!$E:$E)-2)</definedName>
    <definedName name="TP_Footer_Path" hidden="1">"C:\DOCUME~1\kingca\LOCALS~1\Temp\C.NOTEDATA\"</definedName>
    <definedName name="tp_footer_path2" hidden="1">"S:\00270\06ret\othsys\TEAM\12-31-2005 Disclosure (FAS)\"</definedName>
    <definedName name="tp_footer_path3" hidden="1">"S:\00270\06ret\othsys\TEAM\Etown\"</definedName>
    <definedName name="TP_Footer_User" hidden="1">"Kingca"</definedName>
    <definedName name="tp_footer_user2" hidden="1">"PEREZM"</definedName>
    <definedName name="tp_footer_user3" hidden="1">"DECRISS"</definedName>
    <definedName name="TP_Footer_Version" hidden="1">"v3.00"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Z_D7D8B9BD_934A_40F4_B1C5_71B03B7C7B7E_.wvu.PrintArea" localSheetId="12" hidden="1">#REF!</definedName>
    <definedName name="Z_D7D8B9BD_934A_40F4_B1C5_71B03B7C7B7E_.wvu.PrintArea" localSheetId="27" hidden="1">#REF!</definedName>
    <definedName name="Z_D7D8B9BD_934A_40F4_B1C5_71B03B7C7B7E_.wvu.PrintArea" hidden="1">#REF!</definedName>
    <definedName name="Z_D7D8B9BD_934A_40F4_B1C5_71B03B7C7B7E_.wvu.PrintTitles" localSheetId="12" hidden="1">#REF!</definedName>
    <definedName name="Z_D7D8B9BD_934A_40F4_B1C5_71B03B7C7B7E_.wvu.PrintTitles" localSheetId="27" hidden="1">#REF!</definedName>
    <definedName name="Z_D7D8B9BD_934A_40F4_B1C5_71B03B7C7B7E_.wvu.PrintTitles" hidden="1">#REF!</definedName>
    <definedName name="Z_E5F69300_85AC_4F0E_87E1_2F6A3E0429BE_.wvu.Cols" localSheetId="12" hidden="1">#REF!</definedName>
    <definedName name="Z_E5F69300_85AC_4F0E_87E1_2F6A3E0429BE_.wvu.Cols" localSheetId="27" hidden="1">#REF!</definedName>
    <definedName name="Z_E5F69300_85AC_4F0E_87E1_2F6A3E0429BE_.wvu.Cols" hidden="1">#REF!</definedName>
    <definedName name="Z_E5F69300_85AC_4F0E_87E1_2F6A3E0429BE_.wvu.PrintArea" localSheetId="12" hidden="1">#REF!</definedName>
    <definedName name="Z_E5F69300_85AC_4F0E_87E1_2F6A3E0429BE_.wvu.PrintArea" localSheetId="27" hidden="1">#REF!</definedName>
    <definedName name="Z_E5F69300_85AC_4F0E_87E1_2F6A3E0429BE_.wvu.PrintArea" hidden="1">#REF!</definedName>
    <definedName name="Z_E5F69300_85AC_4F0E_87E1_2F6A3E0429BE_.wvu.PrintTitles" localSheetId="12" hidden="1">#REF!</definedName>
    <definedName name="Z_E5F69300_85AC_4F0E_87E1_2F6A3E0429BE_.wvu.PrintTitles" localSheetId="27" hidden="1">#REF!</definedName>
    <definedName name="Z_E5F69300_85AC_4F0E_87E1_2F6A3E0429BE_.wvu.PrintTitles" hidden="1">#REF!</definedName>
    <definedName name="ZCBF_Columns" hidden="1">"no"</definedName>
    <definedName name="ZCBF_Headers" hidden="1">"no"</definedName>
    <definedName name="ZCBF_Interval" hidden="1">"periods"</definedName>
    <definedName name="ZCBF_PasteColumns" hidden="1">"yes"</definedName>
    <definedName name="ZCBF_Period" hidden="1">"12"</definedName>
  </definedNames>
  <calcPr calcId="162913"/>
</workbook>
</file>

<file path=xl/calcChain.xml><?xml version="1.0" encoding="utf-8"?>
<calcChain xmlns="http://schemas.openxmlformats.org/spreadsheetml/2006/main">
  <c r="Z22" i="36" l="1"/>
  <c r="Y22" i="36"/>
  <c r="X22" i="36"/>
  <c r="W22" i="36"/>
  <c r="V22" i="36"/>
  <c r="U22" i="36"/>
  <c r="T22" i="36"/>
  <c r="S22" i="36"/>
  <c r="R22" i="36"/>
  <c r="Q22" i="36"/>
  <c r="Z21" i="36"/>
  <c r="Y21" i="36"/>
  <c r="X21" i="36"/>
  <c r="W21" i="36"/>
  <c r="V21" i="36"/>
  <c r="U21" i="36"/>
  <c r="T21" i="36"/>
  <c r="S21" i="36"/>
  <c r="R21" i="36"/>
  <c r="Q21" i="36"/>
  <c r="Z20" i="36"/>
  <c r="Y20" i="36"/>
  <c r="X20" i="36"/>
  <c r="W20" i="36"/>
  <c r="V20" i="36"/>
  <c r="U20" i="36"/>
  <c r="T20" i="36"/>
  <c r="S20" i="36"/>
  <c r="R20" i="36"/>
  <c r="Q20" i="36"/>
  <c r="Z19" i="36"/>
  <c r="Y19" i="36"/>
  <c r="X19" i="36"/>
  <c r="W19" i="36"/>
  <c r="V19" i="36"/>
  <c r="U19" i="36"/>
  <c r="T19" i="36"/>
  <c r="S19" i="36"/>
  <c r="R19" i="36"/>
  <c r="Q19" i="36"/>
  <c r="Z18" i="36"/>
  <c r="Y18" i="36"/>
  <c r="X18" i="36"/>
  <c r="W18" i="36"/>
  <c r="V18" i="36"/>
  <c r="U18" i="36"/>
  <c r="T18" i="36"/>
  <c r="S18" i="36"/>
  <c r="R18" i="36"/>
  <c r="Q18" i="36"/>
  <c r="Z17" i="36"/>
  <c r="Y17" i="36"/>
  <c r="X17" i="36"/>
  <c r="W17" i="36"/>
  <c r="V17" i="36"/>
  <c r="U17" i="36"/>
  <c r="T17" i="36"/>
  <c r="S17" i="36"/>
  <c r="R17" i="36"/>
  <c r="Q17" i="36"/>
  <c r="Z16" i="36"/>
  <c r="Y16" i="36"/>
  <c r="X16" i="36"/>
  <c r="W16" i="36"/>
  <c r="V16" i="36"/>
  <c r="U16" i="36"/>
  <c r="T16" i="36"/>
  <c r="S16" i="36"/>
  <c r="R16" i="36"/>
  <c r="Q16" i="36"/>
  <c r="Z15" i="36"/>
  <c r="Y15" i="36"/>
  <c r="X15" i="36"/>
  <c r="W15" i="36"/>
  <c r="V15" i="36"/>
  <c r="U15" i="36"/>
  <c r="T15" i="36"/>
  <c r="S15" i="36"/>
  <c r="R15" i="36"/>
  <c r="Q15" i="36"/>
  <c r="Z14" i="36"/>
  <c r="Y14" i="36"/>
  <c r="X14" i="36"/>
  <c r="W14" i="36"/>
  <c r="V14" i="36"/>
  <c r="U14" i="36"/>
  <c r="T14" i="36"/>
  <c r="S14" i="36"/>
  <c r="R14" i="36"/>
  <c r="Q14" i="36"/>
  <c r="Z13" i="36"/>
  <c r="Y13" i="36"/>
  <c r="X13" i="36"/>
  <c r="W13" i="36"/>
  <c r="V13" i="36"/>
  <c r="U13" i="36"/>
  <c r="T13" i="36"/>
  <c r="S13" i="36"/>
  <c r="R13" i="36"/>
  <c r="Q13" i="36"/>
  <c r="Z12" i="36"/>
  <c r="Y12" i="36"/>
  <c r="X12" i="36"/>
  <c r="W12" i="36"/>
  <c r="V12" i="36"/>
  <c r="U12" i="36"/>
  <c r="T12" i="36"/>
  <c r="S12" i="36"/>
  <c r="R12" i="36"/>
  <c r="Q12" i="36"/>
  <c r="Z11" i="36"/>
  <c r="Y11" i="36"/>
  <c r="X11" i="36"/>
  <c r="W11" i="36"/>
  <c r="V11" i="36"/>
  <c r="U11" i="36"/>
  <c r="T11" i="36"/>
  <c r="S11" i="36"/>
  <c r="R11" i="36"/>
  <c r="Q11" i="36"/>
  <c r="Z10" i="36"/>
  <c r="Y10" i="36"/>
  <c r="X10" i="36"/>
  <c r="W10" i="36"/>
  <c r="V10" i="36"/>
  <c r="U10" i="36"/>
  <c r="T10" i="36"/>
  <c r="S10" i="36"/>
  <c r="R10" i="36"/>
  <c r="Q10" i="36"/>
  <c r="Z9" i="36"/>
  <c r="Y9" i="36"/>
  <c r="X9" i="36"/>
  <c r="W9" i="36"/>
  <c r="V9" i="36"/>
  <c r="U9" i="36"/>
  <c r="T9" i="36"/>
  <c r="S9" i="36"/>
  <c r="R9" i="36"/>
  <c r="Q9" i="36"/>
  <c r="Z8" i="36"/>
  <c r="Y8" i="36"/>
  <c r="X8" i="36"/>
  <c r="W8" i="36"/>
  <c r="V8" i="36"/>
  <c r="U8" i="36"/>
  <c r="T8" i="36"/>
  <c r="S8" i="36"/>
  <c r="R8" i="36"/>
  <c r="Q8" i="36"/>
  <c r="Z7" i="36"/>
  <c r="Y7" i="36"/>
  <c r="X7" i="36"/>
  <c r="W7" i="36"/>
  <c r="V7" i="36"/>
  <c r="U7" i="36"/>
  <c r="T7" i="36"/>
  <c r="S7" i="36"/>
  <c r="R7" i="36"/>
  <c r="Q7" i="36"/>
  <c r="Z6" i="36"/>
  <c r="Y6" i="36"/>
  <c r="X6" i="36"/>
  <c r="W6" i="36"/>
  <c r="V6" i="36"/>
  <c r="U6" i="36"/>
  <c r="T6" i="36"/>
  <c r="S6" i="36"/>
  <c r="R6" i="36"/>
  <c r="Q6" i="36"/>
  <c r="Z5" i="36"/>
  <c r="Y5" i="36"/>
  <c r="X5" i="36"/>
  <c r="W5" i="36"/>
  <c r="V5" i="36"/>
  <c r="U5" i="36"/>
  <c r="T5" i="36"/>
  <c r="S5" i="36"/>
  <c r="R5" i="36"/>
  <c r="Q5" i="36"/>
  <c r="Q4" i="36"/>
  <c r="P33" i="36"/>
  <c r="C33" i="36"/>
  <c r="B33" i="36"/>
  <c r="A33" i="36"/>
  <c r="P32" i="36"/>
  <c r="C32" i="36"/>
  <c r="B32" i="36"/>
  <c r="A32" i="36"/>
  <c r="P31" i="36"/>
  <c r="C31" i="36"/>
  <c r="B31" i="36"/>
  <c r="A31" i="36"/>
  <c r="P30" i="36"/>
  <c r="C30" i="36"/>
  <c r="B30" i="36"/>
  <c r="A30" i="36"/>
  <c r="P29" i="36"/>
  <c r="C29" i="36"/>
  <c r="B29" i="36"/>
  <c r="A29" i="36"/>
  <c r="P28" i="36"/>
  <c r="C28" i="36"/>
  <c r="B28" i="36"/>
  <c r="A28" i="36"/>
  <c r="P27" i="36"/>
  <c r="C27" i="36"/>
  <c r="B27" i="36"/>
  <c r="A27" i="36"/>
  <c r="P26" i="36"/>
  <c r="C26" i="36"/>
  <c r="B26" i="36"/>
  <c r="A26" i="36"/>
  <c r="Z25" i="36"/>
  <c r="Y25" i="36"/>
  <c r="X25" i="36"/>
  <c r="W25" i="36"/>
  <c r="V25" i="36"/>
  <c r="U25" i="36"/>
  <c r="T25" i="36"/>
  <c r="S25" i="36"/>
  <c r="R25" i="36"/>
  <c r="Q25" i="36"/>
  <c r="P25" i="36"/>
  <c r="C25" i="36"/>
  <c r="B25" i="36"/>
  <c r="A25" i="36"/>
  <c r="Z24" i="36"/>
  <c r="Y24" i="36"/>
  <c r="X24" i="36"/>
  <c r="W24" i="36"/>
  <c r="V24" i="36"/>
  <c r="U24" i="36"/>
  <c r="T24" i="36"/>
  <c r="S24" i="36"/>
  <c r="R24" i="36"/>
  <c r="Q24" i="36"/>
  <c r="P24" i="36"/>
  <c r="C24" i="36"/>
  <c r="B24" i="36"/>
  <c r="A24" i="36"/>
  <c r="Z23" i="36"/>
  <c r="Y23" i="36"/>
  <c r="X23" i="36"/>
  <c r="W23" i="36"/>
  <c r="V23" i="36"/>
  <c r="U23" i="36"/>
  <c r="T23" i="36"/>
  <c r="S23" i="36"/>
  <c r="R23" i="36"/>
  <c r="Q23" i="36"/>
  <c r="P23" i="36"/>
  <c r="C23" i="36"/>
  <c r="B23" i="36"/>
  <c r="A23" i="36"/>
  <c r="P22" i="36"/>
  <c r="B22" i="36"/>
  <c r="P21" i="36"/>
  <c r="B21" i="36"/>
  <c r="A21" i="36"/>
  <c r="A22" i="36" s="1"/>
  <c r="P20" i="36"/>
  <c r="B20" i="36"/>
  <c r="A20" i="36"/>
  <c r="P19" i="36"/>
  <c r="B19" i="36"/>
  <c r="A19" i="36"/>
  <c r="P18" i="36"/>
  <c r="B18" i="36"/>
  <c r="A18" i="36"/>
  <c r="P17" i="36"/>
  <c r="B17" i="36"/>
  <c r="A17" i="36"/>
  <c r="P16" i="36"/>
  <c r="B16" i="36"/>
  <c r="A16" i="36"/>
  <c r="P15" i="36"/>
  <c r="C21" i="36"/>
  <c r="C22" i="36" s="1"/>
  <c r="B15" i="36"/>
  <c r="A15" i="36"/>
  <c r="P14" i="36"/>
  <c r="B14" i="36"/>
  <c r="A14" i="36"/>
  <c r="P13" i="36"/>
  <c r="B13" i="36"/>
  <c r="A13" i="36"/>
  <c r="P12" i="36"/>
  <c r="B12" i="36"/>
  <c r="A12" i="36"/>
  <c r="P11" i="36"/>
  <c r="B11" i="36"/>
  <c r="A11" i="36"/>
  <c r="P10" i="36"/>
  <c r="B10" i="36"/>
  <c r="A10" i="36"/>
  <c r="P9" i="36"/>
  <c r="B9" i="36"/>
  <c r="A9" i="36"/>
  <c r="P8" i="36"/>
  <c r="B8" i="36"/>
  <c r="A8" i="36"/>
  <c r="P7" i="36"/>
  <c r="B7" i="36"/>
  <c r="A7" i="36"/>
  <c r="P6" i="36"/>
  <c r="B6" i="36"/>
  <c r="A6" i="36"/>
  <c r="P5" i="36"/>
  <c r="B5" i="36"/>
  <c r="A5" i="36"/>
  <c r="P4" i="36"/>
  <c r="B4" i="36"/>
  <c r="A4" i="36"/>
  <c r="Z3" i="36"/>
  <c r="Y3" i="36"/>
  <c r="X3" i="36"/>
  <c r="W3" i="36"/>
  <c r="V3" i="36"/>
  <c r="U3" i="36"/>
  <c r="T3" i="36"/>
  <c r="S3" i="36"/>
  <c r="R3" i="36"/>
  <c r="Q3" i="36"/>
  <c r="B2" i="36"/>
  <c r="A2" i="36" l="1"/>
  <c r="R4" i="36" l="1"/>
  <c r="S4" i="36" l="1"/>
  <c r="T4" i="36" l="1"/>
  <c r="U4" i="36" l="1"/>
  <c r="V4" i="36" l="1"/>
  <c r="W4" i="36" l="1"/>
  <c r="X4" i="36" l="1"/>
  <c r="Y4" i="36" l="1"/>
  <c r="Z4" i="36" l="1"/>
  <c r="Z22" i="32" l="1"/>
  <c r="Y22" i="32"/>
  <c r="X22" i="32"/>
  <c r="W22" i="32"/>
  <c r="V22" i="32"/>
  <c r="U22" i="32"/>
  <c r="T22" i="32"/>
  <c r="S22" i="32"/>
  <c r="R22" i="32"/>
  <c r="Q22" i="32"/>
  <c r="Z21" i="32"/>
  <c r="Y21" i="32"/>
  <c r="X21" i="32"/>
  <c r="W21" i="32"/>
  <c r="V21" i="32"/>
  <c r="U21" i="32"/>
  <c r="T21" i="32"/>
  <c r="S21" i="32"/>
  <c r="R21" i="32"/>
  <c r="Q21" i="32"/>
  <c r="Z20" i="32"/>
  <c r="Y20" i="32"/>
  <c r="X20" i="32"/>
  <c r="W20" i="32"/>
  <c r="V20" i="32"/>
  <c r="U20" i="32"/>
  <c r="T20" i="32"/>
  <c r="S20" i="32"/>
  <c r="R20" i="32"/>
  <c r="Q20" i="32"/>
  <c r="Z19" i="32"/>
  <c r="Y19" i="32"/>
  <c r="X19" i="32"/>
  <c r="W19" i="32"/>
  <c r="V19" i="32"/>
  <c r="U19" i="32"/>
  <c r="T19" i="32"/>
  <c r="S19" i="32"/>
  <c r="R19" i="32"/>
  <c r="Q19" i="32"/>
  <c r="Z18" i="32"/>
  <c r="Y18" i="32"/>
  <c r="X18" i="32"/>
  <c r="W18" i="32"/>
  <c r="V18" i="32"/>
  <c r="U18" i="32"/>
  <c r="T18" i="32"/>
  <c r="S18" i="32"/>
  <c r="R18" i="32"/>
  <c r="Q18" i="32"/>
  <c r="Z17" i="32"/>
  <c r="Y17" i="32"/>
  <c r="X17" i="32"/>
  <c r="W17" i="32"/>
  <c r="V17" i="32"/>
  <c r="U17" i="32"/>
  <c r="T17" i="32"/>
  <c r="S17" i="32"/>
  <c r="R17" i="32"/>
  <c r="Q17" i="32"/>
  <c r="Z16" i="32"/>
  <c r="Y16" i="32"/>
  <c r="X16" i="32"/>
  <c r="W16" i="32"/>
  <c r="V16" i="32"/>
  <c r="U16" i="32"/>
  <c r="T16" i="32"/>
  <c r="S16" i="32"/>
  <c r="R16" i="32"/>
  <c r="Q16" i="32"/>
  <c r="Z15" i="32"/>
  <c r="Y15" i="32"/>
  <c r="X15" i="32"/>
  <c r="W15" i="32"/>
  <c r="V15" i="32"/>
  <c r="U15" i="32"/>
  <c r="T15" i="32"/>
  <c r="S15" i="32"/>
  <c r="R15" i="32"/>
  <c r="Q15" i="32"/>
  <c r="Z14" i="32"/>
  <c r="Y14" i="32"/>
  <c r="X14" i="32"/>
  <c r="W14" i="32"/>
  <c r="V14" i="32"/>
  <c r="U14" i="32"/>
  <c r="T14" i="32"/>
  <c r="S14" i="32"/>
  <c r="R14" i="32"/>
  <c r="Q14" i="32"/>
  <c r="Z13" i="32"/>
  <c r="Y13" i="32"/>
  <c r="X13" i="32"/>
  <c r="W13" i="32"/>
  <c r="V13" i="32"/>
  <c r="U13" i="32"/>
  <c r="T13" i="32"/>
  <c r="S13" i="32"/>
  <c r="R13" i="32"/>
  <c r="Q13" i="32"/>
  <c r="Z12" i="32"/>
  <c r="Y12" i="32"/>
  <c r="X12" i="32"/>
  <c r="W12" i="32"/>
  <c r="V12" i="32"/>
  <c r="U12" i="32"/>
  <c r="T12" i="32"/>
  <c r="S12" i="32"/>
  <c r="R12" i="32"/>
  <c r="Q12" i="32"/>
  <c r="Z11" i="32"/>
  <c r="Y11" i="32"/>
  <c r="X11" i="32"/>
  <c r="W11" i="32"/>
  <c r="V11" i="32"/>
  <c r="U11" i="32"/>
  <c r="T11" i="32"/>
  <c r="S11" i="32"/>
  <c r="R11" i="32"/>
  <c r="Q11" i="32"/>
  <c r="Z10" i="32"/>
  <c r="Y10" i="32"/>
  <c r="X10" i="32"/>
  <c r="W10" i="32"/>
  <c r="V10" i="32"/>
  <c r="U10" i="32"/>
  <c r="T10" i="32"/>
  <c r="S10" i="32"/>
  <c r="R10" i="32"/>
  <c r="Q10" i="32"/>
  <c r="Z9" i="32"/>
  <c r="Y9" i="32"/>
  <c r="X9" i="32"/>
  <c r="W9" i="32"/>
  <c r="V9" i="32"/>
  <c r="U9" i="32"/>
  <c r="T9" i="32"/>
  <c r="S9" i="32"/>
  <c r="R9" i="32"/>
  <c r="Q9" i="32"/>
  <c r="Z8" i="32"/>
  <c r="Y8" i="32"/>
  <c r="X8" i="32"/>
  <c r="W8" i="32"/>
  <c r="V8" i="32"/>
  <c r="U8" i="32"/>
  <c r="T8" i="32"/>
  <c r="S8" i="32"/>
  <c r="R8" i="32"/>
  <c r="Q8" i="32"/>
  <c r="Z7" i="32"/>
  <c r="Y7" i="32"/>
  <c r="X7" i="32"/>
  <c r="W7" i="32"/>
  <c r="V7" i="32"/>
  <c r="U7" i="32"/>
  <c r="T7" i="32"/>
  <c r="S7" i="32"/>
  <c r="R7" i="32"/>
  <c r="Q7" i="32"/>
  <c r="Z6" i="32"/>
  <c r="Y6" i="32"/>
  <c r="X6" i="32"/>
  <c r="W6" i="32"/>
  <c r="V6" i="32"/>
  <c r="U6" i="32"/>
  <c r="T6" i="32"/>
  <c r="S6" i="32"/>
  <c r="R6" i="32"/>
  <c r="Q6" i="32"/>
  <c r="Z5" i="32"/>
  <c r="Y5" i="32"/>
  <c r="X5" i="32"/>
  <c r="W5" i="32"/>
  <c r="V5" i="32"/>
  <c r="U5" i="32"/>
  <c r="T5" i="32"/>
  <c r="S5" i="32"/>
  <c r="R5" i="32"/>
  <c r="Q5" i="32"/>
  <c r="Z4" i="32"/>
  <c r="Y4" i="32"/>
  <c r="X4" i="32"/>
  <c r="W4" i="32"/>
  <c r="V4" i="32"/>
  <c r="U4" i="32"/>
  <c r="T4" i="32"/>
  <c r="S4" i="32"/>
  <c r="R4" i="32"/>
  <c r="Q4" i="32"/>
  <c r="AB22" i="24"/>
  <c r="AA22" i="24"/>
  <c r="Z22" i="24"/>
  <c r="Y22" i="24"/>
  <c r="X22" i="24"/>
  <c r="W22" i="24"/>
  <c r="V22" i="24"/>
  <c r="U22" i="24"/>
  <c r="T22" i="24"/>
  <c r="S22" i="24"/>
  <c r="R22" i="24"/>
  <c r="Q22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AB19" i="24"/>
  <c r="AA19" i="24"/>
  <c r="Z19" i="24"/>
  <c r="Y19" i="24"/>
  <c r="X19" i="24"/>
  <c r="W19" i="24"/>
  <c r="V19" i="24"/>
  <c r="U19" i="24"/>
  <c r="T19" i="24"/>
  <c r="S19" i="24"/>
  <c r="R19" i="24"/>
  <c r="Q19" i="24"/>
  <c r="AB18" i="24"/>
  <c r="AA18" i="24"/>
  <c r="Z18" i="24"/>
  <c r="Y18" i="24"/>
  <c r="X18" i="24"/>
  <c r="W18" i="24"/>
  <c r="V18" i="24"/>
  <c r="U18" i="24"/>
  <c r="T18" i="24"/>
  <c r="S18" i="24"/>
  <c r="R18" i="24"/>
  <c r="Q18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AB16" i="24"/>
  <c r="AA16" i="24"/>
  <c r="Z16" i="24"/>
  <c r="Y16" i="24"/>
  <c r="X16" i="24"/>
  <c r="W16" i="24"/>
  <c r="V16" i="24"/>
  <c r="U16" i="24"/>
  <c r="T16" i="24"/>
  <c r="S16" i="24"/>
  <c r="R16" i="24"/>
  <c r="Q16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AB9" i="24"/>
  <c r="AA9" i="24"/>
  <c r="Z9" i="24"/>
  <c r="Y9" i="24"/>
  <c r="X9" i="24"/>
  <c r="W9" i="24"/>
  <c r="V9" i="24"/>
  <c r="U9" i="24"/>
  <c r="T9" i="24"/>
  <c r="S9" i="24"/>
  <c r="R9" i="24"/>
  <c r="Q9" i="24"/>
  <c r="AB8" i="24"/>
  <c r="AA8" i="24"/>
  <c r="Z8" i="24"/>
  <c r="Y8" i="24"/>
  <c r="X8" i="24"/>
  <c r="W8" i="24"/>
  <c r="V8" i="24"/>
  <c r="U8" i="24"/>
  <c r="T8" i="24"/>
  <c r="S8" i="24"/>
  <c r="R8" i="24"/>
  <c r="Q8" i="24"/>
  <c r="AB7" i="24"/>
  <c r="AA7" i="24"/>
  <c r="Z7" i="24"/>
  <c r="Y7" i="24"/>
  <c r="X7" i="24"/>
  <c r="W7" i="24"/>
  <c r="V7" i="24"/>
  <c r="U7" i="24"/>
  <c r="T7" i="24"/>
  <c r="S7" i="24"/>
  <c r="R7" i="24"/>
  <c r="Q7" i="24"/>
  <c r="AB6" i="24"/>
  <c r="AA6" i="24"/>
  <c r="Z6" i="24"/>
  <c r="Y6" i="24"/>
  <c r="X6" i="24"/>
  <c r="W6" i="24"/>
  <c r="V6" i="24"/>
  <c r="U6" i="24"/>
  <c r="T6" i="24"/>
  <c r="S6" i="24"/>
  <c r="R6" i="24"/>
  <c r="Q6" i="24"/>
  <c r="AB5" i="24"/>
  <c r="AA5" i="24"/>
  <c r="Z5" i="24"/>
  <c r="Y5" i="24"/>
  <c r="X5" i="24"/>
  <c r="W5" i="24"/>
  <c r="V5" i="24"/>
  <c r="U5" i="24"/>
  <c r="T5" i="24"/>
  <c r="S5" i="24"/>
  <c r="R5" i="24"/>
  <c r="Q5" i="24"/>
  <c r="AB4" i="24"/>
  <c r="AA4" i="24"/>
  <c r="Z4" i="24"/>
  <c r="Y4" i="24"/>
  <c r="X4" i="24"/>
  <c r="W4" i="24"/>
  <c r="V4" i="24"/>
  <c r="U4" i="24"/>
  <c r="T4" i="24"/>
  <c r="S4" i="24"/>
  <c r="R4" i="24"/>
  <c r="Q4" i="24"/>
  <c r="AB22" i="23"/>
  <c r="AA22" i="23"/>
  <c r="Z22" i="23"/>
  <c r="Y22" i="23"/>
  <c r="X22" i="23"/>
  <c r="W22" i="23"/>
  <c r="V22" i="23"/>
  <c r="U22" i="23"/>
  <c r="T22" i="23"/>
  <c r="S22" i="23"/>
  <c r="R22" i="23"/>
  <c r="Q22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AB19" i="23"/>
  <c r="AA19" i="23"/>
  <c r="Z19" i="23"/>
  <c r="Y19" i="23"/>
  <c r="X19" i="23"/>
  <c r="W19" i="23"/>
  <c r="V19" i="23"/>
  <c r="U19" i="23"/>
  <c r="T19" i="23"/>
  <c r="S19" i="23"/>
  <c r="R19" i="23"/>
  <c r="Q19" i="23"/>
  <c r="AB18" i="23"/>
  <c r="AA18" i="23"/>
  <c r="Z18" i="23"/>
  <c r="Y18" i="23"/>
  <c r="X18" i="23"/>
  <c r="W18" i="23"/>
  <c r="V18" i="23"/>
  <c r="U18" i="23"/>
  <c r="T18" i="23"/>
  <c r="S18" i="23"/>
  <c r="R18" i="23"/>
  <c r="Q18" i="23"/>
  <c r="AB17" i="23"/>
  <c r="AA17" i="23"/>
  <c r="Z17" i="23"/>
  <c r="Y17" i="23"/>
  <c r="X17" i="23"/>
  <c r="W17" i="23"/>
  <c r="V17" i="23"/>
  <c r="U17" i="23"/>
  <c r="T17" i="23"/>
  <c r="S17" i="23"/>
  <c r="R17" i="23"/>
  <c r="Q17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AB9" i="23"/>
  <c r="AA9" i="23"/>
  <c r="Z9" i="23"/>
  <c r="Y9" i="23"/>
  <c r="X9" i="23"/>
  <c r="W9" i="23"/>
  <c r="V9" i="23"/>
  <c r="U9" i="23"/>
  <c r="T9" i="23"/>
  <c r="S9" i="23"/>
  <c r="R9" i="23"/>
  <c r="Q9" i="23"/>
  <c r="AB8" i="23"/>
  <c r="AA8" i="23"/>
  <c r="Z8" i="23"/>
  <c r="Y8" i="23"/>
  <c r="X8" i="23"/>
  <c r="W8" i="23"/>
  <c r="V8" i="23"/>
  <c r="U8" i="23"/>
  <c r="T8" i="23"/>
  <c r="S8" i="23"/>
  <c r="R8" i="23"/>
  <c r="Q8" i="23"/>
  <c r="AB7" i="23"/>
  <c r="AA7" i="23"/>
  <c r="Z7" i="23"/>
  <c r="Y7" i="23"/>
  <c r="X7" i="23"/>
  <c r="W7" i="23"/>
  <c r="V7" i="23"/>
  <c r="U7" i="23"/>
  <c r="T7" i="23"/>
  <c r="S7" i="23"/>
  <c r="R7" i="23"/>
  <c r="Q7" i="23"/>
  <c r="AB6" i="23"/>
  <c r="AA6" i="23"/>
  <c r="Z6" i="23"/>
  <c r="Y6" i="23"/>
  <c r="X6" i="23"/>
  <c r="W6" i="23"/>
  <c r="V6" i="23"/>
  <c r="U6" i="23"/>
  <c r="T6" i="23"/>
  <c r="S6" i="23"/>
  <c r="R6" i="23"/>
  <c r="Q6" i="23"/>
  <c r="AB5" i="23"/>
  <c r="AA5" i="23"/>
  <c r="Z5" i="23"/>
  <c r="Y5" i="23"/>
  <c r="X5" i="23"/>
  <c r="W5" i="23"/>
  <c r="V5" i="23"/>
  <c r="U5" i="23"/>
  <c r="T5" i="23"/>
  <c r="S5" i="23"/>
  <c r="R5" i="23"/>
  <c r="Q5" i="23"/>
  <c r="AB4" i="23"/>
  <c r="AA4" i="23"/>
  <c r="Z4" i="23"/>
  <c r="Y4" i="23"/>
  <c r="X4" i="23"/>
  <c r="W4" i="23"/>
  <c r="V4" i="23"/>
  <c r="U4" i="23"/>
  <c r="T4" i="23"/>
  <c r="S4" i="23"/>
  <c r="R4" i="23"/>
  <c r="Q4" i="23"/>
  <c r="AB22" i="22"/>
  <c r="AA22" i="22"/>
  <c r="Z22" i="22"/>
  <c r="Y22" i="22"/>
  <c r="X22" i="22"/>
  <c r="W22" i="22"/>
  <c r="V22" i="22"/>
  <c r="U22" i="22"/>
  <c r="T22" i="22"/>
  <c r="S22" i="22"/>
  <c r="R22" i="22"/>
  <c r="Q22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AB17" i="22"/>
  <c r="AA17" i="22"/>
  <c r="Z17" i="22"/>
  <c r="Y17" i="22"/>
  <c r="X17" i="22"/>
  <c r="W17" i="22"/>
  <c r="V17" i="22"/>
  <c r="U17" i="22"/>
  <c r="T17" i="22"/>
  <c r="S17" i="22"/>
  <c r="R17" i="22"/>
  <c r="Q17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AB9" i="22"/>
  <c r="AA9" i="22"/>
  <c r="Z9" i="22"/>
  <c r="Y9" i="22"/>
  <c r="X9" i="22"/>
  <c r="W9" i="22"/>
  <c r="V9" i="22"/>
  <c r="U9" i="22"/>
  <c r="T9" i="22"/>
  <c r="S9" i="22"/>
  <c r="R9" i="22"/>
  <c r="Q9" i="22"/>
  <c r="AB8" i="22"/>
  <c r="AA8" i="22"/>
  <c r="Z8" i="22"/>
  <c r="Y8" i="22"/>
  <c r="X8" i="22"/>
  <c r="W8" i="22"/>
  <c r="V8" i="22"/>
  <c r="U8" i="22"/>
  <c r="T8" i="22"/>
  <c r="S8" i="22"/>
  <c r="R8" i="22"/>
  <c r="Q8" i="22"/>
  <c r="AB7" i="22"/>
  <c r="AA7" i="22"/>
  <c r="Z7" i="22"/>
  <c r="Y7" i="22"/>
  <c r="X7" i="22"/>
  <c r="W7" i="22"/>
  <c r="V7" i="22"/>
  <c r="U7" i="22"/>
  <c r="T7" i="22"/>
  <c r="S7" i="22"/>
  <c r="R7" i="22"/>
  <c r="Q7" i="22"/>
  <c r="AB6" i="22"/>
  <c r="AA6" i="22"/>
  <c r="Z6" i="22"/>
  <c r="Y6" i="22"/>
  <c r="X6" i="22"/>
  <c r="W6" i="22"/>
  <c r="V6" i="22"/>
  <c r="U6" i="22"/>
  <c r="T6" i="22"/>
  <c r="S6" i="22"/>
  <c r="R6" i="22"/>
  <c r="Q6" i="22"/>
  <c r="AB5" i="22"/>
  <c r="AA5" i="22"/>
  <c r="Z5" i="22"/>
  <c r="Y5" i="22"/>
  <c r="X5" i="22"/>
  <c r="W5" i="22"/>
  <c r="V5" i="22"/>
  <c r="U5" i="22"/>
  <c r="T5" i="22"/>
  <c r="S5" i="22"/>
  <c r="R5" i="22"/>
  <c r="Q5" i="22"/>
  <c r="AB4" i="22"/>
  <c r="AA4" i="22"/>
  <c r="Z4" i="22"/>
  <c r="Y4" i="22"/>
  <c r="X4" i="22"/>
  <c r="W4" i="22"/>
  <c r="V4" i="22"/>
  <c r="U4" i="22"/>
  <c r="T4" i="22"/>
  <c r="S4" i="22"/>
  <c r="R4" i="22"/>
  <c r="Q4" i="22"/>
  <c r="AB22" i="30"/>
  <c r="AA22" i="30"/>
  <c r="Z22" i="30"/>
  <c r="Y22" i="30"/>
  <c r="X22" i="30"/>
  <c r="W22" i="30"/>
  <c r="V22" i="30"/>
  <c r="U22" i="30"/>
  <c r="T22" i="30"/>
  <c r="S22" i="30"/>
  <c r="R22" i="30"/>
  <c r="Q22" i="30"/>
  <c r="AB21" i="30"/>
  <c r="AA21" i="30"/>
  <c r="Z21" i="30"/>
  <c r="Y21" i="30"/>
  <c r="X21" i="30"/>
  <c r="W21" i="30"/>
  <c r="V21" i="30"/>
  <c r="U21" i="30"/>
  <c r="T21" i="30"/>
  <c r="S21" i="30"/>
  <c r="R21" i="30"/>
  <c r="Q21" i="30"/>
  <c r="AB20" i="30"/>
  <c r="AA20" i="30"/>
  <c r="Z20" i="30"/>
  <c r="Y20" i="30"/>
  <c r="X20" i="30"/>
  <c r="W20" i="30"/>
  <c r="V20" i="30"/>
  <c r="U20" i="30"/>
  <c r="T20" i="30"/>
  <c r="S20" i="30"/>
  <c r="R20" i="30"/>
  <c r="Q20" i="30"/>
  <c r="AB19" i="30"/>
  <c r="AA19" i="30"/>
  <c r="Z19" i="30"/>
  <c r="Y19" i="30"/>
  <c r="X19" i="30"/>
  <c r="W19" i="30"/>
  <c r="V19" i="30"/>
  <c r="U19" i="30"/>
  <c r="T19" i="30"/>
  <c r="S19" i="30"/>
  <c r="R19" i="30"/>
  <c r="Q19" i="30"/>
  <c r="AB18" i="30"/>
  <c r="AA18" i="30"/>
  <c r="Z18" i="30"/>
  <c r="Y18" i="30"/>
  <c r="X18" i="30"/>
  <c r="W18" i="30"/>
  <c r="V18" i="30"/>
  <c r="U18" i="30"/>
  <c r="T18" i="30"/>
  <c r="S18" i="30"/>
  <c r="R18" i="30"/>
  <c r="Q18" i="30"/>
  <c r="AB17" i="30"/>
  <c r="AA17" i="30"/>
  <c r="Z17" i="30"/>
  <c r="Y17" i="30"/>
  <c r="X17" i="30"/>
  <c r="W17" i="30"/>
  <c r="V17" i="30"/>
  <c r="U17" i="30"/>
  <c r="T17" i="30"/>
  <c r="S17" i="30"/>
  <c r="R17" i="30"/>
  <c r="Q17" i="30"/>
  <c r="AB16" i="30"/>
  <c r="AA16" i="30"/>
  <c r="Z16" i="30"/>
  <c r="Y16" i="30"/>
  <c r="X16" i="30"/>
  <c r="W16" i="30"/>
  <c r="V16" i="30"/>
  <c r="U16" i="30"/>
  <c r="T16" i="30"/>
  <c r="S16" i="30"/>
  <c r="R16" i="30"/>
  <c r="Q16" i="30"/>
  <c r="AB15" i="30"/>
  <c r="AA15" i="30"/>
  <c r="Z15" i="30"/>
  <c r="Y15" i="30"/>
  <c r="X15" i="30"/>
  <c r="W15" i="30"/>
  <c r="V15" i="30"/>
  <c r="U15" i="30"/>
  <c r="T15" i="30"/>
  <c r="S15" i="30"/>
  <c r="R15" i="30"/>
  <c r="Q15" i="30"/>
  <c r="AB14" i="30"/>
  <c r="AA14" i="30"/>
  <c r="Z14" i="30"/>
  <c r="Y14" i="30"/>
  <c r="X14" i="30"/>
  <c r="W14" i="30"/>
  <c r="V14" i="30"/>
  <c r="U14" i="30"/>
  <c r="T14" i="30"/>
  <c r="S14" i="30"/>
  <c r="R14" i="30"/>
  <c r="Q14" i="30"/>
  <c r="AB13" i="30"/>
  <c r="AA13" i="30"/>
  <c r="Z13" i="30"/>
  <c r="Y13" i="30"/>
  <c r="X13" i="30"/>
  <c r="W13" i="30"/>
  <c r="V13" i="30"/>
  <c r="U13" i="30"/>
  <c r="T13" i="30"/>
  <c r="S13" i="30"/>
  <c r="R13" i="30"/>
  <c r="Q13" i="30"/>
  <c r="AB12" i="30"/>
  <c r="AA12" i="30"/>
  <c r="Z12" i="30"/>
  <c r="Y12" i="30"/>
  <c r="X12" i="30"/>
  <c r="W12" i="30"/>
  <c r="V12" i="30"/>
  <c r="U12" i="30"/>
  <c r="T12" i="30"/>
  <c r="S12" i="30"/>
  <c r="R12" i="30"/>
  <c r="Q12" i="30"/>
  <c r="AB11" i="30"/>
  <c r="AA11" i="30"/>
  <c r="Z11" i="30"/>
  <c r="Y11" i="30"/>
  <c r="X11" i="30"/>
  <c r="W11" i="30"/>
  <c r="V11" i="30"/>
  <c r="U11" i="30"/>
  <c r="T11" i="30"/>
  <c r="S11" i="30"/>
  <c r="R11" i="30"/>
  <c r="Q11" i="30"/>
  <c r="AB10" i="30"/>
  <c r="AA10" i="30"/>
  <c r="Z10" i="30"/>
  <c r="Y10" i="30"/>
  <c r="X10" i="30"/>
  <c r="W10" i="30"/>
  <c r="V10" i="30"/>
  <c r="U10" i="30"/>
  <c r="T10" i="30"/>
  <c r="S10" i="30"/>
  <c r="R10" i="30"/>
  <c r="Q10" i="30"/>
  <c r="AB9" i="30"/>
  <c r="AA9" i="30"/>
  <c r="Z9" i="30"/>
  <c r="Y9" i="30"/>
  <c r="X9" i="30"/>
  <c r="W9" i="30"/>
  <c r="V9" i="30"/>
  <c r="U9" i="30"/>
  <c r="T9" i="30"/>
  <c r="S9" i="30"/>
  <c r="R9" i="30"/>
  <c r="Q9" i="30"/>
  <c r="AB8" i="30"/>
  <c r="AA8" i="30"/>
  <c r="Z8" i="30"/>
  <c r="Y8" i="30"/>
  <c r="X8" i="30"/>
  <c r="W8" i="30"/>
  <c r="V8" i="30"/>
  <c r="U8" i="30"/>
  <c r="T8" i="30"/>
  <c r="S8" i="30"/>
  <c r="R8" i="30"/>
  <c r="Q8" i="30"/>
  <c r="AB7" i="30"/>
  <c r="AA7" i="30"/>
  <c r="Z7" i="30"/>
  <c r="Y7" i="30"/>
  <c r="X7" i="30"/>
  <c r="W7" i="30"/>
  <c r="V7" i="30"/>
  <c r="U7" i="30"/>
  <c r="T7" i="30"/>
  <c r="S7" i="30"/>
  <c r="R7" i="30"/>
  <c r="Q7" i="30"/>
  <c r="AB6" i="30"/>
  <c r="AA6" i="30"/>
  <c r="Z6" i="30"/>
  <c r="Y6" i="30"/>
  <c r="X6" i="30"/>
  <c r="W6" i="30"/>
  <c r="V6" i="30"/>
  <c r="U6" i="30"/>
  <c r="T6" i="30"/>
  <c r="S6" i="30"/>
  <c r="R6" i="30"/>
  <c r="Q6" i="30"/>
  <c r="AB5" i="30"/>
  <c r="AA5" i="30"/>
  <c r="Z5" i="30"/>
  <c r="Y5" i="30"/>
  <c r="X5" i="30"/>
  <c r="W5" i="30"/>
  <c r="V5" i="30"/>
  <c r="U5" i="30"/>
  <c r="T5" i="30"/>
  <c r="S5" i="30"/>
  <c r="R5" i="30"/>
  <c r="Q5" i="30"/>
  <c r="AB4" i="30"/>
  <c r="AA4" i="30"/>
  <c r="Z4" i="30"/>
  <c r="Y4" i="30"/>
  <c r="X4" i="30"/>
  <c r="W4" i="30"/>
  <c r="V4" i="30"/>
  <c r="U4" i="30"/>
  <c r="T4" i="30"/>
  <c r="S4" i="30"/>
  <c r="R4" i="30"/>
  <c r="Q4" i="30"/>
  <c r="AB22" i="21"/>
  <c r="AA22" i="21"/>
  <c r="Z22" i="21"/>
  <c r="Y22" i="21"/>
  <c r="X22" i="21"/>
  <c r="W22" i="21"/>
  <c r="V22" i="21"/>
  <c r="U22" i="21"/>
  <c r="T22" i="21"/>
  <c r="S22" i="21"/>
  <c r="R22" i="21"/>
  <c r="Q22" i="21"/>
  <c r="AB21" i="21"/>
  <c r="AA21" i="21"/>
  <c r="Z21" i="21"/>
  <c r="Y21" i="21"/>
  <c r="X21" i="21"/>
  <c r="W21" i="21"/>
  <c r="V21" i="21"/>
  <c r="U21" i="21"/>
  <c r="T21" i="21"/>
  <c r="S21" i="21"/>
  <c r="R21" i="21"/>
  <c r="Q21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B17" i="21"/>
  <c r="AA17" i="21"/>
  <c r="Z17" i="21"/>
  <c r="Y17" i="21"/>
  <c r="X17" i="21"/>
  <c r="W17" i="21"/>
  <c r="V17" i="21"/>
  <c r="U17" i="21"/>
  <c r="T17" i="21"/>
  <c r="S17" i="21"/>
  <c r="R17" i="21"/>
  <c r="Q17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AB14" i="21"/>
  <c r="AA14" i="21"/>
  <c r="Z14" i="21"/>
  <c r="Y14" i="21"/>
  <c r="X14" i="21"/>
  <c r="W14" i="21"/>
  <c r="V14" i="21"/>
  <c r="U14" i="21"/>
  <c r="T14" i="21"/>
  <c r="S14" i="21"/>
  <c r="R14" i="21"/>
  <c r="Q14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AB9" i="21"/>
  <c r="AA9" i="21"/>
  <c r="Z9" i="21"/>
  <c r="Y9" i="21"/>
  <c r="X9" i="21"/>
  <c r="W9" i="21"/>
  <c r="V9" i="21"/>
  <c r="U9" i="21"/>
  <c r="T9" i="21"/>
  <c r="S9" i="21"/>
  <c r="R9" i="21"/>
  <c r="Q9" i="21"/>
  <c r="AB8" i="21"/>
  <c r="AA8" i="21"/>
  <c r="Z8" i="21"/>
  <c r="Y8" i="21"/>
  <c r="X8" i="21"/>
  <c r="W8" i="21"/>
  <c r="V8" i="21"/>
  <c r="U8" i="21"/>
  <c r="T8" i="21"/>
  <c r="S8" i="21"/>
  <c r="R8" i="21"/>
  <c r="Q8" i="21"/>
  <c r="AB7" i="21"/>
  <c r="AA7" i="21"/>
  <c r="Z7" i="21"/>
  <c r="Y7" i="21"/>
  <c r="X7" i="21"/>
  <c r="W7" i="21"/>
  <c r="V7" i="21"/>
  <c r="U7" i="21"/>
  <c r="T7" i="21"/>
  <c r="S7" i="21"/>
  <c r="R7" i="21"/>
  <c r="Q7" i="21"/>
  <c r="AB6" i="21"/>
  <c r="AA6" i="21"/>
  <c r="Z6" i="21"/>
  <c r="Y6" i="21"/>
  <c r="X6" i="21"/>
  <c r="W6" i="21"/>
  <c r="V6" i="21"/>
  <c r="U6" i="21"/>
  <c r="T6" i="21"/>
  <c r="S6" i="21"/>
  <c r="R6" i="21"/>
  <c r="Q6" i="21"/>
  <c r="AB5" i="21"/>
  <c r="AA5" i="21"/>
  <c r="Z5" i="21"/>
  <c r="Y5" i="21"/>
  <c r="X5" i="21"/>
  <c r="W5" i="21"/>
  <c r="V5" i="21"/>
  <c r="U5" i="21"/>
  <c r="T5" i="21"/>
  <c r="S5" i="21"/>
  <c r="R5" i="21"/>
  <c r="Q5" i="21"/>
  <c r="AB4" i="21"/>
  <c r="AA4" i="21"/>
  <c r="Z4" i="21"/>
  <c r="Y4" i="21"/>
  <c r="X4" i="21"/>
  <c r="W4" i="21"/>
  <c r="V4" i="21"/>
  <c r="U4" i="21"/>
  <c r="T4" i="21"/>
  <c r="S4" i="21"/>
  <c r="R4" i="21"/>
  <c r="Q4" i="21"/>
  <c r="U22" i="29"/>
  <c r="T22" i="29"/>
  <c r="S22" i="29"/>
  <c r="R22" i="29"/>
  <c r="Q22" i="29"/>
  <c r="U21" i="29"/>
  <c r="T21" i="29"/>
  <c r="S21" i="29"/>
  <c r="R21" i="29"/>
  <c r="Q21" i="29"/>
  <c r="U20" i="29"/>
  <c r="T20" i="29"/>
  <c r="S20" i="29"/>
  <c r="R20" i="29"/>
  <c r="Q20" i="29"/>
  <c r="U19" i="29"/>
  <c r="T19" i="29"/>
  <c r="S19" i="29"/>
  <c r="R19" i="29"/>
  <c r="Q19" i="29"/>
  <c r="U18" i="29"/>
  <c r="T18" i="29"/>
  <c r="S18" i="29"/>
  <c r="R18" i="29"/>
  <c r="Q18" i="29"/>
  <c r="U17" i="29"/>
  <c r="T17" i="29"/>
  <c r="S17" i="29"/>
  <c r="R17" i="29"/>
  <c r="Q17" i="29"/>
  <c r="U16" i="29"/>
  <c r="T16" i="29"/>
  <c r="S16" i="29"/>
  <c r="R16" i="29"/>
  <c r="Q16" i="29"/>
  <c r="U15" i="29"/>
  <c r="T15" i="29"/>
  <c r="S15" i="29"/>
  <c r="R15" i="29"/>
  <c r="Q15" i="29"/>
  <c r="U14" i="29"/>
  <c r="T14" i="29"/>
  <c r="S14" i="29"/>
  <c r="R14" i="29"/>
  <c r="Q14" i="29"/>
  <c r="U13" i="29"/>
  <c r="T13" i="29"/>
  <c r="S13" i="29"/>
  <c r="R13" i="29"/>
  <c r="Q13" i="29"/>
  <c r="U12" i="29"/>
  <c r="T12" i="29"/>
  <c r="S12" i="29"/>
  <c r="R12" i="29"/>
  <c r="Q12" i="29"/>
  <c r="U11" i="29"/>
  <c r="T11" i="29"/>
  <c r="S11" i="29"/>
  <c r="R11" i="29"/>
  <c r="Q11" i="29"/>
  <c r="U10" i="29"/>
  <c r="T10" i="29"/>
  <c r="S10" i="29"/>
  <c r="R10" i="29"/>
  <c r="Q10" i="29"/>
  <c r="U9" i="29"/>
  <c r="T9" i="29"/>
  <c r="S9" i="29"/>
  <c r="R9" i="29"/>
  <c r="Q9" i="29"/>
  <c r="U8" i="29"/>
  <c r="T8" i="29"/>
  <c r="S8" i="29"/>
  <c r="R8" i="29"/>
  <c r="Q8" i="29"/>
  <c r="U7" i="29"/>
  <c r="T7" i="29"/>
  <c r="S7" i="29"/>
  <c r="R7" i="29"/>
  <c r="Q7" i="29"/>
  <c r="U6" i="29"/>
  <c r="T6" i="29"/>
  <c r="S6" i="29"/>
  <c r="R6" i="29"/>
  <c r="Q6" i="29"/>
  <c r="U5" i="29"/>
  <c r="T5" i="29"/>
  <c r="S5" i="29"/>
  <c r="R5" i="29"/>
  <c r="Q5" i="29"/>
  <c r="U4" i="29"/>
  <c r="T4" i="29"/>
  <c r="S4" i="29"/>
  <c r="R4" i="29"/>
  <c r="Q4" i="29"/>
  <c r="AB22" i="20"/>
  <c r="AA22" i="20"/>
  <c r="Z22" i="20"/>
  <c r="Y22" i="20"/>
  <c r="X22" i="20"/>
  <c r="W22" i="20"/>
  <c r="V22" i="20"/>
  <c r="U22" i="20"/>
  <c r="T22" i="20"/>
  <c r="S22" i="20"/>
  <c r="R22" i="20"/>
  <c r="Q22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AB17" i="20"/>
  <c r="AA17" i="20"/>
  <c r="Z17" i="20"/>
  <c r="Y17" i="20"/>
  <c r="X17" i="20"/>
  <c r="W17" i="20"/>
  <c r="V17" i="20"/>
  <c r="U17" i="20"/>
  <c r="T17" i="20"/>
  <c r="S17" i="20"/>
  <c r="R17" i="20"/>
  <c r="Q17" i="20"/>
  <c r="AB16" i="20"/>
  <c r="AA16" i="20"/>
  <c r="Z16" i="20"/>
  <c r="Y16" i="20"/>
  <c r="X16" i="20"/>
  <c r="W16" i="20"/>
  <c r="V16" i="20"/>
  <c r="U16" i="20"/>
  <c r="T16" i="20"/>
  <c r="S16" i="20"/>
  <c r="R16" i="20"/>
  <c r="Q16" i="20"/>
  <c r="AB15" i="20"/>
  <c r="AA15" i="20"/>
  <c r="Z15" i="20"/>
  <c r="Y15" i="20"/>
  <c r="X15" i="20"/>
  <c r="W15" i="20"/>
  <c r="V15" i="20"/>
  <c r="U15" i="20"/>
  <c r="T15" i="20"/>
  <c r="S15" i="20"/>
  <c r="R15" i="20"/>
  <c r="Q15" i="20"/>
  <c r="AB14" i="20"/>
  <c r="AA14" i="20"/>
  <c r="Z14" i="20"/>
  <c r="Y14" i="20"/>
  <c r="X14" i="20"/>
  <c r="W14" i="20"/>
  <c r="V14" i="20"/>
  <c r="U14" i="20"/>
  <c r="T14" i="20"/>
  <c r="S14" i="20"/>
  <c r="R14" i="20"/>
  <c r="Q14" i="20"/>
  <c r="AB13" i="20"/>
  <c r="AA13" i="20"/>
  <c r="Z13" i="20"/>
  <c r="Y13" i="20"/>
  <c r="X13" i="20"/>
  <c r="W13" i="20"/>
  <c r="V13" i="20"/>
  <c r="U13" i="20"/>
  <c r="T13" i="20"/>
  <c r="S13" i="20"/>
  <c r="R13" i="20"/>
  <c r="Q13" i="20"/>
  <c r="AB12" i="20"/>
  <c r="AA12" i="20"/>
  <c r="Z12" i="20"/>
  <c r="Y12" i="20"/>
  <c r="X12" i="20"/>
  <c r="W12" i="20"/>
  <c r="V12" i="20"/>
  <c r="U12" i="20"/>
  <c r="T12" i="20"/>
  <c r="S12" i="20"/>
  <c r="R12" i="20"/>
  <c r="Q12" i="20"/>
  <c r="AB11" i="20"/>
  <c r="AA11" i="20"/>
  <c r="Z11" i="20"/>
  <c r="Y11" i="20"/>
  <c r="X11" i="20"/>
  <c r="W11" i="20"/>
  <c r="V11" i="20"/>
  <c r="U11" i="20"/>
  <c r="T11" i="20"/>
  <c r="S11" i="20"/>
  <c r="R11" i="20"/>
  <c r="Q11" i="20"/>
  <c r="AB10" i="20"/>
  <c r="AA10" i="20"/>
  <c r="Z10" i="20"/>
  <c r="Y10" i="20"/>
  <c r="X10" i="20"/>
  <c r="W10" i="20"/>
  <c r="V10" i="20"/>
  <c r="U10" i="20"/>
  <c r="T10" i="20"/>
  <c r="S10" i="20"/>
  <c r="R10" i="20"/>
  <c r="Q10" i="20"/>
  <c r="AB9" i="20"/>
  <c r="AA9" i="20"/>
  <c r="Z9" i="20"/>
  <c r="Y9" i="20"/>
  <c r="X9" i="20"/>
  <c r="W9" i="20"/>
  <c r="V9" i="20"/>
  <c r="U9" i="20"/>
  <c r="T9" i="20"/>
  <c r="S9" i="20"/>
  <c r="R9" i="20"/>
  <c r="Q9" i="20"/>
  <c r="AB8" i="20"/>
  <c r="AA8" i="20"/>
  <c r="Z8" i="20"/>
  <c r="Y8" i="20"/>
  <c r="X8" i="20"/>
  <c r="W8" i="20"/>
  <c r="V8" i="20"/>
  <c r="U8" i="20"/>
  <c r="T8" i="20"/>
  <c r="S8" i="20"/>
  <c r="R8" i="20"/>
  <c r="Q8" i="20"/>
  <c r="AB7" i="20"/>
  <c r="AA7" i="20"/>
  <c r="Z7" i="20"/>
  <c r="Y7" i="20"/>
  <c r="X7" i="20"/>
  <c r="W7" i="20"/>
  <c r="V7" i="20"/>
  <c r="U7" i="20"/>
  <c r="T7" i="20"/>
  <c r="S7" i="20"/>
  <c r="R7" i="20"/>
  <c r="Q7" i="20"/>
  <c r="AB6" i="20"/>
  <c r="AA6" i="20"/>
  <c r="Z6" i="20"/>
  <c r="Y6" i="20"/>
  <c r="X6" i="20"/>
  <c r="W6" i="20"/>
  <c r="V6" i="20"/>
  <c r="U6" i="20"/>
  <c r="T6" i="20"/>
  <c r="S6" i="20"/>
  <c r="R6" i="20"/>
  <c r="Q6" i="20"/>
  <c r="AB5" i="20"/>
  <c r="AA5" i="20"/>
  <c r="Z5" i="20"/>
  <c r="Y5" i="20"/>
  <c r="X5" i="20"/>
  <c r="W5" i="20"/>
  <c r="V5" i="20"/>
  <c r="U5" i="20"/>
  <c r="T5" i="20"/>
  <c r="S5" i="20"/>
  <c r="R5" i="20"/>
  <c r="Q5" i="20"/>
  <c r="AB4" i="20"/>
  <c r="AA4" i="20"/>
  <c r="Z4" i="20"/>
  <c r="Y4" i="20"/>
  <c r="X4" i="20"/>
  <c r="W4" i="20"/>
  <c r="V4" i="20"/>
  <c r="U4" i="20"/>
  <c r="T4" i="20"/>
  <c r="S4" i="20"/>
  <c r="R4" i="20"/>
  <c r="Q4" i="20"/>
  <c r="AB22" i="19"/>
  <c r="AA22" i="19"/>
  <c r="Z22" i="19"/>
  <c r="Y22" i="19"/>
  <c r="X22" i="19"/>
  <c r="W22" i="19"/>
  <c r="V22" i="19"/>
  <c r="U22" i="19"/>
  <c r="T22" i="19"/>
  <c r="S22" i="19"/>
  <c r="R22" i="19"/>
  <c r="Q22" i="19"/>
  <c r="AB21" i="19"/>
  <c r="AA21" i="19"/>
  <c r="Z21" i="19"/>
  <c r="Y21" i="19"/>
  <c r="X21" i="19"/>
  <c r="W21" i="19"/>
  <c r="V21" i="19"/>
  <c r="U21" i="19"/>
  <c r="T21" i="19"/>
  <c r="S21" i="19"/>
  <c r="R21" i="19"/>
  <c r="Q21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AB19" i="19"/>
  <c r="AA19" i="19"/>
  <c r="Z19" i="19"/>
  <c r="Y19" i="19"/>
  <c r="X19" i="19"/>
  <c r="W19" i="19"/>
  <c r="V19" i="19"/>
  <c r="U19" i="19"/>
  <c r="T19" i="19"/>
  <c r="S19" i="19"/>
  <c r="R19" i="19"/>
  <c r="Q19" i="19"/>
  <c r="AB18" i="19"/>
  <c r="AA18" i="19"/>
  <c r="Z18" i="19"/>
  <c r="Y18" i="19"/>
  <c r="X18" i="19"/>
  <c r="W18" i="19"/>
  <c r="V18" i="19"/>
  <c r="U18" i="19"/>
  <c r="T18" i="19"/>
  <c r="S18" i="19"/>
  <c r="R18" i="19"/>
  <c r="Q18" i="19"/>
  <c r="AB17" i="19"/>
  <c r="AA17" i="19"/>
  <c r="Z17" i="19"/>
  <c r="Y17" i="19"/>
  <c r="X17" i="19"/>
  <c r="W17" i="19"/>
  <c r="V17" i="19"/>
  <c r="U17" i="19"/>
  <c r="T17" i="19"/>
  <c r="S17" i="19"/>
  <c r="R17" i="19"/>
  <c r="Q17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AB14" i="19"/>
  <c r="AA14" i="19"/>
  <c r="Z14" i="19"/>
  <c r="Y14" i="19"/>
  <c r="X14" i="19"/>
  <c r="W14" i="19"/>
  <c r="V14" i="19"/>
  <c r="U14" i="19"/>
  <c r="T14" i="19"/>
  <c r="S14" i="19"/>
  <c r="R14" i="19"/>
  <c r="Q14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AB9" i="19"/>
  <c r="AA9" i="19"/>
  <c r="Z9" i="19"/>
  <c r="Y9" i="19"/>
  <c r="X9" i="19"/>
  <c r="W9" i="19"/>
  <c r="V9" i="19"/>
  <c r="U9" i="19"/>
  <c r="T9" i="19"/>
  <c r="S9" i="19"/>
  <c r="R9" i="19"/>
  <c r="Q9" i="19"/>
  <c r="AB8" i="19"/>
  <c r="AA8" i="19"/>
  <c r="Z8" i="19"/>
  <c r="Y8" i="19"/>
  <c r="X8" i="19"/>
  <c r="W8" i="19"/>
  <c r="V8" i="19"/>
  <c r="U8" i="19"/>
  <c r="T8" i="19"/>
  <c r="S8" i="19"/>
  <c r="R8" i="19"/>
  <c r="Q8" i="19"/>
  <c r="AB7" i="19"/>
  <c r="AA7" i="19"/>
  <c r="Z7" i="19"/>
  <c r="Y7" i="19"/>
  <c r="X7" i="19"/>
  <c r="W7" i="19"/>
  <c r="V7" i="19"/>
  <c r="U7" i="19"/>
  <c r="T7" i="19"/>
  <c r="S7" i="19"/>
  <c r="R7" i="19"/>
  <c r="Q7" i="19"/>
  <c r="AB6" i="19"/>
  <c r="AA6" i="19"/>
  <c r="Z6" i="19"/>
  <c r="Y6" i="19"/>
  <c r="X6" i="19"/>
  <c r="W6" i="19"/>
  <c r="V6" i="19"/>
  <c r="U6" i="19"/>
  <c r="T6" i="19"/>
  <c r="S6" i="19"/>
  <c r="R6" i="19"/>
  <c r="Q6" i="19"/>
  <c r="AB5" i="19"/>
  <c r="AA5" i="19"/>
  <c r="Z5" i="19"/>
  <c r="Y5" i="19"/>
  <c r="X5" i="19"/>
  <c r="W5" i="19"/>
  <c r="V5" i="19"/>
  <c r="U5" i="19"/>
  <c r="T5" i="19"/>
  <c r="S5" i="19"/>
  <c r="R5" i="19"/>
  <c r="Q5" i="19"/>
  <c r="AB4" i="19"/>
  <c r="AA4" i="19"/>
  <c r="Z4" i="19"/>
  <c r="Y4" i="19"/>
  <c r="X4" i="19"/>
  <c r="W4" i="19"/>
  <c r="V4" i="19"/>
  <c r="U4" i="19"/>
  <c r="T4" i="19"/>
  <c r="S4" i="19"/>
  <c r="R4" i="19"/>
  <c r="Q4" i="19"/>
  <c r="AB22" i="18"/>
  <c r="AA22" i="18"/>
  <c r="Z22" i="18"/>
  <c r="Y22" i="18"/>
  <c r="X22" i="18"/>
  <c r="W22" i="18"/>
  <c r="V22" i="18"/>
  <c r="U22" i="18"/>
  <c r="T22" i="18"/>
  <c r="S22" i="18"/>
  <c r="R22" i="18"/>
  <c r="Q22" i="18"/>
  <c r="AB21" i="18"/>
  <c r="AA21" i="18"/>
  <c r="Z21" i="18"/>
  <c r="Y21" i="18"/>
  <c r="X21" i="18"/>
  <c r="W21" i="18"/>
  <c r="V21" i="18"/>
  <c r="U21" i="18"/>
  <c r="T21" i="18"/>
  <c r="S21" i="18"/>
  <c r="R21" i="18"/>
  <c r="Q21" i="18"/>
  <c r="AB20" i="18"/>
  <c r="AA20" i="18"/>
  <c r="Z20" i="18"/>
  <c r="Y20" i="18"/>
  <c r="X20" i="18"/>
  <c r="W20" i="18"/>
  <c r="V20" i="18"/>
  <c r="U20" i="18"/>
  <c r="T20" i="18"/>
  <c r="S20" i="18"/>
  <c r="R20" i="18"/>
  <c r="Q20" i="18"/>
  <c r="AB19" i="18"/>
  <c r="AA19" i="18"/>
  <c r="Z19" i="18"/>
  <c r="Y19" i="18"/>
  <c r="X19" i="18"/>
  <c r="W19" i="18"/>
  <c r="V19" i="18"/>
  <c r="U19" i="18"/>
  <c r="T19" i="18"/>
  <c r="S19" i="18"/>
  <c r="R19" i="18"/>
  <c r="Q19" i="18"/>
  <c r="AB18" i="18"/>
  <c r="AA18" i="18"/>
  <c r="Z18" i="18"/>
  <c r="Y18" i="18"/>
  <c r="X18" i="18"/>
  <c r="W18" i="18"/>
  <c r="V18" i="18"/>
  <c r="U18" i="18"/>
  <c r="T18" i="18"/>
  <c r="S18" i="18"/>
  <c r="R18" i="18"/>
  <c r="Q18" i="18"/>
  <c r="AB17" i="18"/>
  <c r="AA17" i="18"/>
  <c r="Z17" i="18"/>
  <c r="Y17" i="18"/>
  <c r="X17" i="18"/>
  <c r="W17" i="18"/>
  <c r="V17" i="18"/>
  <c r="U17" i="18"/>
  <c r="T17" i="18"/>
  <c r="S17" i="18"/>
  <c r="R17" i="18"/>
  <c r="Q17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AB15" i="18"/>
  <c r="Z15" i="18"/>
  <c r="Y15" i="18"/>
  <c r="X15" i="18"/>
  <c r="W15" i="18"/>
  <c r="V15" i="18"/>
  <c r="U15" i="18"/>
  <c r="T15" i="18"/>
  <c r="S15" i="18"/>
  <c r="R15" i="18"/>
  <c r="Q15" i="18"/>
  <c r="AB14" i="18"/>
  <c r="AA14" i="18"/>
  <c r="Z14" i="18"/>
  <c r="Y14" i="18"/>
  <c r="X14" i="18"/>
  <c r="W14" i="18"/>
  <c r="V14" i="18"/>
  <c r="U14" i="18"/>
  <c r="T14" i="18"/>
  <c r="S14" i="18"/>
  <c r="R14" i="18"/>
  <c r="Q14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AB12" i="18"/>
  <c r="AA12" i="18"/>
  <c r="Z12" i="18"/>
  <c r="Y12" i="18"/>
  <c r="X12" i="18"/>
  <c r="W12" i="18"/>
  <c r="V12" i="18"/>
  <c r="U12" i="18"/>
  <c r="T12" i="18"/>
  <c r="S12" i="18"/>
  <c r="R12" i="18"/>
  <c r="Q12" i="18"/>
  <c r="AB11" i="18"/>
  <c r="AA11" i="18"/>
  <c r="Z11" i="18"/>
  <c r="Y11" i="18"/>
  <c r="X11" i="18"/>
  <c r="W11" i="18"/>
  <c r="V11" i="18"/>
  <c r="U11" i="18"/>
  <c r="T11" i="18"/>
  <c r="S11" i="18"/>
  <c r="R11" i="18"/>
  <c r="Q11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AB9" i="18"/>
  <c r="AA9" i="18"/>
  <c r="Z9" i="18"/>
  <c r="Y9" i="18"/>
  <c r="X9" i="18"/>
  <c r="W9" i="18"/>
  <c r="V9" i="18"/>
  <c r="U9" i="18"/>
  <c r="T9" i="18"/>
  <c r="S9" i="18"/>
  <c r="R9" i="18"/>
  <c r="Q9" i="18"/>
  <c r="AB8" i="18"/>
  <c r="AA8" i="18"/>
  <c r="Z8" i="18"/>
  <c r="Y8" i="18"/>
  <c r="X8" i="18"/>
  <c r="W8" i="18"/>
  <c r="V8" i="18"/>
  <c r="U8" i="18"/>
  <c r="T8" i="18"/>
  <c r="S8" i="18"/>
  <c r="R8" i="18"/>
  <c r="Q8" i="18"/>
  <c r="AB7" i="18"/>
  <c r="AA7" i="18"/>
  <c r="Z7" i="18"/>
  <c r="Y7" i="18"/>
  <c r="X7" i="18"/>
  <c r="W7" i="18"/>
  <c r="V7" i="18"/>
  <c r="U7" i="18"/>
  <c r="T7" i="18"/>
  <c r="S7" i="18"/>
  <c r="R7" i="18"/>
  <c r="Q7" i="18"/>
  <c r="AB6" i="18"/>
  <c r="AA6" i="18"/>
  <c r="Z6" i="18"/>
  <c r="Y6" i="18"/>
  <c r="X6" i="18"/>
  <c r="W6" i="18"/>
  <c r="V6" i="18"/>
  <c r="U6" i="18"/>
  <c r="T6" i="18"/>
  <c r="S6" i="18"/>
  <c r="R6" i="18"/>
  <c r="Q6" i="18"/>
  <c r="AB5" i="18"/>
  <c r="AA5" i="18"/>
  <c r="Z5" i="18"/>
  <c r="Y5" i="18"/>
  <c r="X5" i="18"/>
  <c r="W5" i="18"/>
  <c r="V5" i="18"/>
  <c r="U5" i="18"/>
  <c r="T5" i="18"/>
  <c r="S5" i="18"/>
  <c r="R5" i="18"/>
  <c r="Q5" i="18"/>
  <c r="AB4" i="18"/>
  <c r="AA4" i="18"/>
  <c r="Z4" i="18"/>
  <c r="Y4" i="18"/>
  <c r="X4" i="18"/>
  <c r="W4" i="18"/>
  <c r="V4" i="18"/>
  <c r="U4" i="18"/>
  <c r="T4" i="18"/>
  <c r="S4" i="18"/>
  <c r="R4" i="18"/>
  <c r="Q4" i="18"/>
  <c r="Z20" i="16"/>
  <c r="Y20" i="16"/>
  <c r="X20" i="16"/>
  <c r="W20" i="16"/>
  <c r="V20" i="16"/>
  <c r="U20" i="16"/>
  <c r="T20" i="16"/>
  <c r="S20" i="16"/>
  <c r="R20" i="16"/>
  <c r="Q20" i="16"/>
  <c r="Z19" i="16"/>
  <c r="Y19" i="16"/>
  <c r="X19" i="16"/>
  <c r="W19" i="16"/>
  <c r="V19" i="16"/>
  <c r="U19" i="16"/>
  <c r="T19" i="16"/>
  <c r="S19" i="16"/>
  <c r="R19" i="16"/>
  <c r="Q19" i="16"/>
  <c r="Z18" i="16"/>
  <c r="Y18" i="16"/>
  <c r="X18" i="16"/>
  <c r="W18" i="16"/>
  <c r="V18" i="16"/>
  <c r="U18" i="16"/>
  <c r="T18" i="16"/>
  <c r="S18" i="16"/>
  <c r="R18" i="16"/>
  <c r="Q18" i="16"/>
  <c r="Z17" i="16"/>
  <c r="Y17" i="16"/>
  <c r="X17" i="16"/>
  <c r="W17" i="16"/>
  <c r="V17" i="16"/>
  <c r="U17" i="16"/>
  <c r="T17" i="16"/>
  <c r="S17" i="16"/>
  <c r="R17" i="16"/>
  <c r="Q17" i="16"/>
  <c r="Z16" i="16"/>
  <c r="Y16" i="16"/>
  <c r="X16" i="16"/>
  <c r="W16" i="16"/>
  <c r="V16" i="16"/>
  <c r="U16" i="16"/>
  <c r="T16" i="16"/>
  <c r="S16" i="16"/>
  <c r="R16" i="16"/>
  <c r="Q16" i="16"/>
  <c r="Z15" i="16"/>
  <c r="Y15" i="16"/>
  <c r="X15" i="16"/>
  <c r="W15" i="16"/>
  <c r="V15" i="16"/>
  <c r="U15" i="16"/>
  <c r="T15" i="16"/>
  <c r="S15" i="16"/>
  <c r="R15" i="16"/>
  <c r="Q15" i="16"/>
  <c r="Z14" i="16"/>
  <c r="Y14" i="16"/>
  <c r="X14" i="16"/>
  <c r="W14" i="16"/>
  <c r="V14" i="16"/>
  <c r="U14" i="16"/>
  <c r="T14" i="16"/>
  <c r="S14" i="16"/>
  <c r="R14" i="16"/>
  <c r="Q14" i="16"/>
  <c r="Z13" i="16"/>
  <c r="Y13" i="16"/>
  <c r="X13" i="16"/>
  <c r="W13" i="16"/>
  <c r="V13" i="16"/>
  <c r="U13" i="16"/>
  <c r="T13" i="16"/>
  <c r="S13" i="16"/>
  <c r="R13" i="16"/>
  <c r="Q13" i="16"/>
  <c r="Z12" i="16"/>
  <c r="Y12" i="16"/>
  <c r="X12" i="16"/>
  <c r="W12" i="16"/>
  <c r="V12" i="16"/>
  <c r="U12" i="16"/>
  <c r="T12" i="16"/>
  <c r="S12" i="16"/>
  <c r="R12" i="16"/>
  <c r="Q12" i="16"/>
  <c r="Z11" i="16"/>
  <c r="Y11" i="16"/>
  <c r="X11" i="16"/>
  <c r="W11" i="16"/>
  <c r="V11" i="16"/>
  <c r="U11" i="16"/>
  <c r="T11" i="16"/>
  <c r="S11" i="16"/>
  <c r="R11" i="16"/>
  <c r="Q11" i="16"/>
  <c r="Z10" i="16"/>
  <c r="Y10" i="16"/>
  <c r="X10" i="16"/>
  <c r="W10" i="16"/>
  <c r="V10" i="16"/>
  <c r="U10" i="16"/>
  <c r="T10" i="16"/>
  <c r="S10" i="16"/>
  <c r="R10" i="16"/>
  <c r="Q10" i="16"/>
  <c r="Z9" i="16"/>
  <c r="Y9" i="16"/>
  <c r="X9" i="16"/>
  <c r="W9" i="16"/>
  <c r="V9" i="16"/>
  <c r="U9" i="16"/>
  <c r="T9" i="16"/>
  <c r="S9" i="16"/>
  <c r="R9" i="16"/>
  <c r="Q9" i="16"/>
  <c r="Z8" i="16"/>
  <c r="Y8" i="16"/>
  <c r="X8" i="16"/>
  <c r="W8" i="16"/>
  <c r="V8" i="16"/>
  <c r="U8" i="16"/>
  <c r="T8" i="16"/>
  <c r="S8" i="16"/>
  <c r="R8" i="16"/>
  <c r="Q8" i="16"/>
  <c r="Z7" i="16"/>
  <c r="Y7" i="16"/>
  <c r="X7" i="16"/>
  <c r="W7" i="16"/>
  <c r="V7" i="16"/>
  <c r="U7" i="16"/>
  <c r="T7" i="16"/>
  <c r="S7" i="16"/>
  <c r="R7" i="16"/>
  <c r="Q7" i="16"/>
  <c r="Z6" i="16"/>
  <c r="Y6" i="16"/>
  <c r="X6" i="16"/>
  <c r="W6" i="16"/>
  <c r="V6" i="16"/>
  <c r="U6" i="16"/>
  <c r="T6" i="16"/>
  <c r="S6" i="16"/>
  <c r="R6" i="16"/>
  <c r="Q6" i="16"/>
  <c r="Z5" i="16"/>
  <c r="Y5" i="16"/>
  <c r="X5" i="16"/>
  <c r="W5" i="16"/>
  <c r="V5" i="16"/>
  <c r="U5" i="16"/>
  <c r="T5" i="16"/>
  <c r="S5" i="16"/>
  <c r="R5" i="16"/>
  <c r="Q5" i="16"/>
  <c r="Z4" i="16"/>
  <c r="Y4" i="16"/>
  <c r="X4" i="16"/>
  <c r="W4" i="16"/>
  <c r="V4" i="16"/>
  <c r="U4" i="16"/>
  <c r="T4" i="16"/>
  <c r="S4" i="16"/>
  <c r="R4" i="16"/>
  <c r="Q4" i="16"/>
  <c r="U22" i="26"/>
  <c r="T22" i="26"/>
  <c r="S22" i="26"/>
  <c r="R22" i="26"/>
  <c r="Q22" i="26"/>
  <c r="U21" i="26"/>
  <c r="T21" i="26"/>
  <c r="S21" i="26"/>
  <c r="R21" i="26"/>
  <c r="Q21" i="26"/>
  <c r="U20" i="26"/>
  <c r="T20" i="26"/>
  <c r="S20" i="26"/>
  <c r="R20" i="26"/>
  <c r="Q20" i="26"/>
  <c r="U19" i="26"/>
  <c r="T19" i="26"/>
  <c r="S19" i="26"/>
  <c r="R19" i="26"/>
  <c r="Q19" i="26"/>
  <c r="U18" i="26"/>
  <c r="T18" i="26"/>
  <c r="S18" i="26"/>
  <c r="R18" i="26"/>
  <c r="Q18" i="26"/>
  <c r="U17" i="26"/>
  <c r="T17" i="26"/>
  <c r="S17" i="26"/>
  <c r="R17" i="26"/>
  <c r="Q17" i="26"/>
  <c r="U16" i="26"/>
  <c r="T16" i="26"/>
  <c r="S16" i="26"/>
  <c r="R16" i="26"/>
  <c r="Q16" i="26"/>
  <c r="U15" i="26"/>
  <c r="T15" i="26"/>
  <c r="S15" i="26"/>
  <c r="R15" i="26"/>
  <c r="Q15" i="26"/>
  <c r="U14" i="26"/>
  <c r="T14" i="26"/>
  <c r="S14" i="26"/>
  <c r="R14" i="26"/>
  <c r="Q14" i="26"/>
  <c r="U13" i="26"/>
  <c r="T13" i="26"/>
  <c r="S13" i="26"/>
  <c r="R13" i="26"/>
  <c r="Q13" i="26"/>
  <c r="U12" i="26"/>
  <c r="T12" i="26"/>
  <c r="S12" i="26"/>
  <c r="R12" i="26"/>
  <c r="Q12" i="26"/>
  <c r="U11" i="26"/>
  <c r="T11" i="26"/>
  <c r="S11" i="26"/>
  <c r="R11" i="26"/>
  <c r="Q11" i="26"/>
  <c r="U10" i="26"/>
  <c r="T10" i="26"/>
  <c r="S10" i="26"/>
  <c r="R10" i="26"/>
  <c r="Q10" i="26"/>
  <c r="U9" i="26"/>
  <c r="T9" i="26"/>
  <c r="S9" i="26"/>
  <c r="R9" i="26"/>
  <c r="Q9" i="26"/>
  <c r="U8" i="26"/>
  <c r="T8" i="26"/>
  <c r="S8" i="26"/>
  <c r="R8" i="26"/>
  <c r="Q8" i="26"/>
  <c r="U7" i="26"/>
  <c r="T7" i="26"/>
  <c r="S7" i="26"/>
  <c r="R7" i="26"/>
  <c r="Q7" i="26"/>
  <c r="U6" i="26"/>
  <c r="T6" i="26"/>
  <c r="S6" i="26"/>
  <c r="R6" i="26"/>
  <c r="Q6" i="26"/>
  <c r="U5" i="26"/>
  <c r="T5" i="26"/>
  <c r="S5" i="26"/>
  <c r="R5" i="26"/>
  <c r="Q5" i="26"/>
  <c r="U4" i="26"/>
  <c r="T4" i="26"/>
  <c r="S4" i="26"/>
  <c r="R4" i="26"/>
  <c r="Q4" i="26"/>
  <c r="Z22" i="11"/>
  <c r="Y22" i="11"/>
  <c r="X22" i="11"/>
  <c r="W22" i="11"/>
  <c r="V22" i="11"/>
  <c r="U22" i="11"/>
  <c r="T22" i="11"/>
  <c r="S22" i="11"/>
  <c r="R22" i="11"/>
  <c r="Q22" i="11"/>
  <c r="Z21" i="11"/>
  <c r="Y21" i="11"/>
  <c r="X21" i="11"/>
  <c r="W21" i="11"/>
  <c r="V21" i="11"/>
  <c r="U21" i="11"/>
  <c r="T21" i="11"/>
  <c r="S21" i="11"/>
  <c r="R21" i="11"/>
  <c r="Q21" i="11"/>
  <c r="Z20" i="11"/>
  <c r="Y20" i="11"/>
  <c r="X20" i="11"/>
  <c r="W20" i="11"/>
  <c r="V20" i="11"/>
  <c r="U20" i="11"/>
  <c r="T20" i="11"/>
  <c r="S20" i="11"/>
  <c r="R20" i="11"/>
  <c r="Q20" i="11"/>
  <c r="Z19" i="11"/>
  <c r="Y19" i="11"/>
  <c r="X19" i="11"/>
  <c r="W19" i="11"/>
  <c r="V19" i="11"/>
  <c r="U19" i="11"/>
  <c r="T19" i="11"/>
  <c r="S19" i="11"/>
  <c r="R19" i="11"/>
  <c r="Q19" i="11"/>
  <c r="Z18" i="11"/>
  <c r="Y18" i="11"/>
  <c r="X18" i="11"/>
  <c r="W18" i="11"/>
  <c r="V18" i="11"/>
  <c r="U18" i="11"/>
  <c r="T18" i="11"/>
  <c r="S18" i="11"/>
  <c r="R18" i="11"/>
  <c r="Q18" i="11"/>
  <c r="Z17" i="11"/>
  <c r="Y17" i="11"/>
  <c r="X17" i="11"/>
  <c r="W17" i="11"/>
  <c r="V17" i="11"/>
  <c r="U17" i="11"/>
  <c r="T17" i="11"/>
  <c r="S17" i="11"/>
  <c r="R17" i="11"/>
  <c r="Q17" i="11"/>
  <c r="Z16" i="11"/>
  <c r="Y16" i="11"/>
  <c r="X16" i="11"/>
  <c r="W16" i="11"/>
  <c r="V16" i="11"/>
  <c r="U16" i="11"/>
  <c r="T16" i="11"/>
  <c r="S16" i="11"/>
  <c r="R16" i="11"/>
  <c r="Q16" i="11"/>
  <c r="Z15" i="11"/>
  <c r="Y15" i="11"/>
  <c r="X15" i="11"/>
  <c r="W15" i="11"/>
  <c r="V15" i="11"/>
  <c r="U15" i="11"/>
  <c r="T15" i="11"/>
  <c r="S15" i="11"/>
  <c r="R15" i="11"/>
  <c r="Q15" i="11"/>
  <c r="Z14" i="11"/>
  <c r="Y14" i="11"/>
  <c r="X14" i="11"/>
  <c r="W14" i="11"/>
  <c r="V14" i="11"/>
  <c r="U14" i="11"/>
  <c r="T14" i="11"/>
  <c r="S14" i="11"/>
  <c r="R14" i="11"/>
  <c r="Q14" i="11"/>
  <c r="Z13" i="11"/>
  <c r="Y13" i="11"/>
  <c r="X13" i="11"/>
  <c r="W13" i="11"/>
  <c r="V13" i="11"/>
  <c r="U13" i="11"/>
  <c r="T13" i="11"/>
  <c r="S13" i="11"/>
  <c r="R13" i="11"/>
  <c r="Q13" i="11"/>
  <c r="Z12" i="11"/>
  <c r="Y12" i="11"/>
  <c r="X12" i="11"/>
  <c r="W12" i="11"/>
  <c r="V12" i="11"/>
  <c r="U12" i="11"/>
  <c r="T12" i="11"/>
  <c r="S12" i="11"/>
  <c r="R12" i="11"/>
  <c r="Q12" i="11"/>
  <c r="Z11" i="11"/>
  <c r="Y11" i="11"/>
  <c r="X11" i="11"/>
  <c r="W11" i="11"/>
  <c r="V11" i="11"/>
  <c r="U11" i="11"/>
  <c r="T11" i="11"/>
  <c r="S11" i="11"/>
  <c r="R11" i="11"/>
  <c r="Q11" i="11"/>
  <c r="Z10" i="11"/>
  <c r="Y10" i="11"/>
  <c r="X10" i="11"/>
  <c r="W10" i="11"/>
  <c r="V10" i="11"/>
  <c r="U10" i="11"/>
  <c r="T10" i="11"/>
  <c r="S10" i="11"/>
  <c r="R10" i="11"/>
  <c r="Q10" i="11"/>
  <c r="Z9" i="11"/>
  <c r="Y9" i="11"/>
  <c r="X9" i="11"/>
  <c r="W9" i="11"/>
  <c r="V9" i="11"/>
  <c r="U9" i="11"/>
  <c r="T9" i="11"/>
  <c r="S9" i="11"/>
  <c r="R9" i="11"/>
  <c r="Q9" i="11"/>
  <c r="Z8" i="11"/>
  <c r="Y8" i="11"/>
  <c r="X8" i="11"/>
  <c r="W8" i="11"/>
  <c r="V8" i="11"/>
  <c r="U8" i="11"/>
  <c r="T8" i="11"/>
  <c r="S8" i="11"/>
  <c r="R8" i="11"/>
  <c r="Q8" i="11"/>
  <c r="Z7" i="11"/>
  <c r="Y7" i="11"/>
  <c r="X7" i="11"/>
  <c r="W7" i="11"/>
  <c r="V7" i="11"/>
  <c r="U7" i="11"/>
  <c r="T7" i="11"/>
  <c r="S7" i="11"/>
  <c r="R7" i="11"/>
  <c r="Q7" i="11"/>
  <c r="Z6" i="11"/>
  <c r="Y6" i="11"/>
  <c r="X6" i="11"/>
  <c r="W6" i="11"/>
  <c r="V6" i="11"/>
  <c r="U6" i="11"/>
  <c r="T6" i="11"/>
  <c r="S6" i="11"/>
  <c r="R6" i="11"/>
  <c r="Q6" i="11"/>
  <c r="Z5" i="11"/>
  <c r="Y5" i="11"/>
  <c r="X5" i="11"/>
  <c r="W5" i="11"/>
  <c r="V5" i="11"/>
  <c r="U5" i="11"/>
  <c r="T5" i="11"/>
  <c r="S5" i="11"/>
  <c r="R5" i="11"/>
  <c r="Q5" i="11"/>
  <c r="Z4" i="11"/>
  <c r="Y4" i="11"/>
  <c r="X4" i="11"/>
  <c r="W4" i="11"/>
  <c r="V4" i="11"/>
  <c r="U4" i="11"/>
  <c r="T4" i="11"/>
  <c r="S4" i="11"/>
  <c r="R4" i="11"/>
  <c r="Q4" i="11"/>
  <c r="AB4" i="17"/>
  <c r="AA4" i="17"/>
  <c r="Z4" i="17"/>
  <c r="Y4" i="17"/>
  <c r="X4" i="17"/>
  <c r="W4" i="17"/>
  <c r="V4" i="17"/>
  <c r="U4" i="17"/>
  <c r="T4" i="17"/>
  <c r="S4" i="17"/>
  <c r="R4" i="17"/>
  <c r="Q4" i="17"/>
  <c r="Z22" i="15"/>
  <c r="Y22" i="15"/>
  <c r="X22" i="15"/>
  <c r="W22" i="15"/>
  <c r="V22" i="15"/>
  <c r="U22" i="15"/>
  <c r="T22" i="15"/>
  <c r="S22" i="15"/>
  <c r="R22" i="15"/>
  <c r="Q22" i="15"/>
  <c r="Z21" i="15"/>
  <c r="Y21" i="15"/>
  <c r="X21" i="15"/>
  <c r="W21" i="15"/>
  <c r="V21" i="15"/>
  <c r="U21" i="15"/>
  <c r="T21" i="15"/>
  <c r="S21" i="15"/>
  <c r="R21" i="15"/>
  <c r="Q21" i="15"/>
  <c r="Z20" i="15"/>
  <c r="Y20" i="15"/>
  <c r="X20" i="15"/>
  <c r="W20" i="15"/>
  <c r="V20" i="15"/>
  <c r="U20" i="15"/>
  <c r="T20" i="15"/>
  <c r="S20" i="15"/>
  <c r="R20" i="15"/>
  <c r="Q20" i="15"/>
  <c r="Z19" i="15"/>
  <c r="Y19" i="15"/>
  <c r="X19" i="15"/>
  <c r="W19" i="15"/>
  <c r="V19" i="15"/>
  <c r="U19" i="15"/>
  <c r="T19" i="15"/>
  <c r="S19" i="15"/>
  <c r="R19" i="15"/>
  <c r="Q19" i="15"/>
  <c r="Z18" i="15"/>
  <c r="Y18" i="15"/>
  <c r="X18" i="15"/>
  <c r="W18" i="15"/>
  <c r="V18" i="15"/>
  <c r="U18" i="15"/>
  <c r="T18" i="15"/>
  <c r="S18" i="15"/>
  <c r="R18" i="15"/>
  <c r="Q18" i="15"/>
  <c r="Z17" i="15"/>
  <c r="Y17" i="15"/>
  <c r="X17" i="15"/>
  <c r="W17" i="15"/>
  <c r="V17" i="15"/>
  <c r="U17" i="15"/>
  <c r="T17" i="15"/>
  <c r="S17" i="15"/>
  <c r="R17" i="15"/>
  <c r="Q17" i="15"/>
  <c r="Z16" i="15"/>
  <c r="Y16" i="15"/>
  <c r="X16" i="15"/>
  <c r="W16" i="15"/>
  <c r="V16" i="15"/>
  <c r="U16" i="15"/>
  <c r="T16" i="15"/>
  <c r="S16" i="15"/>
  <c r="R16" i="15"/>
  <c r="Q16" i="15"/>
  <c r="Z15" i="15"/>
  <c r="Y15" i="15"/>
  <c r="X15" i="15"/>
  <c r="W15" i="15"/>
  <c r="V15" i="15"/>
  <c r="U15" i="15"/>
  <c r="T15" i="15"/>
  <c r="S15" i="15"/>
  <c r="R15" i="15"/>
  <c r="Q15" i="15"/>
  <c r="Z14" i="15"/>
  <c r="Y14" i="15"/>
  <c r="X14" i="15"/>
  <c r="W14" i="15"/>
  <c r="V14" i="15"/>
  <c r="U14" i="15"/>
  <c r="T14" i="15"/>
  <c r="S14" i="15"/>
  <c r="R14" i="15"/>
  <c r="Q14" i="15"/>
  <c r="Z13" i="15"/>
  <c r="Y13" i="15"/>
  <c r="X13" i="15"/>
  <c r="W13" i="15"/>
  <c r="V13" i="15"/>
  <c r="U13" i="15"/>
  <c r="T13" i="15"/>
  <c r="S13" i="15"/>
  <c r="R13" i="15"/>
  <c r="Q13" i="15"/>
  <c r="Z12" i="15"/>
  <c r="Y12" i="15"/>
  <c r="X12" i="15"/>
  <c r="W12" i="15"/>
  <c r="V12" i="15"/>
  <c r="U12" i="15"/>
  <c r="T12" i="15"/>
  <c r="S12" i="15"/>
  <c r="R12" i="15"/>
  <c r="Q12" i="15"/>
  <c r="Z11" i="15"/>
  <c r="Y11" i="15"/>
  <c r="X11" i="15"/>
  <c r="W11" i="15"/>
  <c r="V11" i="15"/>
  <c r="U11" i="15"/>
  <c r="T11" i="15"/>
  <c r="S11" i="15"/>
  <c r="R11" i="15"/>
  <c r="Q11" i="15"/>
  <c r="Z10" i="15"/>
  <c r="Y10" i="15"/>
  <c r="X10" i="15"/>
  <c r="W10" i="15"/>
  <c r="V10" i="15"/>
  <c r="U10" i="15"/>
  <c r="T10" i="15"/>
  <c r="S10" i="15"/>
  <c r="R10" i="15"/>
  <c r="Q10" i="15"/>
  <c r="Z9" i="15"/>
  <c r="Y9" i="15"/>
  <c r="X9" i="15"/>
  <c r="W9" i="15"/>
  <c r="V9" i="15"/>
  <c r="U9" i="15"/>
  <c r="T9" i="15"/>
  <c r="S9" i="15"/>
  <c r="R9" i="15"/>
  <c r="Q9" i="15"/>
  <c r="Z8" i="15"/>
  <c r="Y8" i="15"/>
  <c r="X8" i="15"/>
  <c r="W8" i="15"/>
  <c r="V8" i="15"/>
  <c r="U8" i="15"/>
  <c r="T8" i="15"/>
  <c r="S8" i="15"/>
  <c r="R8" i="15"/>
  <c r="Q8" i="15"/>
  <c r="Z7" i="15"/>
  <c r="Y7" i="15"/>
  <c r="X7" i="15"/>
  <c r="W7" i="15"/>
  <c r="V7" i="15"/>
  <c r="U7" i="15"/>
  <c r="T7" i="15"/>
  <c r="S7" i="15"/>
  <c r="R7" i="15"/>
  <c r="Q7" i="15"/>
  <c r="Z6" i="15"/>
  <c r="Y6" i="15"/>
  <c r="X6" i="15"/>
  <c r="W6" i="15"/>
  <c r="V6" i="15"/>
  <c r="U6" i="15"/>
  <c r="T6" i="15"/>
  <c r="S6" i="15"/>
  <c r="R6" i="15"/>
  <c r="Q6" i="15"/>
  <c r="Z5" i="15"/>
  <c r="Y5" i="15"/>
  <c r="X5" i="15"/>
  <c r="W5" i="15"/>
  <c r="V5" i="15"/>
  <c r="U5" i="15"/>
  <c r="T5" i="15"/>
  <c r="S5" i="15"/>
  <c r="R5" i="15"/>
  <c r="Q5" i="15"/>
  <c r="Z4" i="15"/>
  <c r="Y4" i="15"/>
  <c r="X4" i="15"/>
  <c r="W4" i="15"/>
  <c r="V4" i="15"/>
  <c r="U4" i="15"/>
  <c r="T4" i="15"/>
  <c r="S4" i="15"/>
  <c r="R4" i="15"/>
  <c r="Q4" i="15"/>
  <c r="Z22" i="14"/>
  <c r="Y22" i="14"/>
  <c r="X22" i="14"/>
  <c r="W22" i="14"/>
  <c r="V22" i="14"/>
  <c r="U22" i="14"/>
  <c r="T22" i="14"/>
  <c r="S22" i="14"/>
  <c r="R22" i="14"/>
  <c r="Q22" i="14"/>
  <c r="Z21" i="14"/>
  <c r="Y21" i="14"/>
  <c r="X21" i="14"/>
  <c r="W21" i="14"/>
  <c r="V21" i="14"/>
  <c r="U21" i="14"/>
  <c r="T21" i="14"/>
  <c r="S21" i="14"/>
  <c r="R21" i="14"/>
  <c r="Q21" i="14"/>
  <c r="Z20" i="14"/>
  <c r="Y20" i="14"/>
  <c r="X20" i="14"/>
  <c r="W20" i="14"/>
  <c r="V20" i="14"/>
  <c r="U20" i="14"/>
  <c r="T20" i="14"/>
  <c r="S20" i="14"/>
  <c r="R20" i="14"/>
  <c r="Q20" i="14"/>
  <c r="Z19" i="14"/>
  <c r="Y19" i="14"/>
  <c r="X19" i="14"/>
  <c r="W19" i="14"/>
  <c r="V19" i="14"/>
  <c r="U19" i="14"/>
  <c r="T19" i="14"/>
  <c r="S19" i="14"/>
  <c r="R19" i="14"/>
  <c r="Q19" i="14"/>
  <c r="Z18" i="14"/>
  <c r="Y18" i="14"/>
  <c r="X18" i="14"/>
  <c r="W18" i="14"/>
  <c r="V18" i="14"/>
  <c r="U18" i="14"/>
  <c r="T18" i="14"/>
  <c r="S18" i="14"/>
  <c r="R18" i="14"/>
  <c r="Q18" i="14"/>
  <c r="Z17" i="14"/>
  <c r="Y17" i="14"/>
  <c r="X17" i="14"/>
  <c r="W17" i="14"/>
  <c r="V17" i="14"/>
  <c r="U17" i="14"/>
  <c r="T17" i="14"/>
  <c r="S17" i="14"/>
  <c r="R17" i="14"/>
  <c r="Q17" i="14"/>
  <c r="Z16" i="14"/>
  <c r="Y16" i="14"/>
  <c r="X16" i="14"/>
  <c r="W16" i="14"/>
  <c r="V16" i="14"/>
  <c r="U16" i="14"/>
  <c r="T16" i="14"/>
  <c r="S16" i="14"/>
  <c r="R16" i="14"/>
  <c r="Q16" i="14"/>
  <c r="Z15" i="14"/>
  <c r="Y15" i="14"/>
  <c r="X15" i="14"/>
  <c r="W15" i="14"/>
  <c r="V15" i="14"/>
  <c r="U15" i="14"/>
  <c r="T15" i="14"/>
  <c r="S15" i="14"/>
  <c r="R15" i="14"/>
  <c r="Q15" i="14"/>
  <c r="Z14" i="14"/>
  <c r="Y14" i="14"/>
  <c r="X14" i="14"/>
  <c r="W14" i="14"/>
  <c r="V14" i="14"/>
  <c r="U14" i="14"/>
  <c r="T14" i="14"/>
  <c r="S14" i="14"/>
  <c r="R14" i="14"/>
  <c r="Q14" i="14"/>
  <c r="Z13" i="14"/>
  <c r="Y13" i="14"/>
  <c r="X13" i="14"/>
  <c r="W13" i="14"/>
  <c r="V13" i="14"/>
  <c r="U13" i="14"/>
  <c r="T13" i="14"/>
  <c r="S13" i="14"/>
  <c r="R13" i="14"/>
  <c r="Q13" i="14"/>
  <c r="Z12" i="14"/>
  <c r="Y12" i="14"/>
  <c r="X12" i="14"/>
  <c r="W12" i="14"/>
  <c r="V12" i="14"/>
  <c r="U12" i="14"/>
  <c r="T12" i="14"/>
  <c r="S12" i="14"/>
  <c r="R12" i="14"/>
  <c r="Q12" i="14"/>
  <c r="Z11" i="14"/>
  <c r="Y11" i="14"/>
  <c r="X11" i="14"/>
  <c r="W11" i="14"/>
  <c r="V11" i="14"/>
  <c r="U11" i="14"/>
  <c r="T11" i="14"/>
  <c r="S11" i="14"/>
  <c r="R11" i="14"/>
  <c r="Q11" i="14"/>
  <c r="Z10" i="14"/>
  <c r="Y10" i="14"/>
  <c r="X10" i="14"/>
  <c r="W10" i="14"/>
  <c r="V10" i="14"/>
  <c r="U10" i="14"/>
  <c r="T10" i="14"/>
  <c r="S10" i="14"/>
  <c r="R10" i="14"/>
  <c r="Q10" i="14"/>
  <c r="Z9" i="14"/>
  <c r="Y9" i="14"/>
  <c r="X9" i="14"/>
  <c r="W9" i="14"/>
  <c r="V9" i="14"/>
  <c r="U9" i="14"/>
  <c r="T9" i="14"/>
  <c r="S9" i="14"/>
  <c r="R9" i="14"/>
  <c r="Q9" i="14"/>
  <c r="Z8" i="14"/>
  <c r="Y8" i="14"/>
  <c r="X8" i="14"/>
  <c r="W8" i="14"/>
  <c r="V8" i="14"/>
  <c r="U8" i="14"/>
  <c r="T8" i="14"/>
  <c r="S8" i="14"/>
  <c r="R8" i="14"/>
  <c r="Q8" i="14"/>
  <c r="Z7" i="14"/>
  <c r="Y7" i="14"/>
  <c r="X7" i="14"/>
  <c r="W7" i="14"/>
  <c r="V7" i="14"/>
  <c r="U7" i="14"/>
  <c r="T7" i="14"/>
  <c r="S7" i="14"/>
  <c r="R7" i="14"/>
  <c r="Q7" i="14"/>
  <c r="Z6" i="14"/>
  <c r="Y6" i="14"/>
  <c r="X6" i="14"/>
  <c r="W6" i="14"/>
  <c r="V6" i="14"/>
  <c r="U6" i="14"/>
  <c r="T6" i="14"/>
  <c r="S6" i="14"/>
  <c r="R6" i="14"/>
  <c r="Q6" i="14"/>
  <c r="Z5" i="14"/>
  <c r="Y5" i="14"/>
  <c r="X5" i="14"/>
  <c r="W5" i="14"/>
  <c r="V5" i="14"/>
  <c r="U5" i="14"/>
  <c r="T5" i="14"/>
  <c r="S5" i="14"/>
  <c r="R5" i="14"/>
  <c r="Q5" i="14"/>
  <c r="Z4" i="14"/>
  <c r="Y4" i="14"/>
  <c r="X4" i="14"/>
  <c r="W4" i="14"/>
  <c r="V4" i="14"/>
  <c r="U4" i="14"/>
  <c r="T4" i="14"/>
  <c r="S4" i="14"/>
  <c r="R4" i="14"/>
  <c r="Q4" i="14"/>
  <c r="V22" i="13"/>
  <c r="U22" i="13"/>
  <c r="T22" i="13"/>
  <c r="S22" i="13"/>
  <c r="R22" i="13"/>
  <c r="Q22" i="13"/>
  <c r="V21" i="13"/>
  <c r="U21" i="13"/>
  <c r="T21" i="13"/>
  <c r="S21" i="13"/>
  <c r="R21" i="13"/>
  <c r="Q21" i="13"/>
  <c r="V20" i="13"/>
  <c r="U20" i="13"/>
  <c r="T20" i="13"/>
  <c r="S20" i="13"/>
  <c r="R20" i="13"/>
  <c r="Q20" i="13"/>
  <c r="V19" i="13"/>
  <c r="U19" i="13"/>
  <c r="T19" i="13"/>
  <c r="S19" i="13"/>
  <c r="R19" i="13"/>
  <c r="Q19" i="13"/>
  <c r="V18" i="13"/>
  <c r="U18" i="13"/>
  <c r="T18" i="13"/>
  <c r="S18" i="13"/>
  <c r="R18" i="13"/>
  <c r="Q18" i="13"/>
  <c r="V17" i="13"/>
  <c r="U17" i="13"/>
  <c r="T17" i="13"/>
  <c r="S17" i="13"/>
  <c r="R17" i="13"/>
  <c r="Q17" i="13"/>
  <c r="V16" i="13"/>
  <c r="U16" i="13"/>
  <c r="T16" i="13"/>
  <c r="S16" i="13"/>
  <c r="R16" i="13"/>
  <c r="Q16" i="13"/>
  <c r="V15" i="13"/>
  <c r="U15" i="13"/>
  <c r="T15" i="13"/>
  <c r="S15" i="13"/>
  <c r="R15" i="13"/>
  <c r="Q15" i="13"/>
  <c r="V14" i="13"/>
  <c r="U14" i="13"/>
  <c r="T14" i="13"/>
  <c r="S14" i="13"/>
  <c r="R14" i="13"/>
  <c r="Q14" i="13"/>
  <c r="V13" i="13"/>
  <c r="U13" i="13"/>
  <c r="T13" i="13"/>
  <c r="S13" i="13"/>
  <c r="R13" i="13"/>
  <c r="Q13" i="13"/>
  <c r="V12" i="13"/>
  <c r="U12" i="13"/>
  <c r="T12" i="13"/>
  <c r="S12" i="13"/>
  <c r="R12" i="13"/>
  <c r="Q12" i="13"/>
  <c r="V11" i="13"/>
  <c r="U11" i="13"/>
  <c r="T11" i="13"/>
  <c r="S11" i="13"/>
  <c r="R11" i="13"/>
  <c r="Q11" i="13"/>
  <c r="V10" i="13"/>
  <c r="U10" i="13"/>
  <c r="T10" i="13"/>
  <c r="S10" i="13"/>
  <c r="R10" i="13"/>
  <c r="Q10" i="13"/>
  <c r="V9" i="13"/>
  <c r="U9" i="13"/>
  <c r="T9" i="13"/>
  <c r="S9" i="13"/>
  <c r="R9" i="13"/>
  <c r="Q9" i="13"/>
  <c r="V8" i="13"/>
  <c r="U8" i="13"/>
  <c r="T8" i="13"/>
  <c r="S8" i="13"/>
  <c r="R8" i="13"/>
  <c r="Q8" i="13"/>
  <c r="V7" i="13"/>
  <c r="U7" i="13"/>
  <c r="T7" i="13"/>
  <c r="S7" i="13"/>
  <c r="R7" i="13"/>
  <c r="Q7" i="13"/>
  <c r="V6" i="13"/>
  <c r="U6" i="13"/>
  <c r="T6" i="13"/>
  <c r="S6" i="13"/>
  <c r="R6" i="13"/>
  <c r="Q6" i="13"/>
  <c r="V5" i="13"/>
  <c r="U5" i="13"/>
  <c r="T5" i="13"/>
  <c r="S5" i="13"/>
  <c r="R5" i="13"/>
  <c r="Q5" i="13"/>
  <c r="V4" i="13"/>
  <c r="U4" i="13"/>
  <c r="T4" i="13"/>
  <c r="S4" i="13"/>
  <c r="R4" i="13"/>
  <c r="Q4" i="13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Z22" i="27"/>
  <c r="Y22" i="27"/>
  <c r="X22" i="27"/>
  <c r="W22" i="27"/>
  <c r="V22" i="27"/>
  <c r="U22" i="27"/>
  <c r="T22" i="27"/>
  <c r="S22" i="27"/>
  <c r="R22" i="27"/>
  <c r="Q22" i="27"/>
  <c r="Z21" i="27"/>
  <c r="Y21" i="27"/>
  <c r="X21" i="27"/>
  <c r="W21" i="27"/>
  <c r="V21" i="27"/>
  <c r="U21" i="27"/>
  <c r="T21" i="27"/>
  <c r="S21" i="27"/>
  <c r="R21" i="27"/>
  <c r="Q21" i="27"/>
  <c r="Z20" i="27"/>
  <c r="Y20" i="27"/>
  <c r="X20" i="27"/>
  <c r="W20" i="27"/>
  <c r="V20" i="27"/>
  <c r="U20" i="27"/>
  <c r="T20" i="27"/>
  <c r="S20" i="27"/>
  <c r="R20" i="27"/>
  <c r="Q20" i="27"/>
  <c r="Z19" i="27"/>
  <c r="Y19" i="27"/>
  <c r="X19" i="27"/>
  <c r="W19" i="27"/>
  <c r="V19" i="27"/>
  <c r="U19" i="27"/>
  <c r="T19" i="27"/>
  <c r="S19" i="27"/>
  <c r="R19" i="27"/>
  <c r="Q19" i="27"/>
  <c r="Z18" i="27"/>
  <c r="Y18" i="27"/>
  <c r="X18" i="27"/>
  <c r="W18" i="27"/>
  <c r="V18" i="27"/>
  <c r="U18" i="27"/>
  <c r="T18" i="27"/>
  <c r="S18" i="27"/>
  <c r="R18" i="27"/>
  <c r="Q18" i="27"/>
  <c r="Z17" i="27"/>
  <c r="Y17" i="27"/>
  <c r="X17" i="27"/>
  <c r="W17" i="27"/>
  <c r="V17" i="27"/>
  <c r="U17" i="27"/>
  <c r="T17" i="27"/>
  <c r="S17" i="27"/>
  <c r="R17" i="27"/>
  <c r="Q17" i="27"/>
  <c r="Z16" i="27"/>
  <c r="Y16" i="27"/>
  <c r="X16" i="27"/>
  <c r="W16" i="27"/>
  <c r="V16" i="27"/>
  <c r="U16" i="27"/>
  <c r="T16" i="27"/>
  <c r="S16" i="27"/>
  <c r="R16" i="27"/>
  <c r="Q16" i="27"/>
  <c r="Z15" i="27"/>
  <c r="Y15" i="27"/>
  <c r="X15" i="27"/>
  <c r="W15" i="27"/>
  <c r="V15" i="27"/>
  <c r="U15" i="27"/>
  <c r="T15" i="27"/>
  <c r="S15" i="27"/>
  <c r="R15" i="27"/>
  <c r="Q15" i="27"/>
  <c r="Z14" i="27"/>
  <c r="Y14" i="27"/>
  <c r="X14" i="27"/>
  <c r="W14" i="27"/>
  <c r="V14" i="27"/>
  <c r="U14" i="27"/>
  <c r="T14" i="27"/>
  <c r="S14" i="27"/>
  <c r="R14" i="27"/>
  <c r="Q14" i="27"/>
  <c r="Z13" i="27"/>
  <c r="Y13" i="27"/>
  <c r="X13" i="27"/>
  <c r="W13" i="27"/>
  <c r="V13" i="27"/>
  <c r="U13" i="27"/>
  <c r="T13" i="27"/>
  <c r="S13" i="27"/>
  <c r="R13" i="27"/>
  <c r="Q13" i="27"/>
  <c r="Z12" i="27"/>
  <c r="Y12" i="27"/>
  <c r="X12" i="27"/>
  <c r="W12" i="27"/>
  <c r="V12" i="27"/>
  <c r="U12" i="27"/>
  <c r="T12" i="27"/>
  <c r="S12" i="27"/>
  <c r="R12" i="27"/>
  <c r="Q12" i="27"/>
  <c r="Z11" i="27"/>
  <c r="Y11" i="27"/>
  <c r="X11" i="27"/>
  <c r="W11" i="27"/>
  <c r="V11" i="27"/>
  <c r="U11" i="27"/>
  <c r="T11" i="27"/>
  <c r="S11" i="27"/>
  <c r="R11" i="27"/>
  <c r="Q11" i="27"/>
  <c r="Z10" i="27"/>
  <c r="Y10" i="27"/>
  <c r="X10" i="27"/>
  <c r="W10" i="27"/>
  <c r="V10" i="27"/>
  <c r="U10" i="27"/>
  <c r="T10" i="27"/>
  <c r="S10" i="27"/>
  <c r="R10" i="27"/>
  <c r="Q10" i="27"/>
  <c r="Z9" i="27"/>
  <c r="Y9" i="27"/>
  <c r="X9" i="27"/>
  <c r="W9" i="27"/>
  <c r="V9" i="27"/>
  <c r="U9" i="27"/>
  <c r="T9" i="27"/>
  <c r="S9" i="27"/>
  <c r="R9" i="27"/>
  <c r="Q9" i="27"/>
  <c r="Z8" i="27"/>
  <c r="Y8" i="27"/>
  <c r="X8" i="27"/>
  <c r="W8" i="27"/>
  <c r="V8" i="27"/>
  <c r="U8" i="27"/>
  <c r="T8" i="27"/>
  <c r="S8" i="27"/>
  <c r="R8" i="27"/>
  <c r="Q8" i="27"/>
  <c r="Z7" i="27"/>
  <c r="Y7" i="27"/>
  <c r="X7" i="27"/>
  <c r="W7" i="27"/>
  <c r="V7" i="27"/>
  <c r="U7" i="27"/>
  <c r="T7" i="27"/>
  <c r="S7" i="27"/>
  <c r="R7" i="27"/>
  <c r="Q7" i="27"/>
  <c r="Z6" i="27"/>
  <c r="Y6" i="27"/>
  <c r="X6" i="27"/>
  <c r="W6" i="27"/>
  <c r="V6" i="27"/>
  <c r="U6" i="27"/>
  <c r="T6" i="27"/>
  <c r="S6" i="27"/>
  <c r="R6" i="27"/>
  <c r="Q6" i="27"/>
  <c r="Z5" i="27"/>
  <c r="Y5" i="27"/>
  <c r="X5" i="27"/>
  <c r="W5" i="27"/>
  <c r="V5" i="27"/>
  <c r="U5" i="27"/>
  <c r="T5" i="27"/>
  <c r="S5" i="27"/>
  <c r="R5" i="27"/>
  <c r="Q5" i="27"/>
  <c r="Z4" i="27"/>
  <c r="Y4" i="27"/>
  <c r="X4" i="27"/>
  <c r="W4" i="27"/>
  <c r="V4" i="27"/>
  <c r="U4" i="27"/>
  <c r="T4" i="27"/>
  <c r="S4" i="27"/>
  <c r="R4" i="27"/>
  <c r="Q4" i="27"/>
  <c r="Z22" i="10"/>
  <c r="Y22" i="10"/>
  <c r="X22" i="10"/>
  <c r="W22" i="10"/>
  <c r="V22" i="10"/>
  <c r="U22" i="10"/>
  <c r="T22" i="10"/>
  <c r="S22" i="10"/>
  <c r="R22" i="10"/>
  <c r="Q22" i="10"/>
  <c r="Z21" i="10"/>
  <c r="Y21" i="10"/>
  <c r="X21" i="10"/>
  <c r="W21" i="10"/>
  <c r="V21" i="10"/>
  <c r="U21" i="10"/>
  <c r="T21" i="10"/>
  <c r="S21" i="10"/>
  <c r="R21" i="10"/>
  <c r="Q21" i="10"/>
  <c r="Z20" i="10"/>
  <c r="Y20" i="10"/>
  <c r="X20" i="10"/>
  <c r="W20" i="10"/>
  <c r="V20" i="10"/>
  <c r="U20" i="10"/>
  <c r="T20" i="10"/>
  <c r="S20" i="10"/>
  <c r="R20" i="10"/>
  <c r="Q20" i="10"/>
  <c r="Z19" i="10"/>
  <c r="Y19" i="10"/>
  <c r="X19" i="10"/>
  <c r="W19" i="10"/>
  <c r="V19" i="10"/>
  <c r="U19" i="10"/>
  <c r="T19" i="10"/>
  <c r="S19" i="10"/>
  <c r="R19" i="10"/>
  <c r="Q19" i="10"/>
  <c r="Z18" i="10"/>
  <c r="Y18" i="10"/>
  <c r="X18" i="10"/>
  <c r="W18" i="10"/>
  <c r="V18" i="10"/>
  <c r="U18" i="10"/>
  <c r="T18" i="10"/>
  <c r="S18" i="10"/>
  <c r="R18" i="10"/>
  <c r="Q18" i="10"/>
  <c r="Z17" i="10"/>
  <c r="Y17" i="10"/>
  <c r="X17" i="10"/>
  <c r="W17" i="10"/>
  <c r="V17" i="10"/>
  <c r="U17" i="10"/>
  <c r="T17" i="10"/>
  <c r="S17" i="10"/>
  <c r="R17" i="10"/>
  <c r="Q17" i="10"/>
  <c r="Z16" i="10"/>
  <c r="Y16" i="10"/>
  <c r="X16" i="10"/>
  <c r="W16" i="10"/>
  <c r="V16" i="10"/>
  <c r="U16" i="10"/>
  <c r="T16" i="10"/>
  <c r="S16" i="10"/>
  <c r="R16" i="10"/>
  <c r="Q16" i="10"/>
  <c r="Z15" i="10"/>
  <c r="Y15" i="10"/>
  <c r="X15" i="10"/>
  <c r="W15" i="10"/>
  <c r="V15" i="10"/>
  <c r="U15" i="10"/>
  <c r="T15" i="10"/>
  <c r="S15" i="10"/>
  <c r="R15" i="10"/>
  <c r="Q15" i="10"/>
  <c r="Z14" i="10"/>
  <c r="Y14" i="10"/>
  <c r="X14" i="10"/>
  <c r="W14" i="10"/>
  <c r="V14" i="10"/>
  <c r="U14" i="10"/>
  <c r="T14" i="10"/>
  <c r="S14" i="10"/>
  <c r="R14" i="10"/>
  <c r="Q14" i="10"/>
  <c r="Z13" i="10"/>
  <c r="Y13" i="10"/>
  <c r="X13" i="10"/>
  <c r="W13" i="10"/>
  <c r="V13" i="10"/>
  <c r="U13" i="10"/>
  <c r="T13" i="10"/>
  <c r="S13" i="10"/>
  <c r="R13" i="10"/>
  <c r="Q13" i="10"/>
  <c r="Z12" i="10"/>
  <c r="Y12" i="10"/>
  <c r="X12" i="10"/>
  <c r="W12" i="10"/>
  <c r="V12" i="10"/>
  <c r="U12" i="10"/>
  <c r="T12" i="10"/>
  <c r="S12" i="10"/>
  <c r="R12" i="10"/>
  <c r="Q12" i="10"/>
  <c r="Z11" i="10"/>
  <c r="Y11" i="10"/>
  <c r="X11" i="10"/>
  <c r="W11" i="10"/>
  <c r="V11" i="10"/>
  <c r="U11" i="10"/>
  <c r="T11" i="10"/>
  <c r="S11" i="10"/>
  <c r="R11" i="10"/>
  <c r="Q11" i="10"/>
  <c r="Z10" i="10"/>
  <c r="Y10" i="10"/>
  <c r="X10" i="10"/>
  <c r="W10" i="10"/>
  <c r="V10" i="10"/>
  <c r="U10" i="10"/>
  <c r="T10" i="10"/>
  <c r="S10" i="10"/>
  <c r="R10" i="10"/>
  <c r="Q10" i="10"/>
  <c r="Z9" i="10"/>
  <c r="Y9" i="10"/>
  <c r="X9" i="10"/>
  <c r="W9" i="10"/>
  <c r="V9" i="10"/>
  <c r="U9" i="10"/>
  <c r="T9" i="10"/>
  <c r="S9" i="10"/>
  <c r="R9" i="10"/>
  <c r="Q9" i="10"/>
  <c r="Z8" i="10"/>
  <c r="Y8" i="10"/>
  <c r="X8" i="10"/>
  <c r="W8" i="10"/>
  <c r="V8" i="10"/>
  <c r="U8" i="10"/>
  <c r="T8" i="10"/>
  <c r="S8" i="10"/>
  <c r="R8" i="10"/>
  <c r="Q8" i="10"/>
  <c r="Z7" i="10"/>
  <c r="Y7" i="10"/>
  <c r="X7" i="10"/>
  <c r="W7" i="10"/>
  <c r="V7" i="10"/>
  <c r="U7" i="10"/>
  <c r="T7" i="10"/>
  <c r="S7" i="10"/>
  <c r="R7" i="10"/>
  <c r="Q7" i="10"/>
  <c r="Z6" i="10"/>
  <c r="Y6" i="10"/>
  <c r="X6" i="10"/>
  <c r="W6" i="10"/>
  <c r="V6" i="10"/>
  <c r="U6" i="10"/>
  <c r="T6" i="10"/>
  <c r="S6" i="10"/>
  <c r="R6" i="10"/>
  <c r="Q6" i="10"/>
  <c r="Z5" i="10"/>
  <c r="Y5" i="10"/>
  <c r="X5" i="10"/>
  <c r="W5" i="10"/>
  <c r="V5" i="10"/>
  <c r="U5" i="10"/>
  <c r="T5" i="10"/>
  <c r="S5" i="10"/>
  <c r="R5" i="10"/>
  <c r="Q5" i="10"/>
  <c r="Z4" i="10"/>
  <c r="Y4" i="10"/>
  <c r="X4" i="10"/>
  <c r="W4" i="10"/>
  <c r="V4" i="10"/>
  <c r="U4" i="10"/>
  <c r="T4" i="10"/>
  <c r="S4" i="10"/>
  <c r="R4" i="10"/>
  <c r="Q4" i="10"/>
  <c r="AB22" i="5"/>
  <c r="AA22" i="5"/>
  <c r="Z22" i="5"/>
  <c r="Y22" i="5"/>
  <c r="X22" i="5"/>
  <c r="W22" i="5"/>
  <c r="V22" i="5"/>
  <c r="U22" i="5"/>
  <c r="T22" i="5"/>
  <c r="S22" i="5"/>
  <c r="R22" i="5"/>
  <c r="Q22" i="5"/>
  <c r="AB21" i="5"/>
  <c r="AA21" i="5"/>
  <c r="Z21" i="5"/>
  <c r="Y21" i="5"/>
  <c r="X21" i="5"/>
  <c r="W21" i="5"/>
  <c r="V21" i="5"/>
  <c r="U21" i="5"/>
  <c r="T21" i="5"/>
  <c r="S21" i="5"/>
  <c r="R21" i="5"/>
  <c r="Q21" i="5"/>
  <c r="AB20" i="5"/>
  <c r="AA20" i="5"/>
  <c r="Z20" i="5"/>
  <c r="Y20" i="5"/>
  <c r="X20" i="5"/>
  <c r="W20" i="5"/>
  <c r="V20" i="5"/>
  <c r="U20" i="5"/>
  <c r="T20" i="5"/>
  <c r="S20" i="5"/>
  <c r="R20" i="5"/>
  <c r="Q20" i="5"/>
  <c r="AB19" i="5"/>
  <c r="AA19" i="5"/>
  <c r="Z19" i="5"/>
  <c r="Y19" i="5"/>
  <c r="X19" i="5"/>
  <c r="W19" i="5"/>
  <c r="V19" i="5"/>
  <c r="U19" i="5"/>
  <c r="T19" i="5"/>
  <c r="S19" i="5"/>
  <c r="R19" i="5"/>
  <c r="Q19" i="5"/>
  <c r="AB18" i="5"/>
  <c r="AA18" i="5"/>
  <c r="Z18" i="5"/>
  <c r="Y18" i="5"/>
  <c r="X18" i="5"/>
  <c r="W18" i="5"/>
  <c r="V18" i="5"/>
  <c r="U18" i="5"/>
  <c r="T18" i="5"/>
  <c r="S18" i="5"/>
  <c r="R18" i="5"/>
  <c r="Q18" i="5"/>
  <c r="AB17" i="5"/>
  <c r="AA17" i="5"/>
  <c r="Z17" i="5"/>
  <c r="Y17" i="5"/>
  <c r="X17" i="5"/>
  <c r="W17" i="5"/>
  <c r="V17" i="5"/>
  <c r="U17" i="5"/>
  <c r="T17" i="5"/>
  <c r="S17" i="5"/>
  <c r="R17" i="5"/>
  <c r="Q17" i="5"/>
  <c r="AB16" i="5"/>
  <c r="AA16" i="5"/>
  <c r="Z16" i="5"/>
  <c r="Y16" i="5"/>
  <c r="X16" i="5"/>
  <c r="W16" i="5"/>
  <c r="V16" i="5"/>
  <c r="U16" i="5"/>
  <c r="T16" i="5"/>
  <c r="S16" i="5"/>
  <c r="R16" i="5"/>
  <c r="Q16" i="5"/>
  <c r="AB15" i="5"/>
  <c r="AA15" i="5"/>
  <c r="Z15" i="5"/>
  <c r="Y15" i="5"/>
  <c r="X15" i="5"/>
  <c r="W15" i="5"/>
  <c r="V15" i="5"/>
  <c r="U15" i="5"/>
  <c r="T15" i="5"/>
  <c r="S15" i="5"/>
  <c r="R15" i="5"/>
  <c r="Q15" i="5"/>
  <c r="AB14" i="5"/>
  <c r="AA14" i="5"/>
  <c r="Z14" i="5"/>
  <c r="Y14" i="5"/>
  <c r="X14" i="5"/>
  <c r="W14" i="5"/>
  <c r="V14" i="5"/>
  <c r="U14" i="5"/>
  <c r="T14" i="5"/>
  <c r="S14" i="5"/>
  <c r="R14" i="5"/>
  <c r="Q14" i="5"/>
  <c r="AB13" i="5"/>
  <c r="AA13" i="5"/>
  <c r="Z13" i="5"/>
  <c r="Y13" i="5"/>
  <c r="X13" i="5"/>
  <c r="W13" i="5"/>
  <c r="V13" i="5"/>
  <c r="U13" i="5"/>
  <c r="T13" i="5"/>
  <c r="S13" i="5"/>
  <c r="R13" i="5"/>
  <c r="Q13" i="5"/>
  <c r="AB12" i="5"/>
  <c r="AA12" i="5"/>
  <c r="Z12" i="5"/>
  <c r="Y12" i="5"/>
  <c r="X12" i="5"/>
  <c r="W12" i="5"/>
  <c r="V12" i="5"/>
  <c r="U12" i="5"/>
  <c r="T12" i="5"/>
  <c r="S12" i="5"/>
  <c r="R12" i="5"/>
  <c r="Q12" i="5"/>
  <c r="AB11" i="5"/>
  <c r="AA11" i="5"/>
  <c r="Z11" i="5"/>
  <c r="Y11" i="5"/>
  <c r="X11" i="5"/>
  <c r="W11" i="5"/>
  <c r="V11" i="5"/>
  <c r="U11" i="5"/>
  <c r="T11" i="5"/>
  <c r="S11" i="5"/>
  <c r="R11" i="5"/>
  <c r="Q11" i="5"/>
  <c r="AB10" i="5"/>
  <c r="AA10" i="5"/>
  <c r="Z10" i="5"/>
  <c r="Y10" i="5"/>
  <c r="X10" i="5"/>
  <c r="W10" i="5"/>
  <c r="V10" i="5"/>
  <c r="U10" i="5"/>
  <c r="T10" i="5"/>
  <c r="S10" i="5"/>
  <c r="R10" i="5"/>
  <c r="Q10" i="5"/>
  <c r="AB9" i="5"/>
  <c r="AA9" i="5"/>
  <c r="Z9" i="5"/>
  <c r="Y9" i="5"/>
  <c r="X9" i="5"/>
  <c r="W9" i="5"/>
  <c r="V9" i="5"/>
  <c r="U9" i="5"/>
  <c r="T9" i="5"/>
  <c r="S9" i="5"/>
  <c r="R9" i="5"/>
  <c r="Q9" i="5"/>
  <c r="AB8" i="5"/>
  <c r="AA8" i="5"/>
  <c r="Z8" i="5"/>
  <c r="Y8" i="5"/>
  <c r="X8" i="5"/>
  <c r="W8" i="5"/>
  <c r="V8" i="5"/>
  <c r="U8" i="5"/>
  <c r="T8" i="5"/>
  <c r="S8" i="5"/>
  <c r="R8" i="5"/>
  <c r="Q8" i="5"/>
  <c r="AB7" i="5"/>
  <c r="AA7" i="5"/>
  <c r="Z7" i="5"/>
  <c r="Y7" i="5"/>
  <c r="X7" i="5"/>
  <c r="W7" i="5"/>
  <c r="V7" i="5"/>
  <c r="U7" i="5"/>
  <c r="T7" i="5"/>
  <c r="S7" i="5"/>
  <c r="R7" i="5"/>
  <c r="Q7" i="5"/>
  <c r="AB6" i="5"/>
  <c r="AA6" i="5"/>
  <c r="Z6" i="5"/>
  <c r="Y6" i="5"/>
  <c r="X6" i="5"/>
  <c r="W6" i="5"/>
  <c r="V6" i="5"/>
  <c r="U6" i="5"/>
  <c r="T6" i="5"/>
  <c r="S6" i="5"/>
  <c r="R6" i="5"/>
  <c r="Q6" i="5"/>
  <c r="AB5" i="5"/>
  <c r="AA5" i="5"/>
  <c r="Z5" i="5"/>
  <c r="Y5" i="5"/>
  <c r="X5" i="5"/>
  <c r="W5" i="5"/>
  <c r="V5" i="5"/>
  <c r="U5" i="5"/>
  <c r="T5" i="5"/>
  <c r="S5" i="5"/>
  <c r="R5" i="5"/>
  <c r="Q5" i="5"/>
  <c r="AB4" i="5"/>
  <c r="AA4" i="5"/>
  <c r="Z4" i="5"/>
  <c r="Y4" i="5"/>
  <c r="X4" i="5"/>
  <c r="W4" i="5"/>
  <c r="V4" i="5"/>
  <c r="U4" i="5"/>
  <c r="T4" i="5"/>
  <c r="S4" i="5"/>
  <c r="R4" i="5"/>
  <c r="Q4" i="5"/>
  <c r="U22" i="31"/>
  <c r="T22" i="31"/>
  <c r="S22" i="31"/>
  <c r="R22" i="31"/>
  <c r="Q22" i="31"/>
  <c r="U21" i="31"/>
  <c r="T21" i="31"/>
  <c r="S21" i="31"/>
  <c r="R21" i="31"/>
  <c r="Q21" i="31"/>
  <c r="U20" i="31"/>
  <c r="T20" i="31"/>
  <c r="S20" i="31"/>
  <c r="R20" i="31"/>
  <c r="Q20" i="31"/>
  <c r="U19" i="31"/>
  <c r="T19" i="31"/>
  <c r="S19" i="31"/>
  <c r="R19" i="31"/>
  <c r="Q19" i="31"/>
  <c r="U18" i="31"/>
  <c r="T18" i="31"/>
  <c r="S18" i="31"/>
  <c r="R18" i="31"/>
  <c r="Q18" i="31"/>
  <c r="U17" i="31"/>
  <c r="T17" i="31"/>
  <c r="S17" i="31"/>
  <c r="R17" i="31"/>
  <c r="Q17" i="31"/>
  <c r="U16" i="31"/>
  <c r="T16" i="31"/>
  <c r="S16" i="31"/>
  <c r="R16" i="31"/>
  <c r="Q16" i="31"/>
  <c r="U15" i="31"/>
  <c r="T15" i="31"/>
  <c r="S15" i="31"/>
  <c r="R15" i="31"/>
  <c r="Q15" i="31"/>
  <c r="U14" i="31"/>
  <c r="T14" i="31"/>
  <c r="S14" i="31"/>
  <c r="R14" i="31"/>
  <c r="Q14" i="31"/>
  <c r="U13" i="31"/>
  <c r="T13" i="31"/>
  <c r="S13" i="31"/>
  <c r="R13" i="31"/>
  <c r="Q13" i="31"/>
  <c r="U12" i="31"/>
  <c r="T12" i="31"/>
  <c r="S12" i="31"/>
  <c r="R12" i="31"/>
  <c r="Q12" i="31"/>
  <c r="U11" i="31"/>
  <c r="T11" i="31"/>
  <c r="S11" i="31"/>
  <c r="R11" i="31"/>
  <c r="Q11" i="31"/>
  <c r="U10" i="31"/>
  <c r="T10" i="31"/>
  <c r="S10" i="31"/>
  <c r="R10" i="31"/>
  <c r="Q10" i="31"/>
  <c r="U9" i="31"/>
  <c r="T9" i="31"/>
  <c r="S9" i="31"/>
  <c r="R9" i="31"/>
  <c r="Q9" i="31"/>
  <c r="U8" i="31"/>
  <c r="T8" i="31"/>
  <c r="S8" i="31"/>
  <c r="R8" i="31"/>
  <c r="Q8" i="31"/>
  <c r="U7" i="31"/>
  <c r="T7" i="31"/>
  <c r="S7" i="31"/>
  <c r="R7" i="31"/>
  <c r="Q7" i="31"/>
  <c r="U6" i="31"/>
  <c r="T6" i="31"/>
  <c r="S6" i="31"/>
  <c r="R6" i="31"/>
  <c r="Q6" i="31"/>
  <c r="U5" i="31"/>
  <c r="T5" i="31"/>
  <c r="S5" i="31"/>
  <c r="R5" i="31"/>
  <c r="Q5" i="31"/>
  <c r="U4" i="31"/>
  <c r="T4" i="31"/>
  <c r="S4" i="31"/>
  <c r="R4" i="31"/>
  <c r="Q4" i="31"/>
  <c r="P33" i="35" l="1"/>
  <c r="C33" i="35"/>
  <c r="A33" i="35"/>
  <c r="P32" i="35"/>
  <c r="C32" i="35"/>
  <c r="A32" i="35"/>
  <c r="P31" i="35"/>
  <c r="C31" i="35"/>
  <c r="A31" i="35"/>
  <c r="P30" i="35"/>
  <c r="C30" i="35"/>
  <c r="A30" i="35"/>
  <c r="P29" i="35"/>
  <c r="C29" i="35"/>
  <c r="A29" i="35"/>
  <c r="P28" i="35"/>
  <c r="C28" i="35"/>
  <c r="A28" i="35"/>
  <c r="P27" i="35"/>
  <c r="C27" i="35"/>
  <c r="A27" i="35"/>
  <c r="P26" i="35"/>
  <c r="C26" i="35"/>
  <c r="A26" i="35"/>
  <c r="P25" i="35"/>
  <c r="C25" i="35"/>
  <c r="A25" i="35"/>
  <c r="P24" i="35"/>
  <c r="C24" i="35"/>
  <c r="A24" i="35"/>
  <c r="P23" i="35"/>
  <c r="C23" i="35"/>
  <c r="A23" i="35"/>
  <c r="P22" i="35"/>
  <c r="B22" i="35"/>
  <c r="A22" i="35"/>
  <c r="P21" i="35"/>
  <c r="B21" i="35"/>
  <c r="A21" i="35" s="1"/>
  <c r="A2" i="35" s="1"/>
  <c r="P20" i="35"/>
  <c r="B20" i="35"/>
  <c r="A20" i="35"/>
  <c r="P19" i="35"/>
  <c r="B19" i="35"/>
  <c r="A19" i="35"/>
  <c r="P18" i="35"/>
  <c r="B18" i="35"/>
  <c r="A18" i="35"/>
  <c r="P17" i="35"/>
  <c r="B17" i="35"/>
  <c r="A17" i="35"/>
  <c r="P16" i="35"/>
  <c r="B16" i="35"/>
  <c r="A16" i="35"/>
  <c r="P15" i="35"/>
  <c r="B15" i="35"/>
  <c r="A15" i="35"/>
  <c r="P14" i="35"/>
  <c r="B14" i="35"/>
  <c r="A14" i="35"/>
  <c r="P13" i="35"/>
  <c r="B13" i="35"/>
  <c r="A13" i="35"/>
  <c r="P12" i="35"/>
  <c r="B12" i="35"/>
  <c r="A12" i="35"/>
  <c r="P11" i="35"/>
  <c r="B11" i="35"/>
  <c r="A11" i="35"/>
  <c r="P10" i="35"/>
  <c r="B10" i="35"/>
  <c r="A10" i="35"/>
  <c r="P9" i="35"/>
  <c r="B9" i="35"/>
  <c r="A9" i="35"/>
  <c r="P8" i="35"/>
  <c r="B8" i="35"/>
  <c r="A8" i="35"/>
  <c r="P7" i="35"/>
  <c r="B7" i="35"/>
  <c r="A7" i="35"/>
  <c r="P6" i="35"/>
  <c r="B6" i="35"/>
  <c r="A6" i="35"/>
  <c r="P5" i="35"/>
  <c r="B5" i="35"/>
  <c r="A5" i="35"/>
  <c r="X34" i="35"/>
  <c r="V34" i="35"/>
  <c r="T34" i="35"/>
  <c r="R34" i="35"/>
  <c r="P4" i="35"/>
  <c r="B4" i="35"/>
  <c r="A4" i="35"/>
  <c r="Z3" i="35"/>
  <c r="Y3" i="35"/>
  <c r="X3" i="35"/>
  <c r="W3" i="35"/>
  <c r="V3" i="35"/>
  <c r="U3" i="35"/>
  <c r="T3" i="35"/>
  <c r="S3" i="35"/>
  <c r="R3" i="35"/>
  <c r="Q3" i="35"/>
  <c r="B2" i="35"/>
  <c r="P33" i="33"/>
  <c r="C33" i="33"/>
  <c r="A33" i="33"/>
  <c r="P32" i="33"/>
  <c r="C32" i="33"/>
  <c r="A32" i="33"/>
  <c r="P31" i="33"/>
  <c r="C31" i="33"/>
  <c r="A31" i="33"/>
  <c r="P30" i="33"/>
  <c r="C30" i="33"/>
  <c r="A30" i="33"/>
  <c r="P29" i="33"/>
  <c r="C29" i="33"/>
  <c r="A29" i="33"/>
  <c r="P28" i="33"/>
  <c r="C28" i="33"/>
  <c r="A28" i="33"/>
  <c r="P27" i="33"/>
  <c r="C27" i="33"/>
  <c r="A27" i="33"/>
  <c r="P26" i="33"/>
  <c r="C26" i="33"/>
  <c r="A26" i="33"/>
  <c r="P25" i="33"/>
  <c r="C25" i="33"/>
  <c r="A25" i="33"/>
  <c r="P24" i="33"/>
  <c r="C24" i="33"/>
  <c r="A24" i="33"/>
  <c r="P23" i="33"/>
  <c r="C23" i="33"/>
  <c r="A23" i="33"/>
  <c r="P22" i="33"/>
  <c r="B22" i="33"/>
  <c r="A22" i="33"/>
  <c r="P21" i="33"/>
  <c r="B21" i="33"/>
  <c r="A21" i="33" s="1"/>
  <c r="A2" i="33" s="1"/>
  <c r="P20" i="33"/>
  <c r="B20" i="33"/>
  <c r="A20" i="33"/>
  <c r="P19" i="33"/>
  <c r="B19" i="33"/>
  <c r="A19" i="33"/>
  <c r="P18" i="33"/>
  <c r="B18" i="33"/>
  <c r="A18" i="33"/>
  <c r="P17" i="33"/>
  <c r="B17" i="33"/>
  <c r="A17" i="33"/>
  <c r="P16" i="33"/>
  <c r="B16" i="33"/>
  <c r="A16" i="33"/>
  <c r="P15" i="33"/>
  <c r="B15" i="33"/>
  <c r="A15" i="33"/>
  <c r="P14" i="33"/>
  <c r="B14" i="33"/>
  <c r="A14" i="33"/>
  <c r="P13" i="33"/>
  <c r="B13" i="33"/>
  <c r="A13" i="33"/>
  <c r="P12" i="33"/>
  <c r="B12" i="33"/>
  <c r="A12" i="33"/>
  <c r="P11" i="33"/>
  <c r="B11" i="33"/>
  <c r="A11" i="33"/>
  <c r="P10" i="33"/>
  <c r="B10" i="33"/>
  <c r="A10" i="33"/>
  <c r="P9" i="33"/>
  <c r="B9" i="33"/>
  <c r="A9" i="33"/>
  <c r="P8" i="33"/>
  <c r="B8" i="33"/>
  <c r="A8" i="33"/>
  <c r="P7" i="33"/>
  <c r="B7" i="33"/>
  <c r="A7" i="33"/>
  <c r="P6" i="33"/>
  <c r="B6" i="33"/>
  <c r="A6" i="33"/>
  <c r="P5" i="33"/>
  <c r="B5" i="33"/>
  <c r="A5" i="33"/>
  <c r="P4" i="33"/>
  <c r="B4" i="33"/>
  <c r="A4" i="33"/>
  <c r="Z3" i="33"/>
  <c r="Y3" i="33"/>
  <c r="X3" i="33"/>
  <c r="W3" i="33"/>
  <c r="V3" i="33"/>
  <c r="U3" i="33"/>
  <c r="T3" i="33"/>
  <c r="S3" i="33"/>
  <c r="R3" i="33"/>
  <c r="Q3" i="33"/>
  <c r="B2" i="33"/>
  <c r="P33" i="32"/>
  <c r="C33" i="32"/>
  <c r="D33" i="32" s="1"/>
  <c r="E33" i="32" s="1"/>
  <c r="F33" i="32" s="1"/>
  <c r="G33" i="32" s="1"/>
  <c r="H33" i="32" s="1"/>
  <c r="I33" i="32" s="1"/>
  <c r="J33" i="32" s="1"/>
  <c r="K33" i="32" s="1"/>
  <c r="L33" i="32" s="1"/>
  <c r="M33" i="32" s="1"/>
  <c r="N33" i="32" s="1"/>
  <c r="O33" i="32" s="1"/>
  <c r="B33" i="32"/>
  <c r="A33" i="32"/>
  <c r="P32" i="32"/>
  <c r="C32" i="32"/>
  <c r="D32" i="32" s="1"/>
  <c r="E32" i="32" s="1"/>
  <c r="F32" i="32" s="1"/>
  <c r="G32" i="32" s="1"/>
  <c r="H32" i="32" s="1"/>
  <c r="I32" i="32" s="1"/>
  <c r="J32" i="32" s="1"/>
  <c r="K32" i="32" s="1"/>
  <c r="L32" i="32" s="1"/>
  <c r="M32" i="32" s="1"/>
  <c r="N32" i="32" s="1"/>
  <c r="O32" i="32" s="1"/>
  <c r="B32" i="32"/>
  <c r="A32" i="32"/>
  <c r="P31" i="32"/>
  <c r="C31" i="32"/>
  <c r="D31" i="32" s="1"/>
  <c r="E31" i="32" s="1"/>
  <c r="F31" i="32" s="1"/>
  <c r="G31" i="32" s="1"/>
  <c r="H31" i="32" s="1"/>
  <c r="I31" i="32" s="1"/>
  <c r="J31" i="32" s="1"/>
  <c r="K31" i="32" s="1"/>
  <c r="L31" i="32" s="1"/>
  <c r="M31" i="32" s="1"/>
  <c r="N31" i="32" s="1"/>
  <c r="O31" i="32" s="1"/>
  <c r="B31" i="32"/>
  <c r="A31" i="32"/>
  <c r="P30" i="32"/>
  <c r="C30" i="32"/>
  <c r="D30" i="32" s="1"/>
  <c r="E30" i="32" s="1"/>
  <c r="F30" i="32" s="1"/>
  <c r="G30" i="32" s="1"/>
  <c r="H30" i="32" s="1"/>
  <c r="I30" i="32" s="1"/>
  <c r="J30" i="32" s="1"/>
  <c r="K30" i="32" s="1"/>
  <c r="L30" i="32" s="1"/>
  <c r="M30" i="32" s="1"/>
  <c r="N30" i="32" s="1"/>
  <c r="O30" i="32" s="1"/>
  <c r="B30" i="32"/>
  <c r="A30" i="32"/>
  <c r="P29" i="32"/>
  <c r="C29" i="32"/>
  <c r="D29" i="32" s="1"/>
  <c r="E29" i="32" s="1"/>
  <c r="F29" i="32" s="1"/>
  <c r="G29" i="32" s="1"/>
  <c r="H29" i="32" s="1"/>
  <c r="I29" i="32" s="1"/>
  <c r="J29" i="32" s="1"/>
  <c r="K29" i="32" s="1"/>
  <c r="L29" i="32" s="1"/>
  <c r="M29" i="32" s="1"/>
  <c r="N29" i="32" s="1"/>
  <c r="O29" i="32" s="1"/>
  <c r="B29" i="32"/>
  <c r="A29" i="32"/>
  <c r="P28" i="32"/>
  <c r="C28" i="32"/>
  <c r="D28" i="32" s="1"/>
  <c r="E28" i="32" s="1"/>
  <c r="F28" i="32" s="1"/>
  <c r="G28" i="32" s="1"/>
  <c r="H28" i="32" s="1"/>
  <c r="I28" i="32" s="1"/>
  <c r="J28" i="32" s="1"/>
  <c r="K28" i="32" s="1"/>
  <c r="L28" i="32" s="1"/>
  <c r="M28" i="32" s="1"/>
  <c r="N28" i="32" s="1"/>
  <c r="O28" i="32" s="1"/>
  <c r="B28" i="32"/>
  <c r="A28" i="32"/>
  <c r="P27" i="32"/>
  <c r="C27" i="32"/>
  <c r="D27" i="32" s="1"/>
  <c r="E27" i="32" s="1"/>
  <c r="F27" i="32" s="1"/>
  <c r="G27" i="32" s="1"/>
  <c r="H27" i="32" s="1"/>
  <c r="I27" i="32" s="1"/>
  <c r="J27" i="32" s="1"/>
  <c r="K27" i="32" s="1"/>
  <c r="L27" i="32" s="1"/>
  <c r="M27" i="32" s="1"/>
  <c r="N27" i="32" s="1"/>
  <c r="O27" i="32" s="1"/>
  <c r="B27" i="32"/>
  <c r="A27" i="32"/>
  <c r="P26" i="32"/>
  <c r="C26" i="32"/>
  <c r="D26" i="32" s="1"/>
  <c r="E26" i="32" s="1"/>
  <c r="F26" i="32" s="1"/>
  <c r="G26" i="32" s="1"/>
  <c r="H26" i="32" s="1"/>
  <c r="I26" i="32" s="1"/>
  <c r="J26" i="32" s="1"/>
  <c r="K26" i="32" s="1"/>
  <c r="L26" i="32" s="1"/>
  <c r="M26" i="32" s="1"/>
  <c r="N26" i="32" s="1"/>
  <c r="O26" i="32" s="1"/>
  <c r="B26" i="32"/>
  <c r="A26" i="32"/>
  <c r="P25" i="32"/>
  <c r="C25" i="32"/>
  <c r="D25" i="32" s="1"/>
  <c r="E25" i="32" s="1"/>
  <c r="F25" i="32" s="1"/>
  <c r="G25" i="32" s="1"/>
  <c r="H25" i="32" s="1"/>
  <c r="I25" i="32" s="1"/>
  <c r="J25" i="32" s="1"/>
  <c r="K25" i="32" s="1"/>
  <c r="L25" i="32" s="1"/>
  <c r="M25" i="32" s="1"/>
  <c r="N25" i="32" s="1"/>
  <c r="O25" i="32" s="1"/>
  <c r="B25" i="32"/>
  <c r="A25" i="32"/>
  <c r="P24" i="32"/>
  <c r="C24" i="32"/>
  <c r="D24" i="32" s="1"/>
  <c r="E24" i="32" s="1"/>
  <c r="F24" i="32" s="1"/>
  <c r="G24" i="32" s="1"/>
  <c r="H24" i="32" s="1"/>
  <c r="I24" i="32" s="1"/>
  <c r="J24" i="32" s="1"/>
  <c r="K24" i="32" s="1"/>
  <c r="L24" i="32" s="1"/>
  <c r="M24" i="32" s="1"/>
  <c r="N24" i="32" s="1"/>
  <c r="O24" i="32" s="1"/>
  <c r="B24" i="32"/>
  <c r="A24" i="32"/>
  <c r="P23" i="32"/>
  <c r="C23" i="32"/>
  <c r="B23" i="32"/>
  <c r="A23" i="32"/>
  <c r="AB22" i="32"/>
  <c r="P22" i="32"/>
  <c r="B22" i="32"/>
  <c r="A22" i="32"/>
  <c r="AB21" i="32"/>
  <c r="P21" i="32"/>
  <c r="B21" i="32"/>
  <c r="A21" i="32"/>
  <c r="P20" i="32"/>
  <c r="B20" i="32"/>
  <c r="A20" i="32"/>
  <c r="P19" i="32"/>
  <c r="B19" i="32"/>
  <c r="A19" i="32"/>
  <c r="P18" i="32"/>
  <c r="B18" i="32"/>
  <c r="A18" i="32"/>
  <c r="P17" i="32"/>
  <c r="B17" i="32"/>
  <c r="A17" i="32"/>
  <c r="P16" i="32"/>
  <c r="B16" i="32"/>
  <c r="A16" i="32"/>
  <c r="AB15" i="32"/>
  <c r="AA15" i="32"/>
  <c r="AA34" i="32" s="1"/>
  <c r="P15" i="32"/>
  <c r="B15" i="32"/>
  <c r="A15" i="32"/>
  <c r="P14" i="32"/>
  <c r="B14" i="32"/>
  <c r="C14" i="32" s="1"/>
  <c r="D14" i="32" s="1"/>
  <c r="E14" i="32" s="1"/>
  <c r="F14" i="32" s="1"/>
  <c r="G14" i="32" s="1"/>
  <c r="H14" i="32" s="1"/>
  <c r="I14" i="32" s="1"/>
  <c r="J14" i="32" s="1"/>
  <c r="K14" i="32" s="1"/>
  <c r="L14" i="32" s="1"/>
  <c r="M14" i="32" s="1"/>
  <c r="A14" i="32"/>
  <c r="P13" i="32"/>
  <c r="B13" i="32"/>
  <c r="A13" i="32"/>
  <c r="P12" i="32"/>
  <c r="B12" i="32"/>
  <c r="A12" i="32"/>
  <c r="P11" i="32"/>
  <c r="B11" i="32"/>
  <c r="A11" i="32"/>
  <c r="P10" i="32"/>
  <c r="B10" i="32"/>
  <c r="A10" i="32"/>
  <c r="P9" i="32"/>
  <c r="B9" i="32"/>
  <c r="A9" i="32"/>
  <c r="P8" i="32"/>
  <c r="B8" i="32"/>
  <c r="A8" i="32"/>
  <c r="Q34" i="32"/>
  <c r="P7" i="32"/>
  <c r="B7" i="32"/>
  <c r="A7" i="32"/>
  <c r="R34" i="32"/>
  <c r="P6" i="32"/>
  <c r="B6" i="32"/>
  <c r="A6" i="32"/>
  <c r="P5" i="32"/>
  <c r="B5" i="32"/>
  <c r="A5" i="32"/>
  <c r="T34" i="32"/>
  <c r="P4" i="32"/>
  <c r="B4" i="32"/>
  <c r="A4" i="32"/>
  <c r="Z3" i="32"/>
  <c r="Y3" i="32"/>
  <c r="X3" i="32"/>
  <c r="W3" i="32"/>
  <c r="V3" i="32"/>
  <c r="U3" i="32"/>
  <c r="T3" i="32"/>
  <c r="S3" i="32"/>
  <c r="R3" i="32"/>
  <c r="Q3" i="32"/>
  <c r="B2" i="32"/>
  <c r="A2" i="32"/>
  <c r="Z34" i="24"/>
  <c r="U34" i="24"/>
  <c r="P33" i="24"/>
  <c r="C33" i="24"/>
  <c r="D33" i="24" s="1"/>
  <c r="E33" i="24" s="1"/>
  <c r="F33" i="24" s="1"/>
  <c r="G33" i="24" s="1"/>
  <c r="H33" i="24" s="1"/>
  <c r="I33" i="24" s="1"/>
  <c r="J33" i="24" s="1"/>
  <c r="K33" i="24" s="1"/>
  <c r="L33" i="24" s="1"/>
  <c r="M33" i="24" s="1"/>
  <c r="N33" i="24" s="1"/>
  <c r="O33" i="24" s="1"/>
  <c r="B33" i="24"/>
  <c r="A33" i="24"/>
  <c r="P32" i="24"/>
  <c r="C32" i="24"/>
  <c r="D32" i="24" s="1"/>
  <c r="E32" i="24" s="1"/>
  <c r="F32" i="24" s="1"/>
  <c r="G32" i="24" s="1"/>
  <c r="H32" i="24" s="1"/>
  <c r="I32" i="24" s="1"/>
  <c r="J32" i="24" s="1"/>
  <c r="K32" i="24" s="1"/>
  <c r="L32" i="24" s="1"/>
  <c r="M32" i="24" s="1"/>
  <c r="N32" i="24" s="1"/>
  <c r="O32" i="24" s="1"/>
  <c r="B32" i="24"/>
  <c r="A32" i="24"/>
  <c r="P31" i="24"/>
  <c r="C31" i="24"/>
  <c r="D31" i="24" s="1"/>
  <c r="E31" i="24" s="1"/>
  <c r="F31" i="24" s="1"/>
  <c r="G31" i="24" s="1"/>
  <c r="H31" i="24" s="1"/>
  <c r="I31" i="24" s="1"/>
  <c r="J31" i="24" s="1"/>
  <c r="K31" i="24" s="1"/>
  <c r="L31" i="24" s="1"/>
  <c r="M31" i="24" s="1"/>
  <c r="N31" i="24" s="1"/>
  <c r="O31" i="24" s="1"/>
  <c r="B31" i="24"/>
  <c r="A31" i="24"/>
  <c r="P30" i="24"/>
  <c r="C30" i="24"/>
  <c r="D30" i="24" s="1"/>
  <c r="E30" i="24" s="1"/>
  <c r="F30" i="24" s="1"/>
  <c r="G30" i="24" s="1"/>
  <c r="H30" i="24" s="1"/>
  <c r="I30" i="24" s="1"/>
  <c r="J30" i="24" s="1"/>
  <c r="K30" i="24" s="1"/>
  <c r="L30" i="24" s="1"/>
  <c r="M30" i="24" s="1"/>
  <c r="N30" i="24" s="1"/>
  <c r="O30" i="24" s="1"/>
  <c r="B30" i="24"/>
  <c r="A30" i="24"/>
  <c r="P29" i="24"/>
  <c r="C29" i="24"/>
  <c r="D29" i="24" s="1"/>
  <c r="E29" i="24" s="1"/>
  <c r="F29" i="24" s="1"/>
  <c r="G29" i="24" s="1"/>
  <c r="H29" i="24" s="1"/>
  <c r="I29" i="24" s="1"/>
  <c r="J29" i="24" s="1"/>
  <c r="K29" i="24" s="1"/>
  <c r="L29" i="24" s="1"/>
  <c r="M29" i="24" s="1"/>
  <c r="N29" i="24" s="1"/>
  <c r="O29" i="24" s="1"/>
  <c r="B29" i="24"/>
  <c r="A29" i="24"/>
  <c r="P28" i="24"/>
  <c r="C28" i="24"/>
  <c r="D28" i="24" s="1"/>
  <c r="E28" i="24" s="1"/>
  <c r="F28" i="24" s="1"/>
  <c r="G28" i="24" s="1"/>
  <c r="H28" i="24" s="1"/>
  <c r="I28" i="24" s="1"/>
  <c r="J28" i="24" s="1"/>
  <c r="K28" i="24" s="1"/>
  <c r="L28" i="24" s="1"/>
  <c r="M28" i="24" s="1"/>
  <c r="N28" i="24" s="1"/>
  <c r="O28" i="24" s="1"/>
  <c r="B28" i="24"/>
  <c r="A28" i="24"/>
  <c r="P27" i="24"/>
  <c r="C27" i="24"/>
  <c r="D27" i="24" s="1"/>
  <c r="E27" i="24" s="1"/>
  <c r="F27" i="24" s="1"/>
  <c r="G27" i="24" s="1"/>
  <c r="H27" i="24" s="1"/>
  <c r="I27" i="24" s="1"/>
  <c r="J27" i="24" s="1"/>
  <c r="K27" i="24" s="1"/>
  <c r="L27" i="24" s="1"/>
  <c r="M27" i="24" s="1"/>
  <c r="N27" i="24" s="1"/>
  <c r="O27" i="24" s="1"/>
  <c r="B27" i="24"/>
  <c r="A27" i="24"/>
  <c r="P26" i="24"/>
  <c r="C26" i="24"/>
  <c r="D26" i="24" s="1"/>
  <c r="E26" i="24" s="1"/>
  <c r="F26" i="24" s="1"/>
  <c r="G26" i="24" s="1"/>
  <c r="H26" i="24" s="1"/>
  <c r="I26" i="24" s="1"/>
  <c r="J26" i="24" s="1"/>
  <c r="K26" i="24" s="1"/>
  <c r="L26" i="24" s="1"/>
  <c r="M26" i="24" s="1"/>
  <c r="N26" i="24" s="1"/>
  <c r="O26" i="24" s="1"/>
  <c r="B26" i="24"/>
  <c r="A26" i="24"/>
  <c r="P25" i="24"/>
  <c r="C25" i="24"/>
  <c r="D25" i="24" s="1"/>
  <c r="E25" i="24" s="1"/>
  <c r="F25" i="24" s="1"/>
  <c r="G25" i="24" s="1"/>
  <c r="H25" i="24" s="1"/>
  <c r="I25" i="24" s="1"/>
  <c r="J25" i="24" s="1"/>
  <c r="K25" i="24" s="1"/>
  <c r="L25" i="24" s="1"/>
  <c r="M25" i="24" s="1"/>
  <c r="N25" i="24" s="1"/>
  <c r="O25" i="24" s="1"/>
  <c r="B25" i="24"/>
  <c r="A25" i="24"/>
  <c r="P24" i="24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B24" i="24"/>
  <c r="A24" i="24"/>
  <c r="P23" i="24"/>
  <c r="C23" i="24"/>
  <c r="B23" i="24"/>
  <c r="A23" i="24"/>
  <c r="P22" i="24"/>
  <c r="B22" i="24"/>
  <c r="P21" i="24"/>
  <c r="B21" i="24"/>
  <c r="P20" i="24"/>
  <c r="B20" i="24"/>
  <c r="A20" i="24"/>
  <c r="P19" i="24"/>
  <c r="B19" i="24"/>
  <c r="A19" i="24"/>
  <c r="P18" i="24"/>
  <c r="B18" i="24"/>
  <c r="A18" i="24"/>
  <c r="P17" i="24"/>
  <c r="B17" i="24"/>
  <c r="A17" i="24"/>
  <c r="P16" i="24"/>
  <c r="B16" i="24"/>
  <c r="A16" i="24"/>
  <c r="P15" i="24"/>
  <c r="B15" i="24"/>
  <c r="A15" i="24"/>
  <c r="P14" i="24"/>
  <c r="B14" i="24"/>
  <c r="C14" i="24" s="1"/>
  <c r="D14" i="24" s="1"/>
  <c r="E14" i="24" s="1"/>
  <c r="F14" i="24" s="1"/>
  <c r="G14" i="24" s="1"/>
  <c r="H14" i="24" s="1"/>
  <c r="I14" i="24" s="1"/>
  <c r="J14" i="24" s="1"/>
  <c r="K14" i="24" s="1"/>
  <c r="L14" i="24" s="1"/>
  <c r="M14" i="24" s="1"/>
  <c r="N14" i="24" s="1"/>
  <c r="O14" i="24" s="1"/>
  <c r="A14" i="24"/>
  <c r="P13" i="24"/>
  <c r="B13" i="24"/>
  <c r="A13" i="24"/>
  <c r="P12" i="24"/>
  <c r="B12" i="24"/>
  <c r="A12" i="24"/>
  <c r="P11" i="24"/>
  <c r="B11" i="24"/>
  <c r="A11" i="24"/>
  <c r="P10" i="24"/>
  <c r="B10" i="24"/>
  <c r="A10" i="24"/>
  <c r="P9" i="24"/>
  <c r="B9" i="24"/>
  <c r="A9" i="24"/>
  <c r="P8" i="24"/>
  <c r="B8" i="24"/>
  <c r="A8" i="24"/>
  <c r="P7" i="24"/>
  <c r="B7" i="24"/>
  <c r="A7" i="24"/>
  <c r="AA34" i="24"/>
  <c r="W34" i="24"/>
  <c r="P6" i="24"/>
  <c r="B6" i="24"/>
  <c r="A6" i="24"/>
  <c r="V34" i="24"/>
  <c r="S34" i="24"/>
  <c r="R34" i="24"/>
  <c r="P5" i="24"/>
  <c r="B5" i="24"/>
  <c r="A5" i="24"/>
  <c r="Y34" i="24"/>
  <c r="Q34" i="24"/>
  <c r="P4" i="24"/>
  <c r="B4" i="24"/>
  <c r="A4" i="24"/>
  <c r="AA3" i="24"/>
  <c r="Z3" i="24"/>
  <c r="Y3" i="24"/>
  <c r="X3" i="24"/>
  <c r="W3" i="24"/>
  <c r="V3" i="24"/>
  <c r="U3" i="24"/>
  <c r="T3" i="24"/>
  <c r="S3" i="24"/>
  <c r="R3" i="24"/>
  <c r="Q3" i="24"/>
  <c r="B2" i="24"/>
  <c r="T34" i="23"/>
  <c r="P33" i="23"/>
  <c r="C33" i="23"/>
  <c r="D33" i="23" s="1"/>
  <c r="E33" i="23" s="1"/>
  <c r="F33" i="23" s="1"/>
  <c r="G33" i="23" s="1"/>
  <c r="H33" i="23" s="1"/>
  <c r="I33" i="23" s="1"/>
  <c r="J33" i="23" s="1"/>
  <c r="K33" i="23" s="1"/>
  <c r="L33" i="23" s="1"/>
  <c r="M33" i="23" s="1"/>
  <c r="N33" i="23" s="1"/>
  <c r="O33" i="23" s="1"/>
  <c r="B33" i="23"/>
  <c r="A33" i="23"/>
  <c r="P32" i="23"/>
  <c r="C32" i="23"/>
  <c r="D32" i="23" s="1"/>
  <c r="E32" i="23" s="1"/>
  <c r="F32" i="23" s="1"/>
  <c r="G32" i="23" s="1"/>
  <c r="H32" i="23" s="1"/>
  <c r="I32" i="23" s="1"/>
  <c r="J32" i="23" s="1"/>
  <c r="K32" i="23" s="1"/>
  <c r="L32" i="23" s="1"/>
  <c r="M32" i="23" s="1"/>
  <c r="N32" i="23" s="1"/>
  <c r="O32" i="23" s="1"/>
  <c r="B32" i="23"/>
  <c r="A32" i="23"/>
  <c r="P31" i="23"/>
  <c r="C31" i="23"/>
  <c r="D31" i="23" s="1"/>
  <c r="E31" i="23" s="1"/>
  <c r="F31" i="23" s="1"/>
  <c r="G31" i="23" s="1"/>
  <c r="H31" i="23" s="1"/>
  <c r="I31" i="23" s="1"/>
  <c r="J31" i="23" s="1"/>
  <c r="K31" i="23" s="1"/>
  <c r="L31" i="23" s="1"/>
  <c r="M31" i="23" s="1"/>
  <c r="N31" i="23" s="1"/>
  <c r="O31" i="23" s="1"/>
  <c r="B31" i="23"/>
  <c r="A31" i="23"/>
  <c r="P30" i="23"/>
  <c r="C30" i="23"/>
  <c r="D30" i="23" s="1"/>
  <c r="E30" i="23" s="1"/>
  <c r="F30" i="23" s="1"/>
  <c r="G30" i="23" s="1"/>
  <c r="H30" i="23" s="1"/>
  <c r="I30" i="23" s="1"/>
  <c r="J30" i="23" s="1"/>
  <c r="K30" i="23" s="1"/>
  <c r="L30" i="23" s="1"/>
  <c r="M30" i="23" s="1"/>
  <c r="N30" i="23" s="1"/>
  <c r="O30" i="23" s="1"/>
  <c r="B30" i="23"/>
  <c r="A30" i="23"/>
  <c r="P29" i="23"/>
  <c r="C29" i="23"/>
  <c r="D29" i="23" s="1"/>
  <c r="E29" i="23" s="1"/>
  <c r="F29" i="23" s="1"/>
  <c r="G29" i="23" s="1"/>
  <c r="H29" i="23" s="1"/>
  <c r="I29" i="23" s="1"/>
  <c r="J29" i="23" s="1"/>
  <c r="K29" i="23" s="1"/>
  <c r="L29" i="23" s="1"/>
  <c r="M29" i="23" s="1"/>
  <c r="N29" i="23" s="1"/>
  <c r="O29" i="23" s="1"/>
  <c r="B29" i="23"/>
  <c r="A29" i="23"/>
  <c r="P28" i="23"/>
  <c r="C28" i="23"/>
  <c r="D28" i="23" s="1"/>
  <c r="E28" i="23" s="1"/>
  <c r="F28" i="23" s="1"/>
  <c r="G28" i="23" s="1"/>
  <c r="H28" i="23" s="1"/>
  <c r="I28" i="23" s="1"/>
  <c r="J28" i="23" s="1"/>
  <c r="K28" i="23" s="1"/>
  <c r="L28" i="23" s="1"/>
  <c r="M28" i="23" s="1"/>
  <c r="N28" i="23" s="1"/>
  <c r="O28" i="23" s="1"/>
  <c r="B28" i="23"/>
  <c r="A28" i="23"/>
  <c r="P27" i="23"/>
  <c r="C27" i="23"/>
  <c r="D27" i="23" s="1"/>
  <c r="E27" i="23" s="1"/>
  <c r="F27" i="23" s="1"/>
  <c r="G27" i="23" s="1"/>
  <c r="H27" i="23" s="1"/>
  <c r="I27" i="23" s="1"/>
  <c r="J27" i="23" s="1"/>
  <c r="K27" i="23" s="1"/>
  <c r="L27" i="23" s="1"/>
  <c r="M27" i="23" s="1"/>
  <c r="N27" i="23" s="1"/>
  <c r="O27" i="23" s="1"/>
  <c r="B27" i="23"/>
  <c r="A27" i="23"/>
  <c r="P26" i="23"/>
  <c r="C26" i="23"/>
  <c r="D26" i="23" s="1"/>
  <c r="E26" i="23" s="1"/>
  <c r="F26" i="23" s="1"/>
  <c r="G26" i="23" s="1"/>
  <c r="H26" i="23" s="1"/>
  <c r="I26" i="23" s="1"/>
  <c r="J26" i="23" s="1"/>
  <c r="K26" i="23" s="1"/>
  <c r="L26" i="23" s="1"/>
  <c r="M26" i="23" s="1"/>
  <c r="N26" i="23" s="1"/>
  <c r="O26" i="23" s="1"/>
  <c r="B26" i="23"/>
  <c r="A26" i="23"/>
  <c r="P25" i="23"/>
  <c r="C25" i="23"/>
  <c r="D25" i="23" s="1"/>
  <c r="E25" i="23" s="1"/>
  <c r="F25" i="23" s="1"/>
  <c r="G25" i="23" s="1"/>
  <c r="H25" i="23" s="1"/>
  <c r="I25" i="23" s="1"/>
  <c r="J25" i="23" s="1"/>
  <c r="K25" i="23" s="1"/>
  <c r="L25" i="23" s="1"/>
  <c r="M25" i="23" s="1"/>
  <c r="N25" i="23" s="1"/>
  <c r="O25" i="23" s="1"/>
  <c r="B25" i="23"/>
  <c r="A25" i="23"/>
  <c r="P24" i="23"/>
  <c r="C24" i="23"/>
  <c r="D24" i="23" s="1"/>
  <c r="E24" i="23" s="1"/>
  <c r="F24" i="23" s="1"/>
  <c r="G24" i="23" s="1"/>
  <c r="H24" i="23" s="1"/>
  <c r="I24" i="23" s="1"/>
  <c r="J24" i="23" s="1"/>
  <c r="K24" i="23" s="1"/>
  <c r="L24" i="23" s="1"/>
  <c r="M24" i="23" s="1"/>
  <c r="N24" i="23" s="1"/>
  <c r="O24" i="23" s="1"/>
  <c r="B24" i="23"/>
  <c r="A24" i="23"/>
  <c r="P23" i="23"/>
  <c r="C23" i="23"/>
  <c r="B23" i="23"/>
  <c r="A23" i="23"/>
  <c r="P22" i="23"/>
  <c r="B22" i="23"/>
  <c r="P21" i="23"/>
  <c r="B21" i="23"/>
  <c r="M19" i="25"/>
  <c r="P20" i="23"/>
  <c r="B20" i="23"/>
  <c r="A20" i="23"/>
  <c r="P19" i="23"/>
  <c r="B19" i="23"/>
  <c r="A19" i="23"/>
  <c r="E17" i="25"/>
  <c r="P18" i="23"/>
  <c r="B18" i="23"/>
  <c r="A18" i="23"/>
  <c r="P17" i="23"/>
  <c r="B17" i="23"/>
  <c r="A17" i="23"/>
  <c r="P16" i="23"/>
  <c r="B16" i="23"/>
  <c r="A16" i="23"/>
  <c r="I14" i="25"/>
  <c r="P15" i="23"/>
  <c r="B15" i="23"/>
  <c r="A15" i="23"/>
  <c r="P14" i="23"/>
  <c r="B14" i="23"/>
  <c r="C14" i="23" s="1"/>
  <c r="D14" i="23" s="1"/>
  <c r="E14" i="23" s="1"/>
  <c r="F14" i="23" s="1"/>
  <c r="G14" i="23" s="1"/>
  <c r="H14" i="23" s="1"/>
  <c r="I14" i="23" s="1"/>
  <c r="J14" i="23" s="1"/>
  <c r="K14" i="23" s="1"/>
  <c r="L14" i="23" s="1"/>
  <c r="M14" i="23" s="1"/>
  <c r="N14" i="23" s="1"/>
  <c r="O14" i="23" s="1"/>
  <c r="A14" i="23"/>
  <c r="P13" i="23"/>
  <c r="B13" i="23"/>
  <c r="A13" i="23"/>
  <c r="P12" i="23"/>
  <c r="B12" i="23"/>
  <c r="A12" i="23"/>
  <c r="L10" i="25"/>
  <c r="H10" i="25"/>
  <c r="D10" i="25"/>
  <c r="P11" i="23"/>
  <c r="B11" i="23"/>
  <c r="A11" i="23"/>
  <c r="P10" i="23"/>
  <c r="B10" i="23"/>
  <c r="A10" i="23"/>
  <c r="P9" i="23"/>
  <c r="B9" i="23"/>
  <c r="A9" i="23"/>
  <c r="P8" i="23"/>
  <c r="B8" i="23"/>
  <c r="A8" i="23"/>
  <c r="L6" i="25"/>
  <c r="Y34" i="23"/>
  <c r="H6" i="25"/>
  <c r="D6" i="25"/>
  <c r="P7" i="23"/>
  <c r="B7" i="23"/>
  <c r="A7" i="23"/>
  <c r="P6" i="23"/>
  <c r="B6" i="23"/>
  <c r="A6" i="23"/>
  <c r="W34" i="23"/>
  <c r="U34" i="23"/>
  <c r="Q34" i="23"/>
  <c r="P5" i="23"/>
  <c r="B5" i="23"/>
  <c r="A5" i="23"/>
  <c r="Z34" i="23"/>
  <c r="X34" i="23"/>
  <c r="V34" i="23"/>
  <c r="R34" i="23"/>
  <c r="P4" i="23"/>
  <c r="B4" i="23"/>
  <c r="A4" i="23"/>
  <c r="AA3" i="23"/>
  <c r="Z3" i="23"/>
  <c r="Y3" i="23"/>
  <c r="X3" i="23"/>
  <c r="W3" i="23"/>
  <c r="V3" i="23"/>
  <c r="U3" i="23"/>
  <c r="T3" i="23"/>
  <c r="S3" i="23"/>
  <c r="R3" i="23"/>
  <c r="Q3" i="23"/>
  <c r="B2" i="23"/>
  <c r="P33" i="22"/>
  <c r="C33" i="22"/>
  <c r="D33" i="22" s="1"/>
  <c r="E33" i="22" s="1"/>
  <c r="F33" i="22" s="1"/>
  <c r="G33" i="22" s="1"/>
  <c r="H33" i="22" s="1"/>
  <c r="I33" i="22" s="1"/>
  <c r="J33" i="22" s="1"/>
  <c r="K33" i="22" s="1"/>
  <c r="L33" i="22" s="1"/>
  <c r="M33" i="22" s="1"/>
  <c r="N33" i="22" s="1"/>
  <c r="O33" i="22" s="1"/>
  <c r="B33" i="22"/>
  <c r="A33" i="22"/>
  <c r="P32" i="22"/>
  <c r="C32" i="22"/>
  <c r="D32" i="22" s="1"/>
  <c r="E32" i="22" s="1"/>
  <c r="F32" i="22" s="1"/>
  <c r="G32" i="22" s="1"/>
  <c r="H32" i="22" s="1"/>
  <c r="I32" i="22" s="1"/>
  <c r="J32" i="22" s="1"/>
  <c r="K32" i="22" s="1"/>
  <c r="L32" i="22" s="1"/>
  <c r="M32" i="22" s="1"/>
  <c r="N32" i="22" s="1"/>
  <c r="O32" i="22" s="1"/>
  <c r="B32" i="22"/>
  <c r="A32" i="22"/>
  <c r="P31" i="22"/>
  <c r="C31" i="22"/>
  <c r="D31" i="22" s="1"/>
  <c r="E31" i="22" s="1"/>
  <c r="F31" i="22" s="1"/>
  <c r="G31" i="22" s="1"/>
  <c r="H31" i="22" s="1"/>
  <c r="I31" i="22" s="1"/>
  <c r="J31" i="22" s="1"/>
  <c r="K31" i="22" s="1"/>
  <c r="L31" i="22" s="1"/>
  <c r="M31" i="22" s="1"/>
  <c r="N31" i="22" s="1"/>
  <c r="O31" i="22" s="1"/>
  <c r="B31" i="22"/>
  <c r="A31" i="22"/>
  <c r="P30" i="22"/>
  <c r="C30" i="22"/>
  <c r="D30" i="22" s="1"/>
  <c r="E30" i="22" s="1"/>
  <c r="F30" i="22" s="1"/>
  <c r="G30" i="22" s="1"/>
  <c r="H30" i="22" s="1"/>
  <c r="I30" i="22" s="1"/>
  <c r="J30" i="22" s="1"/>
  <c r="K30" i="22" s="1"/>
  <c r="L30" i="22" s="1"/>
  <c r="M30" i="22" s="1"/>
  <c r="N30" i="22" s="1"/>
  <c r="O30" i="22" s="1"/>
  <c r="B30" i="22"/>
  <c r="A30" i="22"/>
  <c r="P29" i="22"/>
  <c r="C29" i="22"/>
  <c r="D29" i="22" s="1"/>
  <c r="E29" i="22" s="1"/>
  <c r="F29" i="22" s="1"/>
  <c r="G29" i="22" s="1"/>
  <c r="H29" i="22" s="1"/>
  <c r="I29" i="22" s="1"/>
  <c r="J29" i="22" s="1"/>
  <c r="K29" i="22" s="1"/>
  <c r="L29" i="22" s="1"/>
  <c r="M29" i="22" s="1"/>
  <c r="N29" i="22" s="1"/>
  <c r="O29" i="22" s="1"/>
  <c r="B29" i="22"/>
  <c r="A29" i="22"/>
  <c r="P28" i="22"/>
  <c r="C28" i="22"/>
  <c r="D28" i="22" s="1"/>
  <c r="E28" i="22" s="1"/>
  <c r="F28" i="22" s="1"/>
  <c r="G28" i="22" s="1"/>
  <c r="H28" i="22" s="1"/>
  <c r="I28" i="22" s="1"/>
  <c r="J28" i="22" s="1"/>
  <c r="K28" i="22" s="1"/>
  <c r="L28" i="22" s="1"/>
  <c r="M28" i="22" s="1"/>
  <c r="N28" i="22" s="1"/>
  <c r="O28" i="22" s="1"/>
  <c r="B28" i="22"/>
  <c r="A28" i="22"/>
  <c r="P27" i="22"/>
  <c r="C27" i="22"/>
  <c r="D27" i="22" s="1"/>
  <c r="E27" i="22" s="1"/>
  <c r="F27" i="22" s="1"/>
  <c r="G27" i="22" s="1"/>
  <c r="H27" i="22" s="1"/>
  <c r="I27" i="22" s="1"/>
  <c r="J27" i="22" s="1"/>
  <c r="K27" i="22" s="1"/>
  <c r="L27" i="22" s="1"/>
  <c r="M27" i="22" s="1"/>
  <c r="N27" i="22" s="1"/>
  <c r="O27" i="22" s="1"/>
  <c r="B27" i="22"/>
  <c r="A27" i="22"/>
  <c r="P26" i="22"/>
  <c r="C26" i="22"/>
  <c r="D26" i="22" s="1"/>
  <c r="E26" i="22" s="1"/>
  <c r="F26" i="22" s="1"/>
  <c r="G26" i="22" s="1"/>
  <c r="H26" i="22" s="1"/>
  <c r="I26" i="22" s="1"/>
  <c r="J26" i="22" s="1"/>
  <c r="K26" i="22" s="1"/>
  <c r="L26" i="22" s="1"/>
  <c r="M26" i="22" s="1"/>
  <c r="N26" i="22" s="1"/>
  <c r="O26" i="22" s="1"/>
  <c r="B26" i="22"/>
  <c r="A26" i="22"/>
  <c r="P25" i="22"/>
  <c r="C25" i="22"/>
  <c r="D25" i="22" s="1"/>
  <c r="E25" i="22" s="1"/>
  <c r="F25" i="22" s="1"/>
  <c r="G25" i="22" s="1"/>
  <c r="H25" i="22" s="1"/>
  <c r="I25" i="22" s="1"/>
  <c r="J25" i="22" s="1"/>
  <c r="K25" i="22" s="1"/>
  <c r="L25" i="22" s="1"/>
  <c r="M25" i="22" s="1"/>
  <c r="N25" i="22" s="1"/>
  <c r="O25" i="22" s="1"/>
  <c r="B25" i="22"/>
  <c r="A25" i="22"/>
  <c r="P24" i="22"/>
  <c r="C24" i="22"/>
  <c r="D24" i="22" s="1"/>
  <c r="E24" i="22" s="1"/>
  <c r="F24" i="22" s="1"/>
  <c r="G24" i="22" s="1"/>
  <c r="H24" i="22" s="1"/>
  <c r="I24" i="22" s="1"/>
  <c r="J24" i="22" s="1"/>
  <c r="K24" i="22" s="1"/>
  <c r="L24" i="22" s="1"/>
  <c r="M24" i="22" s="1"/>
  <c r="N24" i="22" s="1"/>
  <c r="O24" i="22" s="1"/>
  <c r="B24" i="22"/>
  <c r="A24" i="22"/>
  <c r="P23" i="22"/>
  <c r="C23" i="22"/>
  <c r="B23" i="22"/>
  <c r="A23" i="22"/>
  <c r="L21" i="25"/>
  <c r="K21" i="25"/>
  <c r="H21" i="25"/>
  <c r="D21" i="25"/>
  <c r="C21" i="25"/>
  <c r="P22" i="22"/>
  <c r="B21" i="25" s="1"/>
  <c r="B22" i="22"/>
  <c r="L20" i="25"/>
  <c r="H20" i="25"/>
  <c r="G20" i="25"/>
  <c r="D20" i="25"/>
  <c r="P21" i="22"/>
  <c r="B21" i="22"/>
  <c r="L19" i="25"/>
  <c r="K19" i="25"/>
  <c r="H19" i="25"/>
  <c r="D19" i="25"/>
  <c r="C19" i="25"/>
  <c r="P20" i="22"/>
  <c r="B20" i="22"/>
  <c r="A20" i="22"/>
  <c r="L18" i="25"/>
  <c r="H18" i="25"/>
  <c r="G18" i="25"/>
  <c r="D18" i="25"/>
  <c r="P19" i="22"/>
  <c r="B18" i="25" s="1"/>
  <c r="B19" i="22"/>
  <c r="A19" i="22"/>
  <c r="L17" i="25"/>
  <c r="K17" i="25"/>
  <c r="H17" i="25"/>
  <c r="D17" i="25"/>
  <c r="C17" i="25"/>
  <c r="P18" i="22"/>
  <c r="B17" i="25" s="1"/>
  <c r="B18" i="22"/>
  <c r="A18" i="22"/>
  <c r="L16" i="25"/>
  <c r="H16" i="25"/>
  <c r="G16" i="25"/>
  <c r="D16" i="25"/>
  <c r="P17" i="22"/>
  <c r="B16" i="25" s="1"/>
  <c r="B17" i="22"/>
  <c r="A17" i="22"/>
  <c r="L15" i="25"/>
  <c r="K15" i="25"/>
  <c r="H15" i="25"/>
  <c r="D15" i="25"/>
  <c r="C15" i="25"/>
  <c r="P16" i="22"/>
  <c r="B16" i="22"/>
  <c r="A16" i="22"/>
  <c r="L14" i="25"/>
  <c r="H14" i="25"/>
  <c r="G14" i="25"/>
  <c r="D14" i="25"/>
  <c r="P15" i="22"/>
  <c r="B14" i="25" s="1"/>
  <c r="B15" i="22"/>
  <c r="A15" i="22"/>
  <c r="L13" i="25"/>
  <c r="K13" i="25"/>
  <c r="H13" i="25"/>
  <c r="D13" i="25"/>
  <c r="C13" i="25"/>
  <c r="P14" i="22"/>
  <c r="B13" i="25" s="1"/>
  <c r="B14" i="22"/>
  <c r="C14" i="22" s="1"/>
  <c r="D14" i="22" s="1"/>
  <c r="E14" i="22" s="1"/>
  <c r="F14" i="22" s="1"/>
  <c r="G14" i="22" s="1"/>
  <c r="H14" i="22" s="1"/>
  <c r="I14" i="22" s="1"/>
  <c r="J14" i="22" s="1"/>
  <c r="K14" i="22" s="1"/>
  <c r="L14" i="22" s="1"/>
  <c r="M14" i="22" s="1"/>
  <c r="N14" i="22" s="1"/>
  <c r="O14" i="22" s="1"/>
  <c r="A14" i="22"/>
  <c r="L12" i="25"/>
  <c r="H12" i="25"/>
  <c r="G12" i="25"/>
  <c r="D12" i="25"/>
  <c r="P13" i="22"/>
  <c r="B12" i="25" s="1"/>
  <c r="B13" i="22"/>
  <c r="A13" i="22"/>
  <c r="F11" i="25"/>
  <c r="P12" i="22"/>
  <c r="B11" i="25" s="1"/>
  <c r="B12" i="22"/>
  <c r="A12" i="22"/>
  <c r="M10" i="25"/>
  <c r="E10" i="25"/>
  <c r="P11" i="22"/>
  <c r="B10" i="25" s="1"/>
  <c r="B11" i="22"/>
  <c r="A11" i="22"/>
  <c r="L9" i="25"/>
  <c r="H9" i="25"/>
  <c r="D9" i="25"/>
  <c r="P10" i="22"/>
  <c r="B9" i="25" s="1"/>
  <c r="B10" i="22"/>
  <c r="A10" i="22"/>
  <c r="L8" i="25"/>
  <c r="H8" i="25"/>
  <c r="G8" i="25"/>
  <c r="D8" i="25"/>
  <c r="P9" i="22"/>
  <c r="B8" i="25" s="1"/>
  <c r="B9" i="22"/>
  <c r="A9" i="22"/>
  <c r="F7" i="25"/>
  <c r="P8" i="22"/>
  <c r="B7" i="25" s="1"/>
  <c r="B8" i="22"/>
  <c r="A8" i="22"/>
  <c r="M6" i="25"/>
  <c r="E6" i="25"/>
  <c r="P7" i="22"/>
  <c r="B6" i="25" s="1"/>
  <c r="B7" i="22"/>
  <c r="A7" i="22"/>
  <c r="D5" i="25"/>
  <c r="P6" i="22"/>
  <c r="B5" i="25" s="1"/>
  <c r="B6" i="22"/>
  <c r="A6" i="22"/>
  <c r="L4" i="25"/>
  <c r="H4" i="25"/>
  <c r="D4" i="25"/>
  <c r="P5" i="22"/>
  <c r="B4" i="25" s="1"/>
  <c r="B5" i="22"/>
  <c r="A5" i="22"/>
  <c r="P4" i="22"/>
  <c r="B3" i="25" s="1"/>
  <c r="B4" i="22"/>
  <c r="A4" i="22"/>
  <c r="AA3" i="22"/>
  <c r="Z3" i="22"/>
  <c r="Y3" i="22"/>
  <c r="X3" i="22"/>
  <c r="W3" i="22"/>
  <c r="V3" i="22"/>
  <c r="U3" i="22"/>
  <c r="T3" i="22"/>
  <c r="S3" i="22"/>
  <c r="R3" i="22"/>
  <c r="Q3" i="22"/>
  <c r="B2" i="22"/>
  <c r="J21" i="25"/>
  <c r="G21" i="25"/>
  <c r="F21" i="25"/>
  <c r="E21" i="25"/>
  <c r="K20" i="25"/>
  <c r="J20" i="25"/>
  <c r="F20" i="25"/>
  <c r="C20" i="25"/>
  <c r="B20" i="25"/>
  <c r="J19" i="25"/>
  <c r="G19" i="25"/>
  <c r="F19" i="25"/>
  <c r="B19" i="25"/>
  <c r="K18" i="25"/>
  <c r="J18" i="25"/>
  <c r="I18" i="25"/>
  <c r="F18" i="25"/>
  <c r="C18" i="25"/>
  <c r="J17" i="25"/>
  <c r="G17" i="25"/>
  <c r="F17" i="25"/>
  <c r="K16" i="25"/>
  <c r="J16" i="25"/>
  <c r="F16" i="25"/>
  <c r="C16" i="25"/>
  <c r="M15" i="25"/>
  <c r="J15" i="25"/>
  <c r="G15" i="25"/>
  <c r="F15" i="25"/>
  <c r="B15" i="25"/>
  <c r="K14" i="25"/>
  <c r="J14" i="25"/>
  <c r="F14" i="25"/>
  <c r="C14" i="25"/>
  <c r="J13" i="25"/>
  <c r="G13" i="25"/>
  <c r="F13" i="25"/>
  <c r="E13" i="25"/>
  <c r="K12" i="25"/>
  <c r="J12" i="25"/>
  <c r="F12" i="25"/>
  <c r="C12" i="25"/>
  <c r="M11" i="25"/>
  <c r="K11" i="25"/>
  <c r="J11" i="25"/>
  <c r="I11" i="25"/>
  <c r="G11" i="25"/>
  <c r="E11" i="25"/>
  <c r="C11" i="25"/>
  <c r="J10" i="25"/>
  <c r="I10" i="25"/>
  <c r="F10" i="25"/>
  <c r="C10" i="25"/>
  <c r="M9" i="25"/>
  <c r="K9" i="25"/>
  <c r="J9" i="25"/>
  <c r="I9" i="25"/>
  <c r="G9" i="25"/>
  <c r="E9" i="25"/>
  <c r="C9" i="25"/>
  <c r="K8" i="25"/>
  <c r="J8" i="25"/>
  <c r="F8" i="25"/>
  <c r="C8" i="25"/>
  <c r="M7" i="25"/>
  <c r="K7" i="25"/>
  <c r="J7" i="25"/>
  <c r="I7" i="25"/>
  <c r="G7" i="25"/>
  <c r="E7" i="25"/>
  <c r="C7" i="25"/>
  <c r="J6" i="25"/>
  <c r="I6" i="25"/>
  <c r="F6" i="25"/>
  <c r="C6" i="25"/>
  <c r="G5" i="25"/>
  <c r="E5" i="25"/>
  <c r="C5" i="25"/>
  <c r="K4" i="25"/>
  <c r="J4" i="25"/>
  <c r="F4" i="25"/>
  <c r="C4" i="25"/>
  <c r="M3" i="25"/>
  <c r="K3" i="25"/>
  <c r="J3" i="25"/>
  <c r="I3" i="25"/>
  <c r="G3" i="25"/>
  <c r="E3" i="25"/>
  <c r="C3" i="25"/>
  <c r="M2" i="25"/>
  <c r="L2" i="25"/>
  <c r="K2" i="25"/>
  <c r="J2" i="25"/>
  <c r="I2" i="25"/>
  <c r="H2" i="25"/>
  <c r="G2" i="25"/>
  <c r="F2" i="25"/>
  <c r="E2" i="25"/>
  <c r="D2" i="25"/>
  <c r="C2" i="25"/>
  <c r="P33" i="21"/>
  <c r="C33" i="21"/>
  <c r="D33" i="21" s="1"/>
  <c r="E33" i="21" s="1"/>
  <c r="F33" i="21" s="1"/>
  <c r="G33" i="21" s="1"/>
  <c r="H33" i="21" s="1"/>
  <c r="I33" i="21" s="1"/>
  <c r="J33" i="21" s="1"/>
  <c r="K33" i="21" s="1"/>
  <c r="L33" i="21" s="1"/>
  <c r="M33" i="21" s="1"/>
  <c r="N33" i="21" s="1"/>
  <c r="O33" i="21" s="1"/>
  <c r="B33" i="21"/>
  <c r="A33" i="21"/>
  <c r="P32" i="21"/>
  <c r="C32" i="21"/>
  <c r="D32" i="21" s="1"/>
  <c r="E32" i="21" s="1"/>
  <c r="F32" i="21" s="1"/>
  <c r="G32" i="21" s="1"/>
  <c r="H32" i="21" s="1"/>
  <c r="I32" i="21" s="1"/>
  <c r="J32" i="21" s="1"/>
  <c r="K32" i="21" s="1"/>
  <c r="L32" i="21" s="1"/>
  <c r="M32" i="21" s="1"/>
  <c r="N32" i="21" s="1"/>
  <c r="O32" i="21" s="1"/>
  <c r="B32" i="21"/>
  <c r="A32" i="21"/>
  <c r="P31" i="21"/>
  <c r="C31" i="21"/>
  <c r="D31" i="21" s="1"/>
  <c r="E31" i="21" s="1"/>
  <c r="F31" i="21" s="1"/>
  <c r="G31" i="21" s="1"/>
  <c r="H31" i="21" s="1"/>
  <c r="I31" i="21" s="1"/>
  <c r="J31" i="21" s="1"/>
  <c r="K31" i="21" s="1"/>
  <c r="L31" i="21" s="1"/>
  <c r="M31" i="21" s="1"/>
  <c r="N31" i="21" s="1"/>
  <c r="O31" i="21" s="1"/>
  <c r="B31" i="21"/>
  <c r="A31" i="21"/>
  <c r="P30" i="21"/>
  <c r="C30" i="21"/>
  <c r="D30" i="21" s="1"/>
  <c r="E30" i="21" s="1"/>
  <c r="F30" i="21" s="1"/>
  <c r="G30" i="21" s="1"/>
  <c r="H30" i="21" s="1"/>
  <c r="I30" i="21" s="1"/>
  <c r="J30" i="21" s="1"/>
  <c r="K30" i="21" s="1"/>
  <c r="L30" i="21" s="1"/>
  <c r="M30" i="21" s="1"/>
  <c r="N30" i="21" s="1"/>
  <c r="O30" i="21" s="1"/>
  <c r="B30" i="21"/>
  <c r="A30" i="21"/>
  <c r="P29" i="21"/>
  <c r="C29" i="21"/>
  <c r="D29" i="21" s="1"/>
  <c r="E29" i="21" s="1"/>
  <c r="F29" i="21" s="1"/>
  <c r="G29" i="21" s="1"/>
  <c r="H29" i="21" s="1"/>
  <c r="I29" i="21" s="1"/>
  <c r="J29" i="21" s="1"/>
  <c r="K29" i="21" s="1"/>
  <c r="L29" i="21" s="1"/>
  <c r="M29" i="21" s="1"/>
  <c r="N29" i="21" s="1"/>
  <c r="O29" i="21" s="1"/>
  <c r="B29" i="21"/>
  <c r="A29" i="21"/>
  <c r="P28" i="21"/>
  <c r="C28" i="21"/>
  <c r="D28" i="21" s="1"/>
  <c r="E28" i="21" s="1"/>
  <c r="F28" i="21" s="1"/>
  <c r="G28" i="21" s="1"/>
  <c r="H28" i="21" s="1"/>
  <c r="I28" i="21" s="1"/>
  <c r="J28" i="21" s="1"/>
  <c r="K28" i="21" s="1"/>
  <c r="L28" i="21" s="1"/>
  <c r="M28" i="21" s="1"/>
  <c r="N28" i="21" s="1"/>
  <c r="O28" i="21" s="1"/>
  <c r="B28" i="21"/>
  <c r="A28" i="21"/>
  <c r="P27" i="21"/>
  <c r="C27" i="21"/>
  <c r="D27" i="21" s="1"/>
  <c r="E27" i="21" s="1"/>
  <c r="F27" i="21" s="1"/>
  <c r="G27" i="21" s="1"/>
  <c r="H27" i="21" s="1"/>
  <c r="I27" i="21" s="1"/>
  <c r="J27" i="21" s="1"/>
  <c r="K27" i="21" s="1"/>
  <c r="L27" i="21" s="1"/>
  <c r="M27" i="21" s="1"/>
  <c r="N27" i="21" s="1"/>
  <c r="O27" i="21" s="1"/>
  <c r="B27" i="21"/>
  <c r="A27" i="21"/>
  <c r="P26" i="21"/>
  <c r="C26" i="21"/>
  <c r="D26" i="21" s="1"/>
  <c r="E26" i="21" s="1"/>
  <c r="F26" i="21" s="1"/>
  <c r="G26" i="21" s="1"/>
  <c r="H26" i="21" s="1"/>
  <c r="I26" i="21" s="1"/>
  <c r="J26" i="21" s="1"/>
  <c r="K26" i="21" s="1"/>
  <c r="L26" i="21" s="1"/>
  <c r="M26" i="21" s="1"/>
  <c r="N26" i="21" s="1"/>
  <c r="O26" i="21" s="1"/>
  <c r="B26" i="21"/>
  <c r="A26" i="21"/>
  <c r="P25" i="21"/>
  <c r="C25" i="21"/>
  <c r="D25" i="21" s="1"/>
  <c r="E25" i="21" s="1"/>
  <c r="F25" i="21" s="1"/>
  <c r="G25" i="21" s="1"/>
  <c r="H25" i="21" s="1"/>
  <c r="I25" i="21" s="1"/>
  <c r="J25" i="21" s="1"/>
  <c r="K25" i="21" s="1"/>
  <c r="L25" i="21" s="1"/>
  <c r="M25" i="21" s="1"/>
  <c r="N25" i="21" s="1"/>
  <c r="O25" i="21" s="1"/>
  <c r="B25" i="21"/>
  <c r="A25" i="21"/>
  <c r="P24" i="21"/>
  <c r="C24" i="21"/>
  <c r="D24" i="21" s="1"/>
  <c r="E24" i="21" s="1"/>
  <c r="F24" i="21" s="1"/>
  <c r="G24" i="21" s="1"/>
  <c r="H24" i="21" s="1"/>
  <c r="I24" i="21" s="1"/>
  <c r="J24" i="21" s="1"/>
  <c r="K24" i="21" s="1"/>
  <c r="L24" i="21" s="1"/>
  <c r="M24" i="21" s="1"/>
  <c r="N24" i="21" s="1"/>
  <c r="O24" i="21" s="1"/>
  <c r="B24" i="21"/>
  <c r="A24" i="21"/>
  <c r="P23" i="21"/>
  <c r="C23" i="21"/>
  <c r="B23" i="21"/>
  <c r="A23" i="21"/>
  <c r="P22" i="21"/>
  <c r="B22" i="21"/>
  <c r="P21" i="21"/>
  <c r="B21" i="21"/>
  <c r="A21" i="21" s="1"/>
  <c r="P20" i="21"/>
  <c r="B20" i="21"/>
  <c r="A20" i="21"/>
  <c r="P19" i="21"/>
  <c r="B19" i="21"/>
  <c r="A19" i="21"/>
  <c r="P18" i="21"/>
  <c r="B18" i="21"/>
  <c r="A18" i="21"/>
  <c r="P17" i="21"/>
  <c r="B17" i="21"/>
  <c r="A17" i="21"/>
  <c r="P16" i="21"/>
  <c r="B16" i="21"/>
  <c r="A16" i="21"/>
  <c r="P15" i="21"/>
  <c r="B15" i="21"/>
  <c r="A15" i="21"/>
  <c r="P14" i="21"/>
  <c r="B14" i="21"/>
  <c r="C14" i="21" s="1"/>
  <c r="A14" i="21"/>
  <c r="P13" i="21"/>
  <c r="B13" i="21"/>
  <c r="A13" i="21"/>
  <c r="P12" i="21"/>
  <c r="B12" i="21"/>
  <c r="A12" i="21"/>
  <c r="P11" i="21"/>
  <c r="B11" i="21"/>
  <c r="A11" i="21"/>
  <c r="P10" i="21"/>
  <c r="B10" i="21"/>
  <c r="A10" i="21"/>
  <c r="P9" i="21"/>
  <c r="B9" i="21"/>
  <c r="A9" i="21"/>
  <c r="P8" i="21"/>
  <c r="B8" i="21"/>
  <c r="A8" i="21"/>
  <c r="P7" i="21"/>
  <c r="B7" i="21"/>
  <c r="A7" i="21"/>
  <c r="P6" i="21"/>
  <c r="B6" i="21"/>
  <c r="A6" i="21"/>
  <c r="T34" i="21"/>
  <c r="P5" i="21"/>
  <c r="B5" i="21"/>
  <c r="A5" i="21"/>
  <c r="S34" i="21"/>
  <c r="P4" i="21"/>
  <c r="B4" i="21"/>
  <c r="A4" i="21"/>
  <c r="AA3" i="21"/>
  <c r="Z3" i="21"/>
  <c r="Y3" i="21"/>
  <c r="X3" i="21"/>
  <c r="W3" i="21"/>
  <c r="V3" i="21"/>
  <c r="U3" i="21"/>
  <c r="T3" i="21"/>
  <c r="S3" i="21"/>
  <c r="R3" i="21"/>
  <c r="Q3" i="21"/>
  <c r="B2" i="21"/>
  <c r="P33" i="20"/>
  <c r="C33" i="20"/>
  <c r="B33" i="20"/>
  <c r="A33" i="20"/>
  <c r="P32" i="20"/>
  <c r="C32" i="20"/>
  <c r="B32" i="20"/>
  <c r="A32" i="20"/>
  <c r="P31" i="20"/>
  <c r="C31" i="20"/>
  <c r="B31" i="20"/>
  <c r="A31" i="20"/>
  <c r="P30" i="20"/>
  <c r="C30" i="20"/>
  <c r="B30" i="20"/>
  <c r="A30" i="20"/>
  <c r="P29" i="20"/>
  <c r="C29" i="20"/>
  <c r="B29" i="20"/>
  <c r="A29" i="20"/>
  <c r="P28" i="20"/>
  <c r="C28" i="20"/>
  <c r="B28" i="20"/>
  <c r="A28" i="20"/>
  <c r="P27" i="20"/>
  <c r="C27" i="20"/>
  <c r="B27" i="20"/>
  <c r="A27" i="20"/>
  <c r="P26" i="20"/>
  <c r="C26" i="20"/>
  <c r="B26" i="20"/>
  <c r="A26" i="20"/>
  <c r="P25" i="20"/>
  <c r="C25" i="20"/>
  <c r="B25" i="20"/>
  <c r="A25" i="20"/>
  <c r="P24" i="20"/>
  <c r="C24" i="20"/>
  <c r="B24" i="20"/>
  <c r="A24" i="20"/>
  <c r="P23" i="20"/>
  <c r="C23" i="20"/>
  <c r="B23" i="20"/>
  <c r="A23" i="20"/>
  <c r="P22" i="20"/>
  <c r="B22" i="20"/>
  <c r="A22" i="20"/>
  <c r="P21" i="20"/>
  <c r="B21" i="20"/>
  <c r="A21" i="20"/>
  <c r="P20" i="20"/>
  <c r="B20" i="20"/>
  <c r="A20" i="20"/>
  <c r="P19" i="20"/>
  <c r="B19" i="20"/>
  <c r="A19" i="20"/>
  <c r="P18" i="20"/>
  <c r="B18" i="20"/>
  <c r="A18" i="20"/>
  <c r="P17" i="20"/>
  <c r="B17" i="20"/>
  <c r="A17" i="20"/>
  <c r="P16" i="20"/>
  <c r="B16" i="20"/>
  <c r="A16" i="20"/>
  <c r="P15" i="20"/>
  <c r="B15" i="20"/>
  <c r="A15" i="20"/>
  <c r="P14" i="20"/>
  <c r="B14" i="20"/>
  <c r="A14" i="20"/>
  <c r="P13" i="20"/>
  <c r="B13" i="20"/>
  <c r="A13" i="20"/>
  <c r="P12" i="20"/>
  <c r="B12" i="20"/>
  <c r="A12" i="20"/>
  <c r="P11" i="20"/>
  <c r="B11" i="20"/>
  <c r="A11" i="20"/>
  <c r="P10" i="20"/>
  <c r="B10" i="20"/>
  <c r="A10" i="20"/>
  <c r="P9" i="20"/>
  <c r="B9" i="20"/>
  <c r="A9" i="20"/>
  <c r="P8" i="20"/>
  <c r="B8" i="20"/>
  <c r="A8" i="20"/>
  <c r="P7" i="20"/>
  <c r="B7" i="20"/>
  <c r="A7" i="20"/>
  <c r="P6" i="20"/>
  <c r="B6" i="20"/>
  <c r="A6" i="20"/>
  <c r="P5" i="20"/>
  <c r="B5" i="20"/>
  <c r="A5" i="20"/>
  <c r="P4" i="20"/>
  <c r="B4" i="20"/>
  <c r="A4" i="20"/>
  <c r="Y3" i="20"/>
  <c r="X3" i="20"/>
  <c r="W3" i="20"/>
  <c r="V3" i="20"/>
  <c r="U3" i="20"/>
  <c r="T3" i="20"/>
  <c r="S3" i="20"/>
  <c r="R3" i="20"/>
  <c r="Q3" i="20"/>
  <c r="B2" i="20"/>
  <c r="A2" i="20"/>
  <c r="P33" i="19"/>
  <c r="C33" i="19"/>
  <c r="B33" i="19"/>
  <c r="A33" i="19"/>
  <c r="P32" i="19"/>
  <c r="C32" i="19"/>
  <c r="B32" i="19"/>
  <c r="A32" i="19"/>
  <c r="P31" i="19"/>
  <c r="C31" i="19"/>
  <c r="B31" i="19"/>
  <c r="A31" i="19"/>
  <c r="P30" i="19"/>
  <c r="C30" i="19"/>
  <c r="B30" i="19"/>
  <c r="A30" i="19"/>
  <c r="P29" i="19"/>
  <c r="C29" i="19"/>
  <c r="B29" i="19"/>
  <c r="A29" i="19"/>
  <c r="P28" i="19"/>
  <c r="C28" i="19"/>
  <c r="B28" i="19"/>
  <c r="A28" i="19"/>
  <c r="P27" i="19"/>
  <c r="C27" i="19"/>
  <c r="B27" i="19"/>
  <c r="A27" i="19"/>
  <c r="P26" i="19"/>
  <c r="C26" i="19"/>
  <c r="B26" i="19"/>
  <c r="A26" i="19"/>
  <c r="P25" i="19"/>
  <c r="C25" i="19"/>
  <c r="B25" i="19"/>
  <c r="A25" i="19"/>
  <c r="P24" i="19"/>
  <c r="C24" i="19"/>
  <c r="B24" i="19"/>
  <c r="A24" i="19"/>
  <c r="P23" i="19"/>
  <c r="C23" i="19"/>
  <c r="B23" i="19"/>
  <c r="A23" i="19"/>
  <c r="P22" i="19"/>
  <c r="B22" i="19"/>
  <c r="A22" i="19"/>
  <c r="P21" i="19"/>
  <c r="B21" i="19"/>
  <c r="A21" i="19"/>
  <c r="P20" i="19"/>
  <c r="B20" i="19"/>
  <c r="A20" i="19"/>
  <c r="P19" i="19"/>
  <c r="B19" i="19"/>
  <c r="A19" i="19"/>
  <c r="P18" i="19"/>
  <c r="B18" i="19"/>
  <c r="A18" i="19"/>
  <c r="P17" i="19"/>
  <c r="B17" i="19"/>
  <c r="A17" i="19"/>
  <c r="P16" i="19"/>
  <c r="B16" i="19"/>
  <c r="A16" i="19"/>
  <c r="P15" i="19"/>
  <c r="B15" i="19"/>
  <c r="A15" i="19"/>
  <c r="P14" i="19"/>
  <c r="B14" i="19"/>
  <c r="A14" i="19"/>
  <c r="P13" i="19"/>
  <c r="B13" i="19"/>
  <c r="A13" i="19"/>
  <c r="P12" i="19"/>
  <c r="B12" i="19"/>
  <c r="A12" i="19"/>
  <c r="P11" i="19"/>
  <c r="B11" i="19"/>
  <c r="A11" i="19"/>
  <c r="P10" i="19"/>
  <c r="B10" i="19"/>
  <c r="A10" i="19"/>
  <c r="P9" i="19"/>
  <c r="B9" i="19"/>
  <c r="A9" i="19"/>
  <c r="P8" i="19"/>
  <c r="B8" i="19"/>
  <c r="A8" i="19"/>
  <c r="P7" i="19"/>
  <c r="B7" i="19"/>
  <c r="A7" i="19"/>
  <c r="P6" i="19"/>
  <c r="B6" i="19"/>
  <c r="A6" i="19"/>
  <c r="P5" i="19"/>
  <c r="B5" i="19"/>
  <c r="A5" i="19"/>
  <c r="P4" i="19"/>
  <c r="B4" i="19"/>
  <c r="A4" i="19"/>
  <c r="Y3" i="19"/>
  <c r="X3" i="19"/>
  <c r="W3" i="19"/>
  <c r="V3" i="19"/>
  <c r="U3" i="19"/>
  <c r="T3" i="19"/>
  <c r="S3" i="19"/>
  <c r="R3" i="19"/>
  <c r="Q3" i="19"/>
  <c r="B2" i="19"/>
  <c r="A2" i="19"/>
  <c r="B33" i="18"/>
  <c r="C33" i="18" s="1"/>
  <c r="H33" i="18" s="1"/>
  <c r="C32" i="18"/>
  <c r="K32" i="18" s="1"/>
  <c r="B32" i="18"/>
  <c r="P31" i="18"/>
  <c r="C31" i="18"/>
  <c r="F31" i="18" s="1"/>
  <c r="B31" i="18"/>
  <c r="A31" i="18"/>
  <c r="P30" i="18"/>
  <c r="B30" i="18"/>
  <c r="P29" i="18"/>
  <c r="B29" i="18"/>
  <c r="P28" i="18"/>
  <c r="B28" i="18"/>
  <c r="P27" i="18"/>
  <c r="B27" i="18"/>
  <c r="P26" i="18"/>
  <c r="B26" i="18"/>
  <c r="P25" i="18"/>
  <c r="O25" i="18"/>
  <c r="C25" i="18"/>
  <c r="B25" i="18"/>
  <c r="A25" i="18"/>
  <c r="P24" i="18"/>
  <c r="O24" i="18"/>
  <c r="B24" i="18"/>
  <c r="A24" i="18" s="1"/>
  <c r="P23" i="18"/>
  <c r="O23" i="18"/>
  <c r="C23" i="18"/>
  <c r="B23" i="18"/>
  <c r="A23" i="18"/>
  <c r="P22" i="18"/>
  <c r="O22" i="18"/>
  <c r="B22" i="18"/>
  <c r="P21" i="18"/>
  <c r="O21" i="18"/>
  <c r="B21" i="18"/>
  <c r="P20" i="18"/>
  <c r="O20" i="18"/>
  <c r="B20" i="18"/>
  <c r="P19" i="18"/>
  <c r="O19" i="18"/>
  <c r="B19" i="18"/>
  <c r="P18" i="18"/>
  <c r="O18" i="18"/>
  <c r="B18" i="18"/>
  <c r="P17" i="18"/>
  <c r="O17" i="18"/>
  <c r="B17" i="18"/>
  <c r="P16" i="18"/>
  <c r="O16" i="18"/>
  <c r="B16" i="18"/>
  <c r="P15" i="18"/>
  <c r="O15" i="18"/>
  <c r="B15" i="18"/>
  <c r="P14" i="18"/>
  <c r="O14" i="18"/>
  <c r="B14" i="18"/>
  <c r="C14" i="18" s="1"/>
  <c r="P13" i="18"/>
  <c r="B13" i="18"/>
  <c r="P12" i="18"/>
  <c r="B12" i="18"/>
  <c r="P11" i="18"/>
  <c r="B11" i="18"/>
  <c r="P10" i="18"/>
  <c r="B10" i="18"/>
  <c r="P9" i="18"/>
  <c r="B9" i="18"/>
  <c r="P8" i="18"/>
  <c r="B8" i="18"/>
  <c r="P7" i="18"/>
  <c r="B7" i="18"/>
  <c r="P6" i="18"/>
  <c r="B6" i="18"/>
  <c r="P5" i="18"/>
  <c r="B5" i="18"/>
  <c r="A5" i="18" s="1"/>
  <c r="P4" i="18"/>
  <c r="B4" i="18"/>
  <c r="A4" i="18"/>
  <c r="Z3" i="18"/>
  <c r="Y3" i="18"/>
  <c r="X3" i="18"/>
  <c r="W3" i="18"/>
  <c r="V3" i="18"/>
  <c r="U3" i="18"/>
  <c r="T3" i="18"/>
  <c r="S3" i="18"/>
  <c r="R3" i="18"/>
  <c r="Q3" i="18"/>
  <c r="B2" i="18"/>
  <c r="D33" i="16"/>
  <c r="A33" i="16"/>
  <c r="D32" i="16"/>
  <c r="A32" i="16"/>
  <c r="D31" i="16"/>
  <c r="A31" i="16"/>
  <c r="D30" i="16"/>
  <c r="A30" i="16"/>
  <c r="D29" i="16"/>
  <c r="A29" i="16"/>
  <c r="D28" i="16"/>
  <c r="A28" i="16"/>
  <c r="D27" i="16"/>
  <c r="A27" i="16"/>
  <c r="D26" i="16"/>
  <c r="A26" i="16"/>
  <c r="D25" i="16"/>
  <c r="A25" i="16"/>
  <c r="D24" i="16"/>
  <c r="A24" i="16"/>
  <c r="D23" i="16"/>
  <c r="A23" i="16"/>
  <c r="D22" i="16"/>
  <c r="A22" i="16"/>
  <c r="D21" i="16"/>
  <c r="A21" i="16"/>
  <c r="P20" i="16"/>
  <c r="B20" i="16"/>
  <c r="A20" i="16"/>
  <c r="P19" i="16"/>
  <c r="B19" i="16"/>
  <c r="A19" i="16"/>
  <c r="P18" i="16"/>
  <c r="B18" i="16"/>
  <c r="A18" i="16"/>
  <c r="P17" i="16"/>
  <c r="B17" i="16"/>
  <c r="A17" i="16"/>
  <c r="P16" i="16"/>
  <c r="B16" i="16"/>
  <c r="A16" i="16"/>
  <c r="P15" i="16"/>
  <c r="B15" i="16"/>
  <c r="A15" i="16"/>
  <c r="P14" i="16"/>
  <c r="B14" i="16"/>
  <c r="C14" i="16" s="1"/>
  <c r="D14" i="16" s="1"/>
  <c r="E14" i="16" s="1"/>
  <c r="F14" i="16" s="1"/>
  <c r="G14" i="16" s="1"/>
  <c r="H14" i="16" s="1"/>
  <c r="I14" i="16" s="1"/>
  <c r="J14" i="16" s="1"/>
  <c r="K14" i="16" s="1"/>
  <c r="L14" i="16" s="1"/>
  <c r="M14" i="16" s="1"/>
  <c r="A14" i="16"/>
  <c r="P13" i="16"/>
  <c r="B13" i="16"/>
  <c r="A13" i="16"/>
  <c r="P12" i="16"/>
  <c r="B12" i="16"/>
  <c r="A12" i="16"/>
  <c r="P11" i="16"/>
  <c r="B11" i="16"/>
  <c r="A11" i="16"/>
  <c r="P10" i="16"/>
  <c r="B10" i="16"/>
  <c r="A10" i="16"/>
  <c r="P9" i="16"/>
  <c r="B9" i="16"/>
  <c r="A9" i="16"/>
  <c r="P8" i="16"/>
  <c r="B8" i="16"/>
  <c r="A8" i="16"/>
  <c r="P7" i="16"/>
  <c r="B7" i="16"/>
  <c r="A7" i="16"/>
  <c r="P6" i="16"/>
  <c r="B6" i="16"/>
  <c r="A6" i="16"/>
  <c r="P5" i="16"/>
  <c r="B5" i="16"/>
  <c r="A5" i="16"/>
  <c r="P4" i="16"/>
  <c r="B4" i="16"/>
  <c r="A4" i="16"/>
  <c r="Z3" i="16"/>
  <c r="Y3" i="16"/>
  <c r="X3" i="16"/>
  <c r="W3" i="16"/>
  <c r="V3" i="16"/>
  <c r="U3" i="16"/>
  <c r="T3" i="16"/>
  <c r="S3" i="16"/>
  <c r="R3" i="16"/>
  <c r="Q3" i="16"/>
  <c r="B2" i="16"/>
  <c r="A2" i="16"/>
  <c r="P33" i="26"/>
  <c r="C33" i="26"/>
  <c r="D33" i="26" s="1"/>
  <c r="E33" i="26" s="1"/>
  <c r="F33" i="26" s="1"/>
  <c r="G33" i="26" s="1"/>
  <c r="H33" i="26" s="1"/>
  <c r="I33" i="26" s="1"/>
  <c r="J33" i="26" s="1"/>
  <c r="K33" i="26" s="1"/>
  <c r="L33" i="26" s="1"/>
  <c r="M33" i="26" s="1"/>
  <c r="N33" i="26" s="1"/>
  <c r="O33" i="26" s="1"/>
  <c r="B33" i="26"/>
  <c r="A33" i="26"/>
  <c r="P32" i="26"/>
  <c r="C32" i="26"/>
  <c r="D32" i="26" s="1"/>
  <c r="E32" i="26" s="1"/>
  <c r="F32" i="26" s="1"/>
  <c r="G32" i="26" s="1"/>
  <c r="H32" i="26" s="1"/>
  <c r="I32" i="26" s="1"/>
  <c r="J32" i="26" s="1"/>
  <c r="K32" i="26" s="1"/>
  <c r="L32" i="26" s="1"/>
  <c r="M32" i="26" s="1"/>
  <c r="N32" i="26" s="1"/>
  <c r="O32" i="26" s="1"/>
  <c r="B32" i="26"/>
  <c r="A32" i="26"/>
  <c r="P31" i="26"/>
  <c r="C31" i="26"/>
  <c r="D31" i="26" s="1"/>
  <c r="E31" i="26" s="1"/>
  <c r="F31" i="26" s="1"/>
  <c r="G31" i="26" s="1"/>
  <c r="H31" i="26" s="1"/>
  <c r="I31" i="26" s="1"/>
  <c r="J31" i="26" s="1"/>
  <c r="K31" i="26" s="1"/>
  <c r="L31" i="26" s="1"/>
  <c r="M31" i="26" s="1"/>
  <c r="N31" i="26" s="1"/>
  <c r="O31" i="26" s="1"/>
  <c r="B31" i="26"/>
  <c r="A31" i="26"/>
  <c r="P30" i="26"/>
  <c r="C30" i="26"/>
  <c r="D30" i="26" s="1"/>
  <c r="E30" i="26" s="1"/>
  <c r="F30" i="26" s="1"/>
  <c r="G30" i="26" s="1"/>
  <c r="H30" i="26" s="1"/>
  <c r="I30" i="26" s="1"/>
  <c r="J30" i="26" s="1"/>
  <c r="K30" i="26" s="1"/>
  <c r="L30" i="26" s="1"/>
  <c r="M30" i="26" s="1"/>
  <c r="N30" i="26" s="1"/>
  <c r="O30" i="26" s="1"/>
  <c r="B30" i="26"/>
  <c r="A30" i="26"/>
  <c r="P29" i="26"/>
  <c r="C29" i="26"/>
  <c r="D29" i="26" s="1"/>
  <c r="E29" i="26" s="1"/>
  <c r="F29" i="26" s="1"/>
  <c r="G29" i="26" s="1"/>
  <c r="H29" i="26" s="1"/>
  <c r="I29" i="26" s="1"/>
  <c r="J29" i="26" s="1"/>
  <c r="K29" i="26" s="1"/>
  <c r="L29" i="26" s="1"/>
  <c r="M29" i="26" s="1"/>
  <c r="N29" i="26" s="1"/>
  <c r="O29" i="26" s="1"/>
  <c r="B29" i="26"/>
  <c r="A29" i="26"/>
  <c r="P28" i="26"/>
  <c r="C28" i="26"/>
  <c r="D28" i="26" s="1"/>
  <c r="E28" i="26" s="1"/>
  <c r="F28" i="26" s="1"/>
  <c r="G28" i="26" s="1"/>
  <c r="H28" i="26" s="1"/>
  <c r="I28" i="26" s="1"/>
  <c r="J28" i="26" s="1"/>
  <c r="K28" i="26" s="1"/>
  <c r="L28" i="26" s="1"/>
  <c r="M28" i="26" s="1"/>
  <c r="N28" i="26" s="1"/>
  <c r="O28" i="26" s="1"/>
  <c r="B28" i="26"/>
  <c r="A28" i="26"/>
  <c r="P27" i="26"/>
  <c r="C27" i="26"/>
  <c r="D27" i="26" s="1"/>
  <c r="E27" i="26" s="1"/>
  <c r="F27" i="26" s="1"/>
  <c r="G27" i="26" s="1"/>
  <c r="H27" i="26" s="1"/>
  <c r="I27" i="26" s="1"/>
  <c r="J27" i="26" s="1"/>
  <c r="K27" i="26" s="1"/>
  <c r="L27" i="26" s="1"/>
  <c r="M27" i="26" s="1"/>
  <c r="N27" i="26" s="1"/>
  <c r="O27" i="26" s="1"/>
  <c r="B27" i="26"/>
  <c r="A27" i="26"/>
  <c r="P26" i="26"/>
  <c r="C26" i="26"/>
  <c r="D26" i="26" s="1"/>
  <c r="E26" i="26" s="1"/>
  <c r="F26" i="26" s="1"/>
  <c r="G26" i="26" s="1"/>
  <c r="H26" i="26" s="1"/>
  <c r="I26" i="26" s="1"/>
  <c r="J26" i="26" s="1"/>
  <c r="K26" i="26" s="1"/>
  <c r="L26" i="26" s="1"/>
  <c r="M26" i="26" s="1"/>
  <c r="N26" i="26" s="1"/>
  <c r="O26" i="26" s="1"/>
  <c r="B26" i="26"/>
  <c r="A26" i="26"/>
  <c r="P25" i="26"/>
  <c r="C25" i="26"/>
  <c r="D25" i="26" s="1"/>
  <c r="E25" i="26" s="1"/>
  <c r="F25" i="26" s="1"/>
  <c r="G25" i="26" s="1"/>
  <c r="H25" i="26" s="1"/>
  <c r="I25" i="26" s="1"/>
  <c r="J25" i="26" s="1"/>
  <c r="K25" i="26" s="1"/>
  <c r="L25" i="26" s="1"/>
  <c r="M25" i="26" s="1"/>
  <c r="N25" i="26" s="1"/>
  <c r="O25" i="26" s="1"/>
  <c r="B25" i="26"/>
  <c r="A25" i="26"/>
  <c r="P24" i="26"/>
  <c r="C24" i="26"/>
  <c r="D24" i="26" s="1"/>
  <c r="E24" i="26" s="1"/>
  <c r="F24" i="26" s="1"/>
  <c r="G24" i="26" s="1"/>
  <c r="H24" i="26" s="1"/>
  <c r="I24" i="26" s="1"/>
  <c r="J24" i="26" s="1"/>
  <c r="K24" i="26" s="1"/>
  <c r="L24" i="26" s="1"/>
  <c r="M24" i="26" s="1"/>
  <c r="N24" i="26" s="1"/>
  <c r="O24" i="26" s="1"/>
  <c r="B24" i="26"/>
  <c r="A24" i="26"/>
  <c r="P23" i="26"/>
  <c r="C23" i="26"/>
  <c r="B23" i="26"/>
  <c r="A23" i="26"/>
  <c r="P22" i="26"/>
  <c r="B22" i="26"/>
  <c r="P21" i="26"/>
  <c r="B21" i="26"/>
  <c r="A21" i="26" s="1"/>
  <c r="P20" i="26"/>
  <c r="O20" i="26"/>
  <c r="B20" i="26"/>
  <c r="A20" i="26"/>
  <c r="P19" i="26"/>
  <c r="O19" i="26"/>
  <c r="B19" i="26"/>
  <c r="A19" i="26"/>
  <c r="P18" i="26"/>
  <c r="O18" i="26"/>
  <c r="B18" i="26"/>
  <c r="A18" i="26"/>
  <c r="P17" i="26"/>
  <c r="O17" i="26"/>
  <c r="B17" i="26"/>
  <c r="A17" i="26"/>
  <c r="P16" i="26"/>
  <c r="O16" i="26"/>
  <c r="B16" i="26"/>
  <c r="A16" i="26"/>
  <c r="P15" i="26"/>
  <c r="O15" i="26"/>
  <c r="B15" i="26"/>
  <c r="A15" i="26"/>
  <c r="P14" i="26"/>
  <c r="O14" i="26"/>
  <c r="B14" i="26"/>
  <c r="A14" i="26"/>
  <c r="P13" i="26"/>
  <c r="B13" i="26"/>
  <c r="A13" i="26"/>
  <c r="P12" i="26"/>
  <c r="B12" i="26"/>
  <c r="A12" i="26"/>
  <c r="P11" i="26"/>
  <c r="B11" i="26"/>
  <c r="A11" i="26"/>
  <c r="P10" i="26"/>
  <c r="B10" i="26"/>
  <c r="A10" i="26"/>
  <c r="P9" i="26"/>
  <c r="B9" i="26"/>
  <c r="A9" i="26"/>
  <c r="P8" i="26"/>
  <c r="B8" i="26"/>
  <c r="A8" i="26"/>
  <c r="P7" i="26"/>
  <c r="B7" i="26"/>
  <c r="A7" i="26"/>
  <c r="P6" i="26"/>
  <c r="B6" i="26"/>
  <c r="A6" i="26"/>
  <c r="P5" i="26"/>
  <c r="B5" i="26"/>
  <c r="A5" i="26"/>
  <c r="P4" i="26"/>
  <c r="B4" i="26"/>
  <c r="A4" i="26"/>
  <c r="B2" i="26"/>
  <c r="P33" i="11"/>
  <c r="C33" i="11"/>
  <c r="B33" i="11"/>
  <c r="A33" i="11"/>
  <c r="P32" i="11"/>
  <c r="C32" i="11"/>
  <c r="D32" i="11" s="1"/>
  <c r="E32" i="11" s="1"/>
  <c r="F32" i="11" s="1"/>
  <c r="G32" i="11" s="1"/>
  <c r="H32" i="11" s="1"/>
  <c r="I32" i="11" s="1"/>
  <c r="J32" i="11" s="1"/>
  <c r="K32" i="11" s="1"/>
  <c r="L32" i="11" s="1"/>
  <c r="M32" i="11" s="1"/>
  <c r="N32" i="11" s="1"/>
  <c r="B32" i="11"/>
  <c r="A32" i="11"/>
  <c r="P31" i="11"/>
  <c r="C31" i="11"/>
  <c r="D31" i="11" s="1"/>
  <c r="E31" i="11" s="1"/>
  <c r="F31" i="11" s="1"/>
  <c r="G31" i="11" s="1"/>
  <c r="H31" i="11" s="1"/>
  <c r="I31" i="11" s="1"/>
  <c r="J31" i="11" s="1"/>
  <c r="K31" i="11" s="1"/>
  <c r="L31" i="11" s="1"/>
  <c r="M31" i="11" s="1"/>
  <c r="N31" i="11" s="1"/>
  <c r="B31" i="11"/>
  <c r="A31" i="11"/>
  <c r="P30" i="11"/>
  <c r="C30" i="11"/>
  <c r="D30" i="11" s="1"/>
  <c r="E30" i="11" s="1"/>
  <c r="F30" i="11" s="1"/>
  <c r="G30" i="11" s="1"/>
  <c r="H30" i="11" s="1"/>
  <c r="I30" i="11" s="1"/>
  <c r="J30" i="11" s="1"/>
  <c r="K30" i="11" s="1"/>
  <c r="L30" i="11" s="1"/>
  <c r="M30" i="11" s="1"/>
  <c r="N30" i="11" s="1"/>
  <c r="B30" i="11"/>
  <c r="A30" i="11"/>
  <c r="P29" i="11"/>
  <c r="C29" i="11"/>
  <c r="D29" i="11" s="1"/>
  <c r="E29" i="11" s="1"/>
  <c r="F29" i="11" s="1"/>
  <c r="G29" i="11" s="1"/>
  <c r="H29" i="11" s="1"/>
  <c r="I29" i="11" s="1"/>
  <c r="J29" i="11" s="1"/>
  <c r="K29" i="11" s="1"/>
  <c r="L29" i="11" s="1"/>
  <c r="M29" i="11" s="1"/>
  <c r="N29" i="11" s="1"/>
  <c r="B29" i="11"/>
  <c r="A29" i="11"/>
  <c r="P28" i="11"/>
  <c r="C28" i="11"/>
  <c r="D28" i="11" s="1"/>
  <c r="E28" i="11" s="1"/>
  <c r="F28" i="11" s="1"/>
  <c r="G28" i="11" s="1"/>
  <c r="H28" i="11" s="1"/>
  <c r="I28" i="11" s="1"/>
  <c r="J28" i="11" s="1"/>
  <c r="K28" i="11" s="1"/>
  <c r="L28" i="11" s="1"/>
  <c r="M28" i="11" s="1"/>
  <c r="N28" i="11" s="1"/>
  <c r="B28" i="11"/>
  <c r="A28" i="11"/>
  <c r="P27" i="11"/>
  <c r="C27" i="11"/>
  <c r="D27" i="11" s="1"/>
  <c r="E27" i="11" s="1"/>
  <c r="F27" i="11" s="1"/>
  <c r="G27" i="11" s="1"/>
  <c r="H27" i="11" s="1"/>
  <c r="I27" i="11" s="1"/>
  <c r="J27" i="11" s="1"/>
  <c r="K27" i="11" s="1"/>
  <c r="L27" i="11" s="1"/>
  <c r="M27" i="11" s="1"/>
  <c r="N27" i="11" s="1"/>
  <c r="B27" i="11"/>
  <c r="A27" i="11"/>
  <c r="P26" i="11"/>
  <c r="C26" i="11"/>
  <c r="D26" i="11" s="1"/>
  <c r="E26" i="11" s="1"/>
  <c r="F26" i="11" s="1"/>
  <c r="G26" i="11" s="1"/>
  <c r="H26" i="11" s="1"/>
  <c r="I26" i="11" s="1"/>
  <c r="J26" i="11" s="1"/>
  <c r="K26" i="11" s="1"/>
  <c r="L26" i="11" s="1"/>
  <c r="M26" i="11" s="1"/>
  <c r="N26" i="11" s="1"/>
  <c r="B26" i="11"/>
  <c r="A26" i="11"/>
  <c r="Z25" i="11"/>
  <c r="Y25" i="11"/>
  <c r="X25" i="11"/>
  <c r="W25" i="11"/>
  <c r="V25" i="11"/>
  <c r="U25" i="11"/>
  <c r="T25" i="11"/>
  <c r="S25" i="11"/>
  <c r="R25" i="11"/>
  <c r="Q25" i="11"/>
  <c r="P25" i="11"/>
  <c r="C25" i="11"/>
  <c r="B25" i="11"/>
  <c r="A25" i="11"/>
  <c r="Z24" i="11"/>
  <c r="Y24" i="11"/>
  <c r="X24" i="11"/>
  <c r="W24" i="11"/>
  <c r="V24" i="11"/>
  <c r="U24" i="11"/>
  <c r="T24" i="11"/>
  <c r="S24" i="11"/>
  <c r="R24" i="11"/>
  <c r="Q24" i="11"/>
  <c r="P24" i="11"/>
  <c r="C24" i="11"/>
  <c r="B24" i="11"/>
  <c r="A24" i="11"/>
  <c r="Z23" i="11"/>
  <c r="Y23" i="11"/>
  <c r="X23" i="11"/>
  <c r="W23" i="11"/>
  <c r="V23" i="11"/>
  <c r="U23" i="11"/>
  <c r="T23" i="11"/>
  <c r="S23" i="11"/>
  <c r="R23" i="11"/>
  <c r="Q23" i="11"/>
  <c r="P23" i="11"/>
  <c r="C23" i="11"/>
  <c r="B23" i="11"/>
  <c r="A23" i="11"/>
  <c r="P22" i="11"/>
  <c r="B22" i="11"/>
  <c r="P21" i="11"/>
  <c r="B21" i="11"/>
  <c r="A21" i="11" s="1"/>
  <c r="P20" i="11"/>
  <c r="B20" i="11"/>
  <c r="A20" i="11"/>
  <c r="P19" i="11"/>
  <c r="B19" i="11"/>
  <c r="A19" i="11"/>
  <c r="P18" i="11"/>
  <c r="B18" i="11"/>
  <c r="A18" i="11"/>
  <c r="P17" i="11"/>
  <c r="B17" i="11"/>
  <c r="A17" i="11"/>
  <c r="P16" i="11"/>
  <c r="B16" i="11"/>
  <c r="A16" i="11"/>
  <c r="P15" i="11"/>
  <c r="B15" i="11"/>
  <c r="A15" i="11"/>
  <c r="P14" i="11"/>
  <c r="B14" i="11"/>
  <c r="C14" i="11" s="1"/>
  <c r="A14" i="11"/>
  <c r="P13" i="11"/>
  <c r="B13" i="11"/>
  <c r="A13" i="11"/>
  <c r="P12" i="11"/>
  <c r="B12" i="11"/>
  <c r="A12" i="11"/>
  <c r="P11" i="11"/>
  <c r="B11" i="11"/>
  <c r="A11" i="11"/>
  <c r="P10" i="11"/>
  <c r="B10" i="11"/>
  <c r="A10" i="11"/>
  <c r="P9" i="11"/>
  <c r="B9" i="11"/>
  <c r="A9" i="11"/>
  <c r="P8" i="11"/>
  <c r="B8" i="11"/>
  <c r="A8" i="11"/>
  <c r="P7" i="11"/>
  <c r="B7" i="11"/>
  <c r="A7" i="11"/>
  <c r="P6" i="11"/>
  <c r="B6" i="11"/>
  <c r="A6" i="11"/>
  <c r="P5" i="11"/>
  <c r="B5" i="11"/>
  <c r="A5" i="11"/>
  <c r="P4" i="11"/>
  <c r="B4" i="11"/>
  <c r="A4" i="11"/>
  <c r="Z3" i="11"/>
  <c r="Y3" i="11"/>
  <c r="X3" i="11"/>
  <c r="W3" i="11"/>
  <c r="V3" i="11"/>
  <c r="U3" i="11"/>
  <c r="T3" i="11"/>
  <c r="S3" i="11"/>
  <c r="R3" i="11"/>
  <c r="Q3" i="11"/>
  <c r="B2" i="11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A31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30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A29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A28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P4" i="17"/>
  <c r="B4" i="17"/>
  <c r="A4" i="17"/>
  <c r="AA3" i="17"/>
  <c r="Z3" i="17"/>
  <c r="Y3" i="17"/>
  <c r="X3" i="17"/>
  <c r="W3" i="17"/>
  <c r="V3" i="17"/>
  <c r="U3" i="17"/>
  <c r="T3" i="17"/>
  <c r="S3" i="17"/>
  <c r="R3" i="17"/>
  <c r="Q3" i="17"/>
  <c r="B2" i="17"/>
  <c r="A2" i="17"/>
  <c r="C33" i="29"/>
  <c r="A33" i="29"/>
  <c r="A32" i="29"/>
  <c r="A31" i="29"/>
  <c r="A30" i="29"/>
  <c r="A29" i="29"/>
  <c r="P22" i="29"/>
  <c r="B22" i="29"/>
  <c r="A22" i="29"/>
  <c r="P21" i="29"/>
  <c r="B21" i="29"/>
  <c r="A21" i="29"/>
  <c r="P20" i="29"/>
  <c r="B20" i="29"/>
  <c r="A20" i="29"/>
  <c r="P19" i="29"/>
  <c r="B19" i="29"/>
  <c r="A19" i="29"/>
  <c r="P18" i="29"/>
  <c r="B18" i="29"/>
  <c r="A18" i="29"/>
  <c r="P17" i="29"/>
  <c r="B17" i="29"/>
  <c r="A17" i="29"/>
  <c r="P16" i="29"/>
  <c r="B16" i="29"/>
  <c r="A16" i="29"/>
  <c r="P15" i="29"/>
  <c r="B15" i="29"/>
  <c r="A15" i="29"/>
  <c r="P14" i="29"/>
  <c r="B14" i="29"/>
  <c r="A14" i="29"/>
  <c r="P13" i="29"/>
  <c r="B13" i="29"/>
  <c r="A13" i="29"/>
  <c r="P12" i="29"/>
  <c r="B12" i="29"/>
  <c r="A12" i="29"/>
  <c r="P11" i="29"/>
  <c r="B11" i="29"/>
  <c r="A11" i="29"/>
  <c r="P10" i="29"/>
  <c r="B10" i="29"/>
  <c r="A10" i="29"/>
  <c r="P9" i="29"/>
  <c r="B9" i="29"/>
  <c r="A9" i="29"/>
  <c r="P8" i="29"/>
  <c r="B8" i="29"/>
  <c r="A8" i="29"/>
  <c r="P7" i="29"/>
  <c r="B7" i="29"/>
  <c r="A7" i="29"/>
  <c r="P6" i="29"/>
  <c r="B6" i="29"/>
  <c r="A6" i="29"/>
  <c r="P5" i="29"/>
  <c r="B5" i="29"/>
  <c r="A5" i="29"/>
  <c r="P4" i="29"/>
  <c r="B4" i="29"/>
  <c r="A4" i="29"/>
  <c r="B2" i="29"/>
  <c r="A2" i="29"/>
  <c r="P22" i="15"/>
  <c r="B22" i="15"/>
  <c r="A22" i="15"/>
  <c r="P21" i="15"/>
  <c r="B21" i="15"/>
  <c r="A21" i="15"/>
  <c r="P20" i="15"/>
  <c r="B20" i="15"/>
  <c r="A20" i="15"/>
  <c r="P19" i="15"/>
  <c r="B19" i="15"/>
  <c r="A19" i="15"/>
  <c r="P18" i="15"/>
  <c r="B18" i="15"/>
  <c r="A18" i="15"/>
  <c r="P17" i="15"/>
  <c r="B17" i="15"/>
  <c r="A17" i="15"/>
  <c r="P16" i="15"/>
  <c r="B16" i="15"/>
  <c r="A16" i="15"/>
  <c r="P15" i="15"/>
  <c r="B15" i="15"/>
  <c r="A15" i="15"/>
  <c r="P14" i="15"/>
  <c r="B14" i="15"/>
  <c r="A14" i="15"/>
  <c r="P13" i="15"/>
  <c r="B13" i="15"/>
  <c r="A13" i="15"/>
  <c r="P12" i="15"/>
  <c r="B12" i="15"/>
  <c r="A12" i="15"/>
  <c r="P11" i="15"/>
  <c r="B11" i="15"/>
  <c r="A11" i="15"/>
  <c r="P10" i="15"/>
  <c r="B10" i="15"/>
  <c r="A10" i="15"/>
  <c r="P9" i="15"/>
  <c r="B9" i="15"/>
  <c r="A9" i="15"/>
  <c r="P8" i="15"/>
  <c r="B8" i="15"/>
  <c r="A8" i="15"/>
  <c r="P7" i="15"/>
  <c r="B7" i="15"/>
  <c r="A7" i="15"/>
  <c r="P6" i="15"/>
  <c r="B6" i="15"/>
  <c r="A6" i="15"/>
  <c r="P5" i="15"/>
  <c r="B5" i="15"/>
  <c r="A5" i="15"/>
  <c r="P4" i="15"/>
  <c r="B4" i="15"/>
  <c r="A4" i="15"/>
  <c r="Z3" i="15"/>
  <c r="Y3" i="15"/>
  <c r="X3" i="15"/>
  <c r="W3" i="15"/>
  <c r="V3" i="15"/>
  <c r="U3" i="15"/>
  <c r="T3" i="15"/>
  <c r="S3" i="15"/>
  <c r="R3" i="15"/>
  <c r="Q3" i="15"/>
  <c r="B2" i="15"/>
  <c r="A2" i="15"/>
  <c r="P22" i="14"/>
  <c r="B22" i="14"/>
  <c r="A22" i="14"/>
  <c r="P21" i="14"/>
  <c r="B21" i="14"/>
  <c r="A21" i="14"/>
  <c r="P20" i="14"/>
  <c r="B20" i="14"/>
  <c r="A20" i="14"/>
  <c r="P19" i="14"/>
  <c r="B19" i="14"/>
  <c r="A19" i="14"/>
  <c r="P18" i="14"/>
  <c r="B18" i="14"/>
  <c r="A18" i="14"/>
  <c r="P17" i="14"/>
  <c r="B17" i="14"/>
  <c r="A17" i="14"/>
  <c r="P16" i="14"/>
  <c r="B16" i="14"/>
  <c r="A16" i="14"/>
  <c r="P15" i="14"/>
  <c r="B15" i="14"/>
  <c r="A15" i="14"/>
  <c r="P14" i="14"/>
  <c r="B14" i="14"/>
  <c r="A14" i="14"/>
  <c r="P13" i="14"/>
  <c r="B13" i="14"/>
  <c r="A13" i="14"/>
  <c r="P12" i="14"/>
  <c r="B12" i="14"/>
  <c r="A12" i="14"/>
  <c r="P11" i="14"/>
  <c r="B11" i="14"/>
  <c r="A11" i="14"/>
  <c r="P10" i="14"/>
  <c r="B10" i="14"/>
  <c r="A10" i="14"/>
  <c r="P9" i="14"/>
  <c r="B9" i="14"/>
  <c r="A9" i="14"/>
  <c r="P8" i="14"/>
  <c r="B8" i="14"/>
  <c r="A8" i="14"/>
  <c r="P7" i="14"/>
  <c r="B7" i="14"/>
  <c r="A7" i="14"/>
  <c r="P6" i="14"/>
  <c r="B6" i="14"/>
  <c r="A6" i="14"/>
  <c r="P5" i="14"/>
  <c r="B5" i="14"/>
  <c r="A5" i="14"/>
  <c r="P4" i="14"/>
  <c r="B4" i="14"/>
  <c r="A4" i="14"/>
  <c r="Z3" i="14"/>
  <c r="Y3" i="14"/>
  <c r="X3" i="14"/>
  <c r="W3" i="14"/>
  <c r="V3" i="14"/>
  <c r="U3" i="14"/>
  <c r="T3" i="14"/>
  <c r="S3" i="14"/>
  <c r="R3" i="14"/>
  <c r="Q3" i="14"/>
  <c r="B2" i="14"/>
  <c r="A2" i="14"/>
  <c r="P22" i="13"/>
  <c r="B22" i="13"/>
  <c r="A22" i="13"/>
  <c r="P21" i="13"/>
  <c r="B21" i="13"/>
  <c r="A21" i="13"/>
  <c r="P20" i="13"/>
  <c r="B20" i="13"/>
  <c r="A20" i="13"/>
  <c r="P19" i="13"/>
  <c r="B19" i="13"/>
  <c r="A19" i="13"/>
  <c r="P18" i="13"/>
  <c r="B18" i="13"/>
  <c r="A18" i="13"/>
  <c r="P17" i="13"/>
  <c r="B17" i="13"/>
  <c r="A17" i="13"/>
  <c r="P16" i="13"/>
  <c r="B16" i="13"/>
  <c r="A16" i="13"/>
  <c r="P15" i="13"/>
  <c r="B15" i="13"/>
  <c r="A15" i="13"/>
  <c r="P14" i="13"/>
  <c r="B14" i="13"/>
  <c r="A14" i="13"/>
  <c r="P13" i="13"/>
  <c r="B13" i="13"/>
  <c r="A13" i="13"/>
  <c r="P12" i="13"/>
  <c r="B12" i="13"/>
  <c r="A12" i="13"/>
  <c r="P11" i="13"/>
  <c r="B11" i="13"/>
  <c r="A11" i="13"/>
  <c r="P10" i="13"/>
  <c r="B10" i="13"/>
  <c r="A10" i="13"/>
  <c r="P9" i="13"/>
  <c r="B9" i="13"/>
  <c r="A9" i="13"/>
  <c r="P8" i="13"/>
  <c r="B8" i="13"/>
  <c r="A8" i="13"/>
  <c r="P7" i="13"/>
  <c r="B7" i="13"/>
  <c r="A7" i="13"/>
  <c r="P6" i="13"/>
  <c r="B6" i="13"/>
  <c r="A6" i="13"/>
  <c r="P5" i="13"/>
  <c r="B5" i="13"/>
  <c r="A5" i="13"/>
  <c r="P4" i="13"/>
  <c r="B4" i="13"/>
  <c r="A4" i="13"/>
  <c r="B2" i="13"/>
  <c r="A2" i="13"/>
  <c r="C33" i="12"/>
  <c r="B33" i="12"/>
  <c r="A33" i="12"/>
  <c r="A32" i="12"/>
  <c r="A31" i="12"/>
  <c r="A30" i="12"/>
  <c r="A29" i="12"/>
  <c r="A2" i="12" s="1"/>
  <c r="P22" i="12"/>
  <c r="B22" i="12"/>
  <c r="A22" i="12"/>
  <c r="P21" i="12"/>
  <c r="B21" i="12"/>
  <c r="A21" i="12"/>
  <c r="P20" i="12"/>
  <c r="B20" i="12"/>
  <c r="A20" i="12"/>
  <c r="P19" i="12"/>
  <c r="B19" i="12"/>
  <c r="A19" i="12"/>
  <c r="P18" i="12"/>
  <c r="B18" i="12"/>
  <c r="A18" i="12"/>
  <c r="P17" i="12"/>
  <c r="B17" i="12"/>
  <c r="A17" i="12"/>
  <c r="P16" i="12"/>
  <c r="B16" i="12"/>
  <c r="A16" i="12"/>
  <c r="P15" i="12"/>
  <c r="B15" i="12"/>
  <c r="A15" i="12"/>
  <c r="P14" i="12"/>
  <c r="B14" i="12"/>
  <c r="A14" i="12"/>
  <c r="P13" i="12"/>
  <c r="B13" i="12"/>
  <c r="A13" i="12"/>
  <c r="P12" i="12"/>
  <c r="B12" i="12"/>
  <c r="A12" i="12"/>
  <c r="P11" i="12"/>
  <c r="B11" i="12"/>
  <c r="A11" i="12"/>
  <c r="P10" i="12"/>
  <c r="B10" i="12"/>
  <c r="A10" i="12"/>
  <c r="P9" i="12"/>
  <c r="B9" i="12"/>
  <c r="A9" i="12"/>
  <c r="P8" i="12"/>
  <c r="B8" i="12"/>
  <c r="A8" i="12"/>
  <c r="P7" i="12"/>
  <c r="B7" i="12"/>
  <c r="A7" i="12"/>
  <c r="P6" i="12"/>
  <c r="B6" i="12"/>
  <c r="A6" i="12"/>
  <c r="P5" i="12"/>
  <c r="B5" i="12"/>
  <c r="A5" i="12"/>
  <c r="P4" i="12"/>
  <c r="B4" i="12"/>
  <c r="A4" i="12"/>
  <c r="B2" i="12"/>
  <c r="P22" i="27"/>
  <c r="B22" i="27"/>
  <c r="A22" i="27"/>
  <c r="P21" i="27"/>
  <c r="B21" i="27"/>
  <c r="A21" i="27"/>
  <c r="P20" i="27"/>
  <c r="B20" i="27"/>
  <c r="A20" i="27"/>
  <c r="P19" i="27"/>
  <c r="B19" i="27"/>
  <c r="A19" i="27"/>
  <c r="P18" i="27"/>
  <c r="B18" i="27"/>
  <c r="A18" i="27"/>
  <c r="P17" i="27"/>
  <c r="B17" i="27"/>
  <c r="A17" i="27"/>
  <c r="P16" i="27"/>
  <c r="B16" i="27"/>
  <c r="A16" i="27"/>
  <c r="P15" i="27"/>
  <c r="B15" i="27"/>
  <c r="A15" i="27"/>
  <c r="P14" i="27"/>
  <c r="B14" i="27"/>
  <c r="A14" i="27"/>
  <c r="P13" i="27"/>
  <c r="B13" i="27"/>
  <c r="A13" i="27"/>
  <c r="P12" i="27"/>
  <c r="B12" i="27"/>
  <c r="A12" i="27"/>
  <c r="P11" i="27"/>
  <c r="B11" i="27"/>
  <c r="A11" i="27"/>
  <c r="P10" i="27"/>
  <c r="B10" i="27"/>
  <c r="A10" i="27"/>
  <c r="P9" i="27"/>
  <c r="B9" i="27"/>
  <c r="A9" i="27"/>
  <c r="P8" i="27"/>
  <c r="B8" i="27"/>
  <c r="A8" i="27"/>
  <c r="P7" i="27"/>
  <c r="B7" i="27"/>
  <c r="A7" i="27"/>
  <c r="P6" i="27"/>
  <c r="B6" i="27"/>
  <c r="A6" i="27"/>
  <c r="P5" i="27"/>
  <c r="B5" i="27"/>
  <c r="A5" i="27"/>
  <c r="P4" i="27"/>
  <c r="B4" i="27"/>
  <c r="A4" i="27"/>
  <c r="X3" i="27"/>
  <c r="W3" i="27"/>
  <c r="V3" i="27"/>
  <c r="U3" i="27"/>
  <c r="T3" i="27"/>
  <c r="S3" i="27"/>
  <c r="B2" i="27"/>
  <c r="A2" i="27"/>
  <c r="P22" i="10"/>
  <c r="B22" i="10"/>
  <c r="A22" i="10"/>
  <c r="P21" i="10"/>
  <c r="B21" i="10"/>
  <c r="A21" i="10"/>
  <c r="P20" i="10"/>
  <c r="B20" i="10"/>
  <c r="A20" i="10"/>
  <c r="P19" i="10"/>
  <c r="B19" i="10"/>
  <c r="A19" i="10"/>
  <c r="P18" i="10"/>
  <c r="B18" i="10"/>
  <c r="A18" i="10"/>
  <c r="P17" i="10"/>
  <c r="B17" i="10"/>
  <c r="A17" i="10"/>
  <c r="P16" i="10"/>
  <c r="B16" i="10"/>
  <c r="A16" i="10"/>
  <c r="P15" i="10"/>
  <c r="B15" i="10"/>
  <c r="A15" i="10"/>
  <c r="P14" i="10"/>
  <c r="B14" i="10"/>
  <c r="A14" i="10"/>
  <c r="P13" i="10"/>
  <c r="B13" i="10"/>
  <c r="A13" i="10"/>
  <c r="P12" i="10"/>
  <c r="B12" i="10"/>
  <c r="A12" i="10"/>
  <c r="P11" i="10"/>
  <c r="B11" i="10"/>
  <c r="A11" i="10"/>
  <c r="P10" i="10"/>
  <c r="B10" i="10"/>
  <c r="A10" i="10"/>
  <c r="P9" i="10"/>
  <c r="B9" i="10"/>
  <c r="A9" i="10"/>
  <c r="P8" i="10"/>
  <c r="B8" i="10"/>
  <c r="A8" i="10"/>
  <c r="P7" i="10"/>
  <c r="B7" i="10"/>
  <c r="A7" i="10"/>
  <c r="P6" i="10"/>
  <c r="B6" i="10"/>
  <c r="A6" i="10"/>
  <c r="P5" i="10"/>
  <c r="B5" i="10"/>
  <c r="A5" i="10"/>
  <c r="P4" i="10"/>
  <c r="B4" i="10"/>
  <c r="A4" i="10"/>
  <c r="B2" i="10"/>
  <c r="A2" i="10"/>
  <c r="P20" i="9"/>
  <c r="B20" i="9"/>
  <c r="P19" i="9"/>
  <c r="B19" i="9"/>
  <c r="P18" i="9"/>
  <c r="B18" i="9"/>
  <c r="P17" i="9"/>
  <c r="B17" i="9"/>
  <c r="P16" i="9"/>
  <c r="B16" i="9"/>
  <c r="P15" i="9"/>
  <c r="B15" i="9"/>
  <c r="P14" i="9"/>
  <c r="B14" i="9"/>
  <c r="P13" i="9"/>
  <c r="B13" i="9"/>
  <c r="P12" i="9"/>
  <c r="B12" i="9"/>
  <c r="P11" i="9"/>
  <c r="B11" i="9"/>
  <c r="P10" i="9"/>
  <c r="B10" i="9"/>
  <c r="P9" i="9"/>
  <c r="B9" i="9"/>
  <c r="P8" i="9"/>
  <c r="B8" i="9"/>
  <c r="P7" i="9"/>
  <c r="B7" i="9"/>
  <c r="P6" i="9"/>
  <c r="B6" i="9"/>
  <c r="P5" i="9"/>
  <c r="B5" i="9"/>
  <c r="P4" i="9"/>
  <c r="B4" i="9"/>
  <c r="B2" i="9"/>
  <c r="A2" i="9"/>
  <c r="A33" i="5"/>
  <c r="A32" i="5"/>
  <c r="A31" i="5"/>
  <c r="A30" i="5"/>
  <c r="A29" i="5"/>
  <c r="A28" i="5"/>
  <c r="A27" i="5"/>
  <c r="A26" i="5"/>
  <c r="A25" i="5"/>
  <c r="P22" i="5"/>
  <c r="B22" i="5"/>
  <c r="A22" i="5"/>
  <c r="P21" i="5"/>
  <c r="B21" i="5"/>
  <c r="A21" i="5"/>
  <c r="P20" i="5"/>
  <c r="B20" i="5"/>
  <c r="A20" i="5"/>
  <c r="P19" i="5"/>
  <c r="B19" i="5"/>
  <c r="A19" i="5"/>
  <c r="P18" i="5"/>
  <c r="B18" i="5"/>
  <c r="A18" i="5"/>
  <c r="P17" i="5"/>
  <c r="B17" i="5"/>
  <c r="A17" i="5"/>
  <c r="P16" i="5"/>
  <c r="B16" i="5"/>
  <c r="A16" i="5"/>
  <c r="P15" i="5"/>
  <c r="B15" i="5"/>
  <c r="A15" i="5"/>
  <c r="P14" i="5"/>
  <c r="B14" i="5"/>
  <c r="A14" i="5"/>
  <c r="P13" i="5"/>
  <c r="B13" i="5"/>
  <c r="A13" i="5"/>
  <c r="P12" i="5"/>
  <c r="B12" i="5"/>
  <c r="A12" i="5"/>
  <c r="P11" i="5"/>
  <c r="B11" i="5"/>
  <c r="A11" i="5"/>
  <c r="P10" i="5"/>
  <c r="B10" i="5"/>
  <c r="A10" i="5"/>
  <c r="P9" i="5"/>
  <c r="B9" i="5"/>
  <c r="A9" i="5"/>
  <c r="P8" i="5"/>
  <c r="B8" i="5"/>
  <c r="A8" i="5"/>
  <c r="P7" i="5"/>
  <c r="B7" i="5"/>
  <c r="A7" i="5"/>
  <c r="P6" i="5"/>
  <c r="B6" i="5"/>
  <c r="A6" i="5"/>
  <c r="P5" i="5"/>
  <c r="B5" i="5"/>
  <c r="A5" i="5"/>
  <c r="P4" i="5"/>
  <c r="BA11" i="5" s="1"/>
  <c r="BN11" i="5" s="1"/>
  <c r="B4" i="5"/>
  <c r="A4" i="5"/>
  <c r="AA3" i="5"/>
  <c r="Z3" i="5"/>
  <c r="Y3" i="5"/>
  <c r="X3" i="5"/>
  <c r="W3" i="5"/>
  <c r="V3" i="5"/>
  <c r="U3" i="5"/>
  <c r="T3" i="5"/>
  <c r="S3" i="5"/>
  <c r="R3" i="5"/>
  <c r="Q3" i="5"/>
  <c r="BC2" i="5"/>
  <c r="BB2" i="5"/>
  <c r="BA2" i="5"/>
  <c r="AZ2" i="5"/>
  <c r="AY2" i="5"/>
  <c r="AX2" i="5"/>
  <c r="AW2" i="5"/>
  <c r="AV2" i="5"/>
  <c r="AU2" i="5"/>
  <c r="AT2" i="5"/>
  <c r="B2" i="5"/>
  <c r="A2" i="5"/>
  <c r="P22" i="30"/>
  <c r="B22" i="30"/>
  <c r="A22" i="30"/>
  <c r="P21" i="30"/>
  <c r="B21" i="30"/>
  <c r="A21" i="30"/>
  <c r="P20" i="30"/>
  <c r="B20" i="30"/>
  <c r="A20" i="30"/>
  <c r="P19" i="30"/>
  <c r="B19" i="30"/>
  <c r="A19" i="30"/>
  <c r="P18" i="30"/>
  <c r="B18" i="30"/>
  <c r="A18" i="30"/>
  <c r="P17" i="30"/>
  <c r="B17" i="30"/>
  <c r="A17" i="30"/>
  <c r="P16" i="30"/>
  <c r="B16" i="30"/>
  <c r="A16" i="30"/>
  <c r="P15" i="30"/>
  <c r="B15" i="30"/>
  <c r="A15" i="30"/>
  <c r="P14" i="30"/>
  <c r="B14" i="30"/>
  <c r="A14" i="30"/>
  <c r="P13" i="30"/>
  <c r="B13" i="30"/>
  <c r="A13" i="30"/>
  <c r="P12" i="30"/>
  <c r="B12" i="30"/>
  <c r="A12" i="30"/>
  <c r="P11" i="30"/>
  <c r="B11" i="30"/>
  <c r="A11" i="30"/>
  <c r="P10" i="30"/>
  <c r="B10" i="30"/>
  <c r="A10" i="30"/>
  <c r="P9" i="30"/>
  <c r="B9" i="30"/>
  <c r="A9" i="30"/>
  <c r="P8" i="30"/>
  <c r="B8" i="30"/>
  <c r="A8" i="30"/>
  <c r="P7" i="30"/>
  <c r="B7" i="30"/>
  <c r="A7" i="30"/>
  <c r="P6" i="30"/>
  <c r="B6" i="30"/>
  <c r="A6" i="30"/>
  <c r="P5" i="30"/>
  <c r="B5" i="30"/>
  <c r="A5" i="30"/>
  <c r="P4" i="30"/>
  <c r="AZ11" i="30" s="1"/>
  <c r="BL11" i="30" s="1"/>
  <c r="B4" i="30"/>
  <c r="A4" i="30"/>
  <c r="AZ2" i="30"/>
  <c r="AY2" i="30"/>
  <c r="AX2" i="30"/>
  <c r="AW2" i="30"/>
  <c r="AV2" i="30"/>
  <c r="AU2" i="30"/>
  <c r="AT2" i="30"/>
  <c r="AS2" i="30"/>
  <c r="AR2" i="30"/>
  <c r="B2" i="30"/>
  <c r="A2" i="30"/>
  <c r="A33" i="31"/>
  <c r="A32" i="31"/>
  <c r="A31" i="31"/>
  <c r="A30" i="31"/>
  <c r="A29" i="31"/>
  <c r="A28" i="31"/>
  <c r="A27" i="31"/>
  <c r="A26" i="31"/>
  <c r="A25" i="31"/>
  <c r="AB22" i="31"/>
  <c r="AA22" i="31"/>
  <c r="Z22" i="31"/>
  <c r="Y22" i="31"/>
  <c r="X22" i="31"/>
  <c r="W22" i="31"/>
  <c r="V22" i="31"/>
  <c r="P22" i="31"/>
  <c r="B22" i="31"/>
  <c r="A22" i="31"/>
  <c r="AB21" i="31"/>
  <c r="P21" i="31"/>
  <c r="B21" i="31"/>
  <c r="A21" i="31"/>
  <c r="AB20" i="31"/>
  <c r="AA20" i="31"/>
  <c r="Z20" i="31"/>
  <c r="Y20" i="31"/>
  <c r="X20" i="31"/>
  <c r="W20" i="31"/>
  <c r="V20" i="31"/>
  <c r="P20" i="31"/>
  <c r="B20" i="31"/>
  <c r="A20" i="31"/>
  <c r="AB19" i="31"/>
  <c r="AA19" i="31"/>
  <c r="Z19" i="31"/>
  <c r="Y19" i="31"/>
  <c r="X19" i="31"/>
  <c r="W19" i="31"/>
  <c r="V19" i="31"/>
  <c r="P19" i="31"/>
  <c r="B19" i="31"/>
  <c r="A19" i="31"/>
  <c r="AB18" i="31"/>
  <c r="AA18" i="31"/>
  <c r="Z18" i="31"/>
  <c r="Y18" i="31"/>
  <c r="X18" i="31"/>
  <c r="W18" i="31"/>
  <c r="V18" i="31"/>
  <c r="P18" i="31"/>
  <c r="B18" i="31"/>
  <c r="A18" i="31"/>
  <c r="AB17" i="31"/>
  <c r="AA17" i="31"/>
  <c r="Z17" i="31"/>
  <c r="Y17" i="31"/>
  <c r="X17" i="31"/>
  <c r="W17" i="31"/>
  <c r="V17" i="31"/>
  <c r="P17" i="31"/>
  <c r="B17" i="31"/>
  <c r="A17" i="31"/>
  <c r="AB16" i="31"/>
  <c r="AA16" i="31"/>
  <c r="Z16" i="31"/>
  <c r="Y16" i="31"/>
  <c r="X16" i="31"/>
  <c r="W16" i="31"/>
  <c r="V16" i="31"/>
  <c r="P16" i="31"/>
  <c r="B16" i="31"/>
  <c r="A16" i="31"/>
  <c r="AB15" i="31"/>
  <c r="AA15" i="31"/>
  <c r="Z15" i="31"/>
  <c r="Y15" i="31"/>
  <c r="X15" i="31"/>
  <c r="W15" i="31"/>
  <c r="V15" i="31"/>
  <c r="P15" i="31"/>
  <c r="B15" i="31"/>
  <c r="A15" i="31"/>
  <c r="AB14" i="31"/>
  <c r="AA14" i="31"/>
  <c r="Z14" i="31"/>
  <c r="Y14" i="31"/>
  <c r="X14" i="31"/>
  <c r="W14" i="31"/>
  <c r="V14" i="31"/>
  <c r="P14" i="31"/>
  <c r="B14" i="31"/>
  <c r="A14" i="31"/>
  <c r="AB13" i="31"/>
  <c r="AA13" i="31"/>
  <c r="Z13" i="31"/>
  <c r="Y13" i="31"/>
  <c r="X13" i="31"/>
  <c r="W13" i="31"/>
  <c r="V13" i="31"/>
  <c r="P13" i="31"/>
  <c r="B13" i="31"/>
  <c r="A13" i="31"/>
  <c r="AB12" i="31"/>
  <c r="AA12" i="31"/>
  <c r="Z12" i="31"/>
  <c r="Y12" i="31"/>
  <c r="X12" i="31"/>
  <c r="W12" i="31"/>
  <c r="V12" i="31"/>
  <c r="P12" i="31"/>
  <c r="B12" i="31"/>
  <c r="A12" i="31"/>
  <c r="AB11" i="31"/>
  <c r="AA11" i="31"/>
  <c r="Z11" i="31"/>
  <c r="Y11" i="31"/>
  <c r="X11" i="31"/>
  <c r="W11" i="31"/>
  <c r="V11" i="31"/>
  <c r="P11" i="31"/>
  <c r="B11" i="31"/>
  <c r="A11" i="31"/>
  <c r="AB10" i="31"/>
  <c r="AA10" i="31"/>
  <c r="Z10" i="31"/>
  <c r="Y10" i="31"/>
  <c r="X10" i="31"/>
  <c r="W10" i="31"/>
  <c r="V10" i="31"/>
  <c r="P10" i="31"/>
  <c r="B10" i="31"/>
  <c r="A10" i="31"/>
  <c r="AB9" i="31"/>
  <c r="P9" i="31"/>
  <c r="B9" i="31"/>
  <c r="A9" i="31"/>
  <c r="AB8" i="31"/>
  <c r="AA8" i="31"/>
  <c r="Z8" i="31"/>
  <c r="Y8" i="31"/>
  <c r="X8" i="31"/>
  <c r="W8" i="31"/>
  <c r="V8" i="31"/>
  <c r="P8" i="31"/>
  <c r="B8" i="31"/>
  <c r="A8" i="31"/>
  <c r="AB7" i="31"/>
  <c r="AA7" i="31"/>
  <c r="Z7" i="31"/>
  <c r="Y7" i="31"/>
  <c r="X7" i="31"/>
  <c r="W7" i="31"/>
  <c r="V7" i="31"/>
  <c r="P7" i="31"/>
  <c r="B7" i="31"/>
  <c r="A7" i="31"/>
  <c r="AB6" i="31"/>
  <c r="AA6" i="31"/>
  <c r="Z6" i="31"/>
  <c r="Y6" i="31"/>
  <c r="X6" i="31"/>
  <c r="W6" i="31"/>
  <c r="V6" i="31"/>
  <c r="P6" i="31"/>
  <c r="B6" i="31"/>
  <c r="A6" i="31"/>
  <c r="AB5" i="31"/>
  <c r="AA5" i="31"/>
  <c r="AA26" i="31" s="1"/>
  <c r="Z5" i="31"/>
  <c r="Z26" i="31" s="1"/>
  <c r="Y5" i="31"/>
  <c r="X5" i="31"/>
  <c r="W5" i="31"/>
  <c r="W26" i="31" s="1"/>
  <c r="V5" i="31"/>
  <c r="V26" i="31" s="1"/>
  <c r="S26" i="31"/>
  <c r="R26" i="31"/>
  <c r="P5" i="31"/>
  <c r="B5" i="31"/>
  <c r="A5" i="31"/>
  <c r="AB4" i="31"/>
  <c r="AA4" i="31"/>
  <c r="Z4" i="31"/>
  <c r="Y4" i="31"/>
  <c r="Y26" i="31" s="1"/>
  <c r="X4" i="31"/>
  <c r="X26" i="31" s="1"/>
  <c r="W4" i="31"/>
  <c r="V4" i="31"/>
  <c r="U26" i="31"/>
  <c r="T26" i="31"/>
  <c r="P4" i="31"/>
  <c r="B4" i="31"/>
  <c r="A4" i="31"/>
  <c r="B2" i="31"/>
  <c r="A2" i="31"/>
  <c r="A6" i="18" l="1"/>
  <c r="A7" i="18" s="1"/>
  <c r="AU11" i="5"/>
  <c r="BH11" i="5" s="1"/>
  <c r="C15" i="16"/>
  <c r="D15" i="16" s="1"/>
  <c r="E15" i="16" s="1"/>
  <c r="F15" i="16" s="1"/>
  <c r="G15" i="16" s="1"/>
  <c r="H15" i="16" s="1"/>
  <c r="I15" i="16" s="1"/>
  <c r="J15" i="16" s="1"/>
  <c r="K15" i="16" s="1"/>
  <c r="L15" i="16" s="1"/>
  <c r="M15" i="16" s="1"/>
  <c r="A22" i="21"/>
  <c r="A2" i="21" s="1"/>
  <c r="C15" i="24"/>
  <c r="D15" i="24" s="1"/>
  <c r="E15" i="24" s="1"/>
  <c r="F15" i="24" s="1"/>
  <c r="G15" i="24" s="1"/>
  <c r="H15" i="24" s="1"/>
  <c r="I15" i="24" s="1"/>
  <c r="J15" i="24" s="1"/>
  <c r="K15" i="24" s="1"/>
  <c r="L15" i="24" s="1"/>
  <c r="M15" i="24" s="1"/>
  <c r="N15" i="24" s="1"/>
  <c r="O15" i="24" s="1"/>
  <c r="AV4" i="30"/>
  <c r="BH4" i="30" s="1"/>
  <c r="AZ11" i="5"/>
  <c r="BM11" i="5" s="1"/>
  <c r="AT4" i="5"/>
  <c r="BG4" i="5" s="1"/>
  <c r="D33" i="11"/>
  <c r="E33" i="11" s="1"/>
  <c r="F33" i="11" s="1"/>
  <c r="G33" i="11" s="1"/>
  <c r="H33" i="11" s="1"/>
  <c r="I33" i="11" s="1"/>
  <c r="J33" i="11" s="1"/>
  <c r="K33" i="11" s="1"/>
  <c r="L33" i="11" s="1"/>
  <c r="M33" i="11" s="1"/>
  <c r="N33" i="11" s="1"/>
  <c r="F32" i="18"/>
  <c r="A22" i="11"/>
  <c r="A2" i="11" s="1"/>
  <c r="AT19" i="30"/>
  <c r="BF19" i="30" s="1"/>
  <c r="AR17" i="30"/>
  <c r="BD17" i="30" s="1"/>
  <c r="AT22" i="30"/>
  <c r="BF22" i="30" s="1"/>
  <c r="AX16" i="30"/>
  <c r="BJ16" i="30" s="1"/>
  <c r="AX20" i="30"/>
  <c r="BJ20" i="30" s="1"/>
  <c r="AU11" i="30"/>
  <c r="BG11" i="30" s="1"/>
  <c r="AU15" i="30"/>
  <c r="BG15" i="30" s="1"/>
  <c r="AX4" i="5"/>
  <c r="BK4" i="5" s="1"/>
  <c r="AW11" i="5"/>
  <c r="BJ11" i="5" s="1"/>
  <c r="BC11" i="5"/>
  <c r="BP11" i="5" s="1"/>
  <c r="K31" i="18"/>
  <c r="AQ7" i="30"/>
  <c r="BC7" i="30" s="1"/>
  <c r="AY21" i="30"/>
  <c r="BK21" i="30" s="1"/>
  <c r="AT11" i="30"/>
  <c r="BF11" i="30" s="1"/>
  <c r="AW5" i="30"/>
  <c r="BI5" i="30" s="1"/>
  <c r="AV17" i="30"/>
  <c r="BH17" i="30" s="1"/>
  <c r="AR18" i="30"/>
  <c r="BD18" i="30" s="1"/>
  <c r="AZ15" i="30"/>
  <c r="BL15" i="30" s="1"/>
  <c r="AX6" i="5"/>
  <c r="BK6" i="5" s="1"/>
  <c r="AS11" i="5"/>
  <c r="BF11" i="5" s="1"/>
  <c r="AY11" i="5"/>
  <c r="BL11" i="5" s="1"/>
  <c r="A8" i="18"/>
  <c r="C15" i="32"/>
  <c r="C16" i="32" s="1"/>
  <c r="C17" i="32" s="1"/>
  <c r="AZ16" i="30"/>
  <c r="BL16" i="30" s="1"/>
  <c r="AS16" i="30"/>
  <c r="BE16" i="30" s="1"/>
  <c r="AY19" i="30"/>
  <c r="BK19" i="30" s="1"/>
  <c r="AW4" i="30"/>
  <c r="BI4" i="30" s="1"/>
  <c r="AT5" i="30"/>
  <c r="BF5" i="30" s="1"/>
  <c r="AT20" i="30"/>
  <c r="BF20" i="30" s="1"/>
  <c r="AV11" i="5"/>
  <c r="BI11" i="5" s="1"/>
  <c r="C15" i="11"/>
  <c r="C16" i="11" s="1"/>
  <c r="C17" i="11" s="1"/>
  <c r="C18" i="11" s="1"/>
  <c r="C19" i="11" s="1"/>
  <c r="C20" i="11" s="1"/>
  <c r="C21" i="11" s="1"/>
  <c r="C22" i="11" s="1"/>
  <c r="C21" i="26"/>
  <c r="D21" i="26" s="1"/>
  <c r="E21" i="26" s="1"/>
  <c r="F21" i="26" s="1"/>
  <c r="G21" i="26" s="1"/>
  <c r="H21" i="26" s="1"/>
  <c r="I21" i="26" s="1"/>
  <c r="J21" i="26" s="1"/>
  <c r="K21" i="26" s="1"/>
  <c r="L21" i="26" s="1"/>
  <c r="M21" i="26" s="1"/>
  <c r="N21" i="26" s="1"/>
  <c r="O21" i="26" s="1"/>
  <c r="AW15" i="5"/>
  <c r="BJ15" i="5" s="1"/>
  <c r="AW19" i="5"/>
  <c r="BJ19" i="5" s="1"/>
  <c r="AW13" i="30"/>
  <c r="BI13" i="30" s="1"/>
  <c r="AT13" i="5"/>
  <c r="BG13" i="5" s="1"/>
  <c r="AV12" i="5"/>
  <c r="BI12" i="5" s="1"/>
  <c r="BA6" i="5"/>
  <c r="BN6" i="5" s="1"/>
  <c r="AW6" i="5"/>
  <c r="BJ6" i="5" s="1"/>
  <c r="AS6" i="5"/>
  <c r="BF6" i="5" s="1"/>
  <c r="BC5" i="5"/>
  <c r="BP5" i="5" s="1"/>
  <c r="AY5" i="5"/>
  <c r="BL5" i="5" s="1"/>
  <c r="AU5" i="5"/>
  <c r="BH5" i="5" s="1"/>
  <c r="BA4" i="5"/>
  <c r="BN4" i="5" s="1"/>
  <c r="AW4" i="5"/>
  <c r="BJ4" i="5" s="1"/>
  <c r="AS4" i="5"/>
  <c r="BF4" i="5" s="1"/>
  <c r="AZ20" i="5"/>
  <c r="BM20" i="5" s="1"/>
  <c r="AX19" i="5"/>
  <c r="BK19" i="5" s="1"/>
  <c r="AZ18" i="5"/>
  <c r="BM18" i="5" s="1"/>
  <c r="BB17" i="5"/>
  <c r="BO17" i="5" s="1"/>
  <c r="AX17" i="5"/>
  <c r="BK17" i="5" s="1"/>
  <c r="AZ16" i="5"/>
  <c r="BM16" i="5" s="1"/>
  <c r="AT15" i="5"/>
  <c r="BG15" i="5" s="1"/>
  <c r="AV10" i="5"/>
  <c r="BI10" i="5" s="1"/>
  <c r="AX8" i="5"/>
  <c r="BK8" i="5" s="1"/>
  <c r="BC6" i="5"/>
  <c r="BP6" i="5" s="1"/>
  <c r="AY6" i="5"/>
  <c r="BL6" i="5" s="1"/>
  <c r="BC4" i="5"/>
  <c r="BP4" i="5" s="1"/>
  <c r="AU4" i="5"/>
  <c r="BH4" i="5" s="1"/>
  <c r="AV20" i="5"/>
  <c r="BI20" i="5" s="1"/>
  <c r="BB19" i="5"/>
  <c r="BO19" i="5" s="1"/>
  <c r="AT19" i="5"/>
  <c r="BG19" i="5" s="1"/>
  <c r="AV18" i="5"/>
  <c r="BI18" i="5" s="1"/>
  <c r="AT17" i="5"/>
  <c r="BG17" i="5" s="1"/>
  <c r="AV16" i="5"/>
  <c r="BI16" i="5" s="1"/>
  <c r="BB15" i="5"/>
  <c r="BO15" i="5" s="1"/>
  <c r="AX15" i="5"/>
  <c r="BK15" i="5" s="1"/>
  <c r="AV9" i="5"/>
  <c r="BI9" i="5" s="1"/>
  <c r="AW7" i="5"/>
  <c r="BJ7" i="5" s="1"/>
  <c r="AU6" i="5"/>
  <c r="BH6" i="5" s="1"/>
  <c r="BA5" i="5"/>
  <c r="BN5" i="5" s="1"/>
  <c r="AW5" i="5"/>
  <c r="BJ5" i="5" s="1"/>
  <c r="AS5" i="5"/>
  <c r="BF5" i="5" s="1"/>
  <c r="AY4" i="5"/>
  <c r="BL4" i="5" s="1"/>
  <c r="AU16" i="5"/>
  <c r="BH16" i="5" s="1"/>
  <c r="AU18" i="5"/>
  <c r="BH18" i="5" s="1"/>
  <c r="AU20" i="5"/>
  <c r="BH20" i="5" s="1"/>
  <c r="A22" i="26"/>
  <c r="A2" i="26" s="1"/>
  <c r="AV6" i="30"/>
  <c r="BH6" i="30" s="1"/>
  <c r="AV5" i="5"/>
  <c r="BI5" i="5" s="1"/>
  <c r="AY16" i="5"/>
  <c r="BL16" i="5" s="1"/>
  <c r="AY18" i="5"/>
  <c r="BL18" i="5" s="1"/>
  <c r="AY20" i="5"/>
  <c r="BL20" i="5" s="1"/>
  <c r="AW18" i="30"/>
  <c r="BI18" i="30" s="1"/>
  <c r="AT22" i="5"/>
  <c r="BG22" i="5" s="1"/>
  <c r="AZ5" i="5"/>
  <c r="BM5" i="5" s="1"/>
  <c r="AT6" i="5"/>
  <c r="BG6" i="5" s="1"/>
  <c r="BB13" i="5"/>
  <c r="BO13" i="5" s="1"/>
  <c r="AV14" i="5"/>
  <c r="BI14" i="5" s="1"/>
  <c r="AS15" i="5"/>
  <c r="BF15" i="5" s="1"/>
  <c r="BC16" i="5"/>
  <c r="BP16" i="5" s="1"/>
  <c r="AS17" i="5"/>
  <c r="BF17" i="5" s="1"/>
  <c r="BC18" i="5"/>
  <c r="BP18" i="5" s="1"/>
  <c r="AS19" i="5"/>
  <c r="BF19" i="5" s="1"/>
  <c r="BC20" i="5"/>
  <c r="BP20" i="5" s="1"/>
  <c r="AW17" i="5"/>
  <c r="BJ17" i="5" s="1"/>
  <c r="AQ6" i="30"/>
  <c r="BC6" i="30" s="1"/>
  <c r="AY12" i="30"/>
  <c r="BK12" i="30" s="1"/>
  <c r="BB6" i="5"/>
  <c r="BO6" i="5" s="1"/>
  <c r="BA15" i="5"/>
  <c r="BN15" i="5" s="1"/>
  <c r="BA17" i="5"/>
  <c r="BN17" i="5" s="1"/>
  <c r="BA19" i="5"/>
  <c r="BN19" i="5" s="1"/>
  <c r="AQ10" i="30"/>
  <c r="BC10" i="30" s="1"/>
  <c r="BB4" i="5"/>
  <c r="BO4" i="5" s="1"/>
  <c r="AQ4" i="30"/>
  <c r="BC4" i="30" s="1"/>
  <c r="AR5" i="30"/>
  <c r="BD5" i="30" s="1"/>
  <c r="AQ17" i="30"/>
  <c r="BC17" i="30" s="1"/>
  <c r="AR6" i="30"/>
  <c r="BD6" i="30" s="1"/>
  <c r="AX6" i="30"/>
  <c r="BJ6" i="30" s="1"/>
  <c r="AS18" i="30"/>
  <c r="BE18" i="30" s="1"/>
  <c r="AZ19" i="30"/>
  <c r="BL19" i="30" s="1"/>
  <c r="AX4" i="30"/>
  <c r="BJ4" i="30" s="1"/>
  <c r="AU5" i="30"/>
  <c r="BG5" i="30" s="1"/>
  <c r="AY20" i="30"/>
  <c r="BK20" i="30" s="1"/>
  <c r="AR15" i="30"/>
  <c r="BD15" i="30" s="1"/>
  <c r="AQ15" i="30"/>
  <c r="BC15" i="30" s="1"/>
  <c r="AR11" i="30"/>
  <c r="BD11" i="30" s="1"/>
  <c r="AW11" i="30"/>
  <c r="BI11" i="30" s="1"/>
  <c r="AR4" i="30"/>
  <c r="BD4" i="30" s="1"/>
  <c r="AZ4" i="30"/>
  <c r="BL4" i="30" s="1"/>
  <c r="AQ16" i="30"/>
  <c r="BC16" i="30" s="1"/>
  <c r="AV16" i="30"/>
  <c r="BH16" i="30" s="1"/>
  <c r="AS5" i="30"/>
  <c r="BE5" i="30" s="1"/>
  <c r="AT17" i="30"/>
  <c r="BF17" i="30" s="1"/>
  <c r="AY17" i="30"/>
  <c r="BK17" i="30" s="1"/>
  <c r="AT6" i="30"/>
  <c r="BF6" i="30" s="1"/>
  <c r="AY6" i="30"/>
  <c r="BK6" i="30" s="1"/>
  <c r="AU18" i="30"/>
  <c r="BG18" i="30" s="1"/>
  <c r="AY18" i="30"/>
  <c r="BK18" i="30" s="1"/>
  <c r="AY7" i="30"/>
  <c r="BK7" i="30" s="1"/>
  <c r="AR19" i="30"/>
  <c r="BD19" i="30" s="1"/>
  <c r="AV19" i="30"/>
  <c r="BH19" i="30" s="1"/>
  <c r="AV8" i="30"/>
  <c r="BH8" i="30" s="1"/>
  <c r="AS4" i="30"/>
  <c r="BE4" i="30" s="1"/>
  <c r="AS9" i="30"/>
  <c r="BE9" i="30" s="1"/>
  <c r="AX5" i="30"/>
  <c r="BJ5" i="30" s="1"/>
  <c r="AY10" i="30"/>
  <c r="BK10" i="30" s="1"/>
  <c r="AQ20" i="30"/>
  <c r="BC20" i="30" s="1"/>
  <c r="AV20" i="30"/>
  <c r="BH20" i="30" s="1"/>
  <c r="AZ20" i="30"/>
  <c r="BL20" i="30" s="1"/>
  <c r="AS15" i="30"/>
  <c r="BE15" i="30" s="1"/>
  <c r="AW15" i="30"/>
  <c r="BI15" i="30" s="1"/>
  <c r="AZ12" i="30"/>
  <c r="BL12" i="30" s="1"/>
  <c r="AS6" i="30"/>
  <c r="BE6" i="30" s="1"/>
  <c r="AX15" i="30"/>
  <c r="BJ15" i="30" s="1"/>
  <c r="AU16" i="30"/>
  <c r="BG16" i="30" s="1"/>
  <c r="AW17" i="30"/>
  <c r="BI17" i="30" s="1"/>
  <c r="AT18" i="30"/>
  <c r="BF18" i="30" s="1"/>
  <c r="AQ19" i="30"/>
  <c r="BC19" i="30" s="1"/>
  <c r="AR22" i="30"/>
  <c r="BD22" i="30" s="1"/>
  <c r="AV4" i="5"/>
  <c r="BI4" i="5" s="1"/>
  <c r="AZ4" i="5"/>
  <c r="BM4" i="5" s="1"/>
  <c r="AT5" i="5"/>
  <c r="BG5" i="5" s="1"/>
  <c r="AX5" i="5"/>
  <c r="BK5" i="5" s="1"/>
  <c r="BB5" i="5"/>
  <c r="BO5" i="5" s="1"/>
  <c r="AV6" i="5"/>
  <c r="BI6" i="5" s="1"/>
  <c r="AZ6" i="5"/>
  <c r="BM6" i="5" s="1"/>
  <c r="AT11" i="5"/>
  <c r="BG11" i="5" s="1"/>
  <c r="AX11" i="5"/>
  <c r="BK11" i="5" s="1"/>
  <c r="BB11" i="5"/>
  <c r="BO11" i="5" s="1"/>
  <c r="AU15" i="5"/>
  <c r="BH15" i="5" s="1"/>
  <c r="AY15" i="5"/>
  <c r="BL15" i="5" s="1"/>
  <c r="BC15" i="5"/>
  <c r="BP15" i="5" s="1"/>
  <c r="AS16" i="5"/>
  <c r="BF16" i="5" s="1"/>
  <c r="AW16" i="5"/>
  <c r="BJ16" i="5" s="1"/>
  <c r="BA16" i="5"/>
  <c r="BN16" i="5" s="1"/>
  <c r="AU17" i="5"/>
  <c r="BH17" i="5" s="1"/>
  <c r="AY17" i="5"/>
  <c r="BL17" i="5" s="1"/>
  <c r="BC17" i="5"/>
  <c r="BP17" i="5" s="1"/>
  <c r="AS18" i="5"/>
  <c r="BF18" i="5" s="1"/>
  <c r="AW18" i="5"/>
  <c r="BJ18" i="5" s="1"/>
  <c r="BA18" i="5"/>
  <c r="BN18" i="5" s="1"/>
  <c r="AU19" i="5"/>
  <c r="BH19" i="5" s="1"/>
  <c r="AY19" i="5"/>
  <c r="BL19" i="5" s="1"/>
  <c r="BC19" i="5"/>
  <c r="BP19" i="5" s="1"/>
  <c r="AS20" i="5"/>
  <c r="BF20" i="5" s="1"/>
  <c r="AW20" i="5"/>
  <c r="BJ20" i="5" s="1"/>
  <c r="BA20" i="5"/>
  <c r="BN20" i="5" s="1"/>
  <c r="C15" i="22"/>
  <c r="D15" i="22" s="1"/>
  <c r="E15" i="22" s="1"/>
  <c r="F15" i="22" s="1"/>
  <c r="G15" i="22" s="1"/>
  <c r="H15" i="22" s="1"/>
  <c r="I15" i="22" s="1"/>
  <c r="J15" i="22" s="1"/>
  <c r="K15" i="22" s="1"/>
  <c r="L15" i="22" s="1"/>
  <c r="M15" i="22" s="1"/>
  <c r="N15" i="22" s="1"/>
  <c r="O15" i="22" s="1"/>
  <c r="AV11" i="30"/>
  <c r="BH11" i="30" s="1"/>
  <c r="AY4" i="30"/>
  <c r="BK4" i="30" s="1"/>
  <c r="AT16" i="30"/>
  <c r="BF16" i="30" s="1"/>
  <c r="AZ5" i="30"/>
  <c r="BL5" i="30" s="1"/>
  <c r="AX17" i="30"/>
  <c r="BJ17" i="30" s="1"/>
  <c r="AX18" i="30"/>
  <c r="BJ18" i="30" s="1"/>
  <c r="AU7" i="30"/>
  <c r="BG7" i="30" s="1"/>
  <c r="AU19" i="30"/>
  <c r="BG19" i="30" s="1"/>
  <c r="AU10" i="30"/>
  <c r="BG10" i="30" s="1"/>
  <c r="AU20" i="30"/>
  <c r="BG20" i="30" s="1"/>
  <c r="AY11" i="30"/>
  <c r="BK11" i="30" s="1"/>
  <c r="AV15" i="30"/>
  <c r="BH15" i="30" s="1"/>
  <c r="AR12" i="30"/>
  <c r="BD12" i="30" s="1"/>
  <c r="AW14" i="30"/>
  <c r="BI14" i="30" s="1"/>
  <c r="AS17" i="30"/>
  <c r="BE17" i="30" s="1"/>
  <c r="A21" i="22"/>
  <c r="AS11" i="30"/>
  <c r="BE11" i="30" s="1"/>
  <c r="AX11" i="30"/>
  <c r="BJ11" i="30" s="1"/>
  <c r="AU4" i="30"/>
  <c r="BG4" i="30" s="1"/>
  <c r="AR16" i="30"/>
  <c r="BD16" i="30" s="1"/>
  <c r="AW16" i="30"/>
  <c r="BI16" i="30" s="1"/>
  <c r="AV5" i="30"/>
  <c r="BH5" i="30" s="1"/>
  <c r="AU17" i="30"/>
  <c r="BG17" i="30" s="1"/>
  <c r="AZ17" i="30"/>
  <c r="BL17" i="30" s="1"/>
  <c r="AU6" i="30"/>
  <c r="BG6" i="30" s="1"/>
  <c r="AZ6" i="30"/>
  <c r="BL6" i="30" s="1"/>
  <c r="AQ18" i="30"/>
  <c r="BC18" i="30" s="1"/>
  <c r="AV18" i="30"/>
  <c r="BH18" i="30" s="1"/>
  <c r="AZ18" i="30"/>
  <c r="BL18" i="30" s="1"/>
  <c r="AS19" i="30"/>
  <c r="BE19" i="30" s="1"/>
  <c r="AW19" i="30"/>
  <c r="BI19" i="30" s="1"/>
  <c r="AT4" i="30"/>
  <c r="BF4" i="30" s="1"/>
  <c r="AW9" i="30"/>
  <c r="BI9" i="30" s="1"/>
  <c r="AQ5" i="30"/>
  <c r="BC5" i="30" s="1"/>
  <c r="AY5" i="30"/>
  <c r="BK5" i="30" s="1"/>
  <c r="AR20" i="30"/>
  <c r="BD20" i="30" s="1"/>
  <c r="AW20" i="30"/>
  <c r="BI20" i="30" s="1"/>
  <c r="AQ11" i="30"/>
  <c r="BC11" i="30" s="1"/>
  <c r="AT15" i="30"/>
  <c r="BF15" i="30" s="1"/>
  <c r="AY15" i="30"/>
  <c r="BK15" i="30" s="1"/>
  <c r="AW6" i="30"/>
  <c r="BI6" i="30" s="1"/>
  <c r="AY16" i="30"/>
  <c r="BK16" i="30" s="1"/>
  <c r="AX19" i="30"/>
  <c r="BJ19" i="30" s="1"/>
  <c r="AS20" i="30"/>
  <c r="BE20" i="30" s="1"/>
  <c r="AS22" i="30"/>
  <c r="BE22" i="30" s="1"/>
  <c r="AY10" i="5"/>
  <c r="BL10" i="5" s="1"/>
  <c r="AV15" i="5"/>
  <c r="BI15" i="5" s="1"/>
  <c r="AZ15" i="5"/>
  <c r="BM15" i="5" s="1"/>
  <c r="AT16" i="5"/>
  <c r="BG16" i="5" s="1"/>
  <c r="AX16" i="5"/>
  <c r="BK16" i="5" s="1"/>
  <c r="BB16" i="5"/>
  <c r="BO16" i="5" s="1"/>
  <c r="AV17" i="5"/>
  <c r="BI17" i="5" s="1"/>
  <c r="AZ17" i="5"/>
  <c r="BM17" i="5" s="1"/>
  <c r="AT18" i="5"/>
  <c r="BG18" i="5" s="1"/>
  <c r="AX18" i="5"/>
  <c r="BK18" i="5" s="1"/>
  <c r="BB18" i="5"/>
  <c r="BO18" i="5" s="1"/>
  <c r="AV19" i="5"/>
  <c r="BI19" i="5" s="1"/>
  <c r="AZ19" i="5"/>
  <c r="BM19" i="5" s="1"/>
  <c r="AT20" i="5"/>
  <c r="BG20" i="5" s="1"/>
  <c r="AX20" i="5"/>
  <c r="BK20" i="5" s="1"/>
  <c r="BB20" i="5"/>
  <c r="BO20" i="5" s="1"/>
  <c r="C15" i="18"/>
  <c r="C16" i="18" s="1"/>
  <c r="C17" i="18" s="1"/>
  <c r="C18" i="18" s="1"/>
  <c r="C19" i="18" s="1"/>
  <c r="C20" i="18" s="1"/>
  <c r="C21" i="18" s="1"/>
  <c r="C22" i="18" s="1"/>
  <c r="C15" i="21"/>
  <c r="D14" i="21"/>
  <c r="E14" i="21" s="1"/>
  <c r="F14" i="21" s="1"/>
  <c r="G14" i="21" s="1"/>
  <c r="H14" i="21" s="1"/>
  <c r="I14" i="21" s="1"/>
  <c r="J14" i="21" s="1"/>
  <c r="K14" i="21" s="1"/>
  <c r="L14" i="21" s="1"/>
  <c r="M14" i="21" s="1"/>
  <c r="N14" i="21" s="1"/>
  <c r="O14" i="21" s="1"/>
  <c r="A21" i="23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C15" i="23"/>
  <c r="A21" i="24"/>
  <c r="A22" i="24" s="1"/>
  <c r="C16" i="24"/>
  <c r="AY13" i="30"/>
  <c r="BK13" i="30" s="1"/>
  <c r="AU21" i="30"/>
  <c r="BG21" i="30" s="1"/>
  <c r="AR7" i="30"/>
  <c r="BD7" i="30" s="1"/>
  <c r="AV7" i="30"/>
  <c r="BH7" i="30" s="1"/>
  <c r="AZ7" i="30"/>
  <c r="BL7" i="30" s="1"/>
  <c r="AQ8" i="30"/>
  <c r="BC8" i="30" s="1"/>
  <c r="AY8" i="30"/>
  <c r="BK8" i="30" s="1"/>
  <c r="AT9" i="30"/>
  <c r="BF9" i="30" s="1"/>
  <c r="AX9" i="30"/>
  <c r="BJ9" i="30" s="1"/>
  <c r="AR10" i="30"/>
  <c r="BD10" i="30" s="1"/>
  <c r="AV10" i="30"/>
  <c r="BH10" i="30" s="1"/>
  <c r="AZ10" i="30"/>
  <c r="BL10" i="30" s="1"/>
  <c r="AS12" i="30"/>
  <c r="BE12" i="30" s="1"/>
  <c r="AX13" i="30"/>
  <c r="BJ13" i="30" s="1"/>
  <c r="AQ12" i="30"/>
  <c r="BC12" i="30" s="1"/>
  <c r="AQ14" i="30"/>
  <c r="BC14" i="30" s="1"/>
  <c r="AX14" i="30"/>
  <c r="BJ14" i="30" s="1"/>
  <c r="AQ13" i="30"/>
  <c r="BC13" i="30" s="1"/>
  <c r="AZ13" i="30"/>
  <c r="BL13" i="30" s="1"/>
  <c r="AQ21" i="30"/>
  <c r="BC21" i="30" s="1"/>
  <c r="AW21" i="30"/>
  <c r="BI21" i="30" s="1"/>
  <c r="AZ7" i="5"/>
  <c r="BM7" i="5" s="1"/>
  <c r="AY8" i="5"/>
  <c r="BL8" i="5" s="1"/>
  <c r="AW9" i="5"/>
  <c r="BJ9" i="5" s="1"/>
  <c r="BA10" i="5"/>
  <c r="BN10" i="5" s="1"/>
  <c r="AY12" i="5"/>
  <c r="BL12" i="5" s="1"/>
  <c r="AW13" i="5"/>
  <c r="BJ13" i="5" s="1"/>
  <c r="BA14" i="5"/>
  <c r="BN14" i="5" s="1"/>
  <c r="AS21" i="5"/>
  <c r="BF21" i="5" s="1"/>
  <c r="AZ14" i="30"/>
  <c r="BL14" i="30" s="1"/>
  <c r="AS7" i="30"/>
  <c r="BE7" i="30" s="1"/>
  <c r="AW7" i="30"/>
  <c r="BI7" i="30" s="1"/>
  <c r="AR8" i="30"/>
  <c r="BD8" i="30" s="1"/>
  <c r="AZ8" i="30"/>
  <c r="BL8" i="30" s="1"/>
  <c r="AQ9" i="30"/>
  <c r="BC9" i="30" s="1"/>
  <c r="AU9" i="30"/>
  <c r="BG9" i="30" s="1"/>
  <c r="AY9" i="30"/>
  <c r="BK9" i="30" s="1"/>
  <c r="AS10" i="30"/>
  <c r="BE10" i="30" s="1"/>
  <c r="AW10" i="30"/>
  <c r="BI10" i="30" s="1"/>
  <c r="AV12" i="30"/>
  <c r="BH12" i="30" s="1"/>
  <c r="AS13" i="30"/>
  <c r="BE13" i="30" s="1"/>
  <c r="AT12" i="30"/>
  <c r="BF12" i="30" s="1"/>
  <c r="AS14" i="30"/>
  <c r="BE14" i="30" s="1"/>
  <c r="AS8" i="30"/>
  <c r="BE8" i="30" s="1"/>
  <c r="AR13" i="30"/>
  <c r="BD13" i="30" s="1"/>
  <c r="AS21" i="30"/>
  <c r="BE21" i="30" s="1"/>
  <c r="AX21" i="30"/>
  <c r="BJ21" i="30" s="1"/>
  <c r="AS7" i="5"/>
  <c r="BF7" i="5" s="1"/>
  <c r="BA7" i="5"/>
  <c r="BN7" i="5" s="1"/>
  <c r="AT8" i="5"/>
  <c r="BG8" i="5" s="1"/>
  <c r="BB8" i="5"/>
  <c r="BO8" i="5" s="1"/>
  <c r="AZ9" i="5"/>
  <c r="BM9" i="5" s="1"/>
  <c r="AZ12" i="5"/>
  <c r="BM12" i="5" s="1"/>
  <c r="AX13" i="5"/>
  <c r="BK13" i="5" s="1"/>
  <c r="AW21" i="5"/>
  <c r="BJ21" i="5" s="1"/>
  <c r="AW8" i="30"/>
  <c r="BI8" i="30" s="1"/>
  <c r="AT7" i="30"/>
  <c r="BF7" i="30" s="1"/>
  <c r="AX7" i="30"/>
  <c r="BJ7" i="30" s="1"/>
  <c r="AU8" i="30"/>
  <c r="BG8" i="30" s="1"/>
  <c r="AR9" i="30"/>
  <c r="BD9" i="30" s="1"/>
  <c r="AV9" i="30"/>
  <c r="BH9" i="30" s="1"/>
  <c r="AZ9" i="30"/>
  <c r="BL9" i="30" s="1"/>
  <c r="AT10" i="30"/>
  <c r="BF10" i="30" s="1"/>
  <c r="AX10" i="30"/>
  <c r="BJ10" i="30" s="1"/>
  <c r="AW12" i="30"/>
  <c r="BI12" i="30" s="1"/>
  <c r="AT13" i="30"/>
  <c r="BF13" i="30" s="1"/>
  <c r="AU12" i="30"/>
  <c r="BG12" i="30" s="1"/>
  <c r="AU14" i="30"/>
  <c r="BG14" i="30" s="1"/>
  <c r="AT8" i="30"/>
  <c r="BF8" i="30" s="1"/>
  <c r="AU13" i="30"/>
  <c r="BG13" i="30" s="1"/>
  <c r="AV14" i="30"/>
  <c r="BH14" i="30" s="1"/>
  <c r="AT21" i="30"/>
  <c r="BF21" i="30" s="1"/>
  <c r="AV7" i="5"/>
  <c r="BI7" i="5" s="1"/>
  <c r="AU8" i="5"/>
  <c r="BH8" i="5" s="1"/>
  <c r="BC8" i="5"/>
  <c r="BP8" i="5" s="1"/>
  <c r="AS9" i="5"/>
  <c r="BF9" i="5" s="1"/>
  <c r="BA9" i="5"/>
  <c r="BN9" i="5" s="1"/>
  <c r="AU10" i="5"/>
  <c r="BH10" i="5" s="1"/>
  <c r="AU12" i="5"/>
  <c r="BH12" i="5" s="1"/>
  <c r="BC12" i="5"/>
  <c r="BP12" i="5" s="1"/>
  <c r="AS13" i="5"/>
  <c r="BF13" i="5" s="1"/>
  <c r="BA13" i="5"/>
  <c r="BN13" i="5" s="1"/>
  <c r="BA21" i="5"/>
  <c r="BN21" i="5" s="1"/>
  <c r="AW14" i="5"/>
  <c r="BJ14" i="5" s="1"/>
  <c r="BB14" i="5"/>
  <c r="BO14" i="5" s="1"/>
  <c r="AU14" i="5"/>
  <c r="BH14" i="5" s="1"/>
  <c r="AT21" i="5"/>
  <c r="BG21" i="5" s="1"/>
  <c r="AX21" i="5"/>
  <c r="BK21" i="5" s="1"/>
  <c r="BB21" i="5"/>
  <c r="BO21" i="5" s="1"/>
  <c r="BB10" i="5"/>
  <c r="BO10" i="5" s="1"/>
  <c r="AU22" i="5"/>
  <c r="BH22" i="5" s="1"/>
  <c r="AT7" i="5"/>
  <c r="BG7" i="5" s="1"/>
  <c r="AX7" i="5"/>
  <c r="BK7" i="5" s="1"/>
  <c r="BB7" i="5"/>
  <c r="BO7" i="5" s="1"/>
  <c r="AV8" i="5"/>
  <c r="BI8" i="5" s="1"/>
  <c r="AZ8" i="5"/>
  <c r="BM8" i="5" s="1"/>
  <c r="AT9" i="5"/>
  <c r="BG9" i="5" s="1"/>
  <c r="AX9" i="5"/>
  <c r="BK9" i="5" s="1"/>
  <c r="BB9" i="5"/>
  <c r="BO9" i="5" s="1"/>
  <c r="AW10" i="5"/>
  <c r="BJ10" i="5" s="1"/>
  <c r="AS12" i="5"/>
  <c r="BF12" i="5" s="1"/>
  <c r="AW12" i="5"/>
  <c r="BJ12" i="5" s="1"/>
  <c r="BA12" i="5"/>
  <c r="BN12" i="5" s="1"/>
  <c r="AU13" i="5"/>
  <c r="BH13" i="5" s="1"/>
  <c r="AY13" i="5"/>
  <c r="BL13" i="5" s="1"/>
  <c r="BC13" i="5"/>
  <c r="BP13" i="5" s="1"/>
  <c r="AS14" i="5"/>
  <c r="BF14" i="5" s="1"/>
  <c r="AX14" i="5"/>
  <c r="BK14" i="5" s="1"/>
  <c r="AY14" i="5"/>
  <c r="BL14" i="5" s="1"/>
  <c r="AU21" i="5"/>
  <c r="BH21" i="5" s="1"/>
  <c r="AY21" i="5"/>
  <c r="BL21" i="5" s="1"/>
  <c r="BC21" i="5"/>
  <c r="BP21" i="5" s="1"/>
  <c r="AT10" i="5"/>
  <c r="BG10" i="5" s="1"/>
  <c r="BC10" i="5"/>
  <c r="BP10" i="5" s="1"/>
  <c r="AV22" i="5"/>
  <c r="BI22" i="5" s="1"/>
  <c r="AX12" i="30"/>
  <c r="BJ12" i="30" s="1"/>
  <c r="AT14" i="30"/>
  <c r="BF14" i="30" s="1"/>
  <c r="AY14" i="30"/>
  <c r="BK14" i="30" s="1"/>
  <c r="AX8" i="30"/>
  <c r="BJ8" i="30" s="1"/>
  <c r="AV13" i="30"/>
  <c r="BH13" i="30" s="1"/>
  <c r="AR14" i="30"/>
  <c r="BD14" i="30" s="1"/>
  <c r="AR21" i="30"/>
  <c r="BD21" i="30" s="1"/>
  <c r="AV21" i="30"/>
  <c r="BH21" i="30" s="1"/>
  <c r="AZ21" i="30"/>
  <c r="BL21" i="30" s="1"/>
  <c r="AQ22" i="30"/>
  <c r="BC22" i="30" s="1"/>
  <c r="AU7" i="5"/>
  <c r="BH7" i="5" s="1"/>
  <c r="AY7" i="5"/>
  <c r="BL7" i="5" s="1"/>
  <c r="BC7" i="5"/>
  <c r="BP7" i="5" s="1"/>
  <c r="AS8" i="5"/>
  <c r="BF8" i="5" s="1"/>
  <c r="AW8" i="5"/>
  <c r="BJ8" i="5" s="1"/>
  <c r="BA8" i="5"/>
  <c r="BN8" i="5" s="1"/>
  <c r="AU9" i="5"/>
  <c r="BH9" i="5" s="1"/>
  <c r="AY9" i="5"/>
  <c r="BL9" i="5" s="1"/>
  <c r="BC9" i="5"/>
  <c r="BP9" i="5" s="1"/>
  <c r="AS10" i="5"/>
  <c r="BF10" i="5" s="1"/>
  <c r="AZ10" i="5"/>
  <c r="BM10" i="5" s="1"/>
  <c r="AT12" i="5"/>
  <c r="BG12" i="5" s="1"/>
  <c r="AX12" i="5"/>
  <c r="BK12" i="5" s="1"/>
  <c r="BB12" i="5"/>
  <c r="BO12" i="5" s="1"/>
  <c r="AV13" i="5"/>
  <c r="BI13" i="5" s="1"/>
  <c r="AZ13" i="5"/>
  <c r="BM13" i="5" s="1"/>
  <c r="AT14" i="5"/>
  <c r="BG14" i="5" s="1"/>
  <c r="AZ14" i="5"/>
  <c r="BM14" i="5" s="1"/>
  <c r="BC14" i="5"/>
  <c r="BP14" i="5" s="1"/>
  <c r="AV21" i="5"/>
  <c r="BI21" i="5" s="1"/>
  <c r="AZ21" i="5"/>
  <c r="BM21" i="5" s="1"/>
  <c r="AX10" i="5"/>
  <c r="BK10" i="5" s="1"/>
  <c r="AS22" i="5"/>
  <c r="BF22" i="5" s="1"/>
  <c r="AW22" i="5"/>
  <c r="BJ22" i="5" s="1"/>
  <c r="C27" i="18"/>
  <c r="A27" i="18"/>
  <c r="C28" i="18"/>
  <c r="A28" i="18"/>
  <c r="O33" i="18"/>
  <c r="K33" i="18"/>
  <c r="G33" i="18"/>
  <c r="N33" i="18"/>
  <c r="I33" i="18"/>
  <c r="D33" i="18"/>
  <c r="L33" i="18"/>
  <c r="F33" i="18"/>
  <c r="J33" i="18"/>
  <c r="E33" i="18"/>
  <c r="R34" i="21"/>
  <c r="D3" i="25"/>
  <c r="R34" i="22"/>
  <c r="H3" i="25"/>
  <c r="L3" i="25"/>
  <c r="E4" i="25"/>
  <c r="I4" i="25"/>
  <c r="M4" i="25"/>
  <c r="F5" i="25"/>
  <c r="G6" i="25"/>
  <c r="K6" i="25"/>
  <c r="D7" i="25"/>
  <c r="H7" i="25"/>
  <c r="L7" i="25"/>
  <c r="E8" i="25"/>
  <c r="I8" i="25"/>
  <c r="M8" i="25"/>
  <c r="F9" i="25"/>
  <c r="G10" i="25"/>
  <c r="K10" i="25"/>
  <c r="D11" i="25"/>
  <c r="H11" i="25"/>
  <c r="L11" i="25"/>
  <c r="E12" i="25"/>
  <c r="I12" i="25"/>
  <c r="M12" i="25"/>
  <c r="I13" i="25"/>
  <c r="M13" i="25"/>
  <c r="E14" i="25"/>
  <c r="M14" i="25"/>
  <c r="E15" i="25"/>
  <c r="I15" i="25"/>
  <c r="E16" i="25"/>
  <c r="I16" i="25"/>
  <c r="M16" i="25"/>
  <c r="I17" i="25"/>
  <c r="M17" i="25"/>
  <c r="E18" i="25"/>
  <c r="M18" i="25"/>
  <c r="E19" i="25"/>
  <c r="I19" i="25"/>
  <c r="E20" i="25"/>
  <c r="I20" i="25"/>
  <c r="M20" i="25"/>
  <c r="I21" i="25"/>
  <c r="M21" i="25"/>
  <c r="C29" i="18"/>
  <c r="A29" i="18"/>
  <c r="C26" i="18"/>
  <c r="A26" i="18"/>
  <c r="C30" i="18"/>
  <c r="A30" i="18"/>
  <c r="M33" i="18"/>
  <c r="Q34" i="22"/>
  <c r="U34" i="22"/>
  <c r="S34" i="22"/>
  <c r="S34" i="23"/>
  <c r="AA34" i="23"/>
  <c r="L31" i="18"/>
  <c r="H31" i="18"/>
  <c r="D31" i="18"/>
  <c r="I31" i="18"/>
  <c r="N31" i="18"/>
  <c r="M32" i="18"/>
  <c r="I32" i="18"/>
  <c r="E32" i="18"/>
  <c r="H32" i="18"/>
  <c r="N32" i="18"/>
  <c r="Q34" i="21"/>
  <c r="U34" i="21"/>
  <c r="T34" i="22"/>
  <c r="C24" i="18"/>
  <c r="E31" i="18"/>
  <c r="J31" i="18"/>
  <c r="O31" i="18"/>
  <c r="D32" i="18"/>
  <c r="J32" i="18"/>
  <c r="O32" i="18"/>
  <c r="F3" i="25"/>
  <c r="S34" i="32"/>
  <c r="Q34" i="35"/>
  <c r="U34" i="35"/>
  <c r="Y34" i="35"/>
  <c r="Z34" i="35"/>
  <c r="G31" i="18"/>
  <c r="M31" i="18"/>
  <c r="G32" i="18"/>
  <c r="L32" i="18"/>
  <c r="G4" i="25"/>
  <c r="T34" i="24"/>
  <c r="X34" i="24"/>
  <c r="S34" i="35"/>
  <c r="W34" i="35"/>
  <c r="C22" i="26" l="1"/>
  <c r="D22" i="26" s="1"/>
  <c r="D15" i="32"/>
  <c r="E15" i="32" s="1"/>
  <c r="F15" i="32" s="1"/>
  <c r="G15" i="32" s="1"/>
  <c r="H15" i="32" s="1"/>
  <c r="I15" i="32" s="1"/>
  <c r="J15" i="32" s="1"/>
  <c r="K15" i="32" s="1"/>
  <c r="L15" i="32" s="1"/>
  <c r="M15" i="32" s="1"/>
  <c r="C16" i="16"/>
  <c r="D16" i="16" s="1"/>
  <c r="E16" i="16" s="1"/>
  <c r="F16" i="16" s="1"/>
  <c r="G16" i="16" s="1"/>
  <c r="H16" i="16" s="1"/>
  <c r="I16" i="16" s="1"/>
  <c r="J16" i="16" s="1"/>
  <c r="K16" i="16" s="1"/>
  <c r="L16" i="16" s="1"/>
  <c r="M16" i="16" s="1"/>
  <c r="A2" i="24"/>
  <c r="C16" i="23"/>
  <c r="D15" i="23"/>
  <c r="E15" i="23" s="1"/>
  <c r="F15" i="23" s="1"/>
  <c r="G15" i="23" s="1"/>
  <c r="H15" i="23" s="1"/>
  <c r="I15" i="23" s="1"/>
  <c r="J15" i="23" s="1"/>
  <c r="K15" i="23" s="1"/>
  <c r="L15" i="23" s="1"/>
  <c r="M15" i="23" s="1"/>
  <c r="N15" i="23" s="1"/>
  <c r="O15" i="23" s="1"/>
  <c r="D16" i="24"/>
  <c r="E16" i="24" s="1"/>
  <c r="F16" i="24" s="1"/>
  <c r="G16" i="24" s="1"/>
  <c r="H16" i="24" s="1"/>
  <c r="I16" i="24" s="1"/>
  <c r="J16" i="24" s="1"/>
  <c r="K16" i="24" s="1"/>
  <c r="L16" i="24" s="1"/>
  <c r="M16" i="24" s="1"/>
  <c r="N16" i="24" s="1"/>
  <c r="O16" i="24" s="1"/>
  <c r="C17" i="24"/>
  <c r="A22" i="23"/>
  <c r="A2" i="23" s="1"/>
  <c r="C18" i="32"/>
  <c r="D23" i="26"/>
  <c r="E22" i="26"/>
  <c r="F22" i="26" s="1"/>
  <c r="G22" i="26" s="1"/>
  <c r="H22" i="26" s="1"/>
  <c r="I22" i="26" s="1"/>
  <c r="J22" i="26" s="1"/>
  <c r="K22" i="26" s="1"/>
  <c r="L22" i="26" s="1"/>
  <c r="M22" i="26" s="1"/>
  <c r="N22" i="26" s="1"/>
  <c r="O22" i="26" s="1"/>
  <c r="A2" i="18"/>
  <c r="D16" i="32"/>
  <c r="E16" i="32" s="1"/>
  <c r="F16" i="32" s="1"/>
  <c r="G16" i="32" s="1"/>
  <c r="H16" i="32" s="1"/>
  <c r="I16" i="32" s="1"/>
  <c r="J16" i="32" s="1"/>
  <c r="K16" i="32" s="1"/>
  <c r="L16" i="32" s="1"/>
  <c r="M16" i="32" s="1"/>
  <c r="C16" i="21"/>
  <c r="D15" i="21"/>
  <c r="E15" i="21" s="1"/>
  <c r="F15" i="21" s="1"/>
  <c r="G15" i="21" s="1"/>
  <c r="H15" i="21" s="1"/>
  <c r="I15" i="21" s="1"/>
  <c r="J15" i="21" s="1"/>
  <c r="K15" i="21" s="1"/>
  <c r="L15" i="21" s="1"/>
  <c r="M15" i="21" s="1"/>
  <c r="N15" i="21" s="1"/>
  <c r="O15" i="21" s="1"/>
  <c r="A22" i="22"/>
  <c r="A2" i="22" s="1"/>
  <c r="C16" i="22"/>
  <c r="O29" i="18"/>
  <c r="K29" i="18"/>
  <c r="G29" i="18"/>
  <c r="M29" i="18"/>
  <c r="I29" i="18"/>
  <c r="E29" i="18"/>
  <c r="L29" i="18"/>
  <c r="H29" i="18"/>
  <c r="D29" i="18"/>
  <c r="F29" i="18"/>
  <c r="N29" i="18"/>
  <c r="J29" i="18"/>
  <c r="O28" i="18"/>
  <c r="K28" i="18"/>
  <c r="G28" i="18"/>
  <c r="M28" i="18"/>
  <c r="I28" i="18"/>
  <c r="E28" i="18"/>
  <c r="L28" i="18"/>
  <c r="H28" i="18"/>
  <c r="D28" i="18"/>
  <c r="J28" i="18"/>
  <c r="F28" i="18"/>
  <c r="N28" i="18"/>
  <c r="L30" i="18"/>
  <c r="H30" i="18"/>
  <c r="D30" i="18"/>
  <c r="N30" i="18"/>
  <c r="I30" i="18"/>
  <c r="K30" i="18"/>
  <c r="F30" i="18"/>
  <c r="O30" i="18"/>
  <c r="J30" i="18"/>
  <c r="E30" i="18"/>
  <c r="M30" i="18"/>
  <c r="G30" i="18"/>
  <c r="O26" i="18"/>
  <c r="K26" i="18"/>
  <c r="G26" i="18"/>
  <c r="M26" i="18"/>
  <c r="I26" i="18"/>
  <c r="E26" i="18"/>
  <c r="L26" i="18"/>
  <c r="H26" i="18"/>
  <c r="D26" i="18"/>
  <c r="N26" i="18"/>
  <c r="J26" i="18"/>
  <c r="F26" i="18"/>
  <c r="O27" i="18"/>
  <c r="K27" i="18"/>
  <c r="G27" i="18"/>
  <c r="M27" i="18"/>
  <c r="I27" i="18"/>
  <c r="E27" i="18"/>
  <c r="L27" i="18"/>
  <c r="H27" i="18"/>
  <c r="D27" i="18"/>
  <c r="N27" i="18"/>
  <c r="J27" i="18"/>
  <c r="F27" i="18"/>
  <c r="C17" i="16" l="1"/>
  <c r="D17" i="16" s="1"/>
  <c r="E17" i="16" s="1"/>
  <c r="F17" i="16" s="1"/>
  <c r="G17" i="16" s="1"/>
  <c r="H17" i="16" s="1"/>
  <c r="I17" i="16" s="1"/>
  <c r="J17" i="16" s="1"/>
  <c r="K17" i="16" s="1"/>
  <c r="L17" i="16" s="1"/>
  <c r="M17" i="16" s="1"/>
  <c r="C17" i="22"/>
  <c r="D16" i="22"/>
  <c r="E16" i="22" s="1"/>
  <c r="F16" i="22" s="1"/>
  <c r="G16" i="22" s="1"/>
  <c r="H16" i="22" s="1"/>
  <c r="I16" i="22" s="1"/>
  <c r="J16" i="22" s="1"/>
  <c r="K16" i="22" s="1"/>
  <c r="L16" i="22" s="1"/>
  <c r="M16" i="22" s="1"/>
  <c r="N16" i="22" s="1"/>
  <c r="O16" i="22" s="1"/>
  <c r="C17" i="21"/>
  <c r="D16" i="21"/>
  <c r="E16" i="21" s="1"/>
  <c r="F16" i="21" s="1"/>
  <c r="G16" i="21" s="1"/>
  <c r="H16" i="21" s="1"/>
  <c r="I16" i="21" s="1"/>
  <c r="J16" i="21" s="1"/>
  <c r="K16" i="21" s="1"/>
  <c r="L16" i="21" s="1"/>
  <c r="M16" i="21" s="1"/>
  <c r="N16" i="21" s="1"/>
  <c r="O16" i="21" s="1"/>
  <c r="E23" i="26"/>
  <c r="F23" i="26" s="1"/>
  <c r="G23" i="26" s="1"/>
  <c r="H23" i="26" s="1"/>
  <c r="I23" i="26" s="1"/>
  <c r="J23" i="26" s="1"/>
  <c r="K23" i="26" s="1"/>
  <c r="L23" i="26" s="1"/>
  <c r="M23" i="26" s="1"/>
  <c r="N23" i="26" s="1"/>
  <c r="O23" i="26" s="1"/>
  <c r="C17" i="23"/>
  <c r="D16" i="23"/>
  <c r="E16" i="23" s="1"/>
  <c r="F16" i="23" s="1"/>
  <c r="G16" i="23" s="1"/>
  <c r="H16" i="23" s="1"/>
  <c r="I16" i="23" s="1"/>
  <c r="J16" i="23" s="1"/>
  <c r="K16" i="23" s="1"/>
  <c r="L16" i="23" s="1"/>
  <c r="M16" i="23" s="1"/>
  <c r="N16" i="23" s="1"/>
  <c r="O16" i="23" s="1"/>
  <c r="C19" i="32"/>
  <c r="D17" i="24"/>
  <c r="E17" i="24" s="1"/>
  <c r="F17" i="24" s="1"/>
  <c r="G17" i="24" s="1"/>
  <c r="H17" i="24" s="1"/>
  <c r="I17" i="24" s="1"/>
  <c r="J17" i="24" s="1"/>
  <c r="K17" i="24" s="1"/>
  <c r="L17" i="24" s="1"/>
  <c r="M17" i="24" s="1"/>
  <c r="N17" i="24" s="1"/>
  <c r="O17" i="24" s="1"/>
  <c r="C18" i="24"/>
  <c r="D17" i="32"/>
  <c r="E17" i="32" s="1"/>
  <c r="F17" i="32" s="1"/>
  <c r="G17" i="32" s="1"/>
  <c r="H17" i="32" s="1"/>
  <c r="I17" i="32" s="1"/>
  <c r="J17" i="32" s="1"/>
  <c r="K17" i="32" s="1"/>
  <c r="L17" i="32" s="1"/>
  <c r="M17" i="32" s="1"/>
  <c r="C18" i="16" l="1"/>
  <c r="C19" i="16" s="1"/>
  <c r="D18" i="32"/>
  <c r="E18" i="32" s="1"/>
  <c r="F18" i="32" s="1"/>
  <c r="G18" i="32" s="1"/>
  <c r="H18" i="32" s="1"/>
  <c r="I18" i="32" s="1"/>
  <c r="J18" i="32" s="1"/>
  <c r="K18" i="32" s="1"/>
  <c r="L18" i="32" s="1"/>
  <c r="M18" i="32" s="1"/>
  <c r="C18" i="21"/>
  <c r="D17" i="21"/>
  <c r="E17" i="21" s="1"/>
  <c r="F17" i="21" s="1"/>
  <c r="G17" i="21" s="1"/>
  <c r="H17" i="21" s="1"/>
  <c r="I17" i="21" s="1"/>
  <c r="J17" i="21" s="1"/>
  <c r="K17" i="21" s="1"/>
  <c r="L17" i="21" s="1"/>
  <c r="M17" i="21" s="1"/>
  <c r="N17" i="21" s="1"/>
  <c r="O17" i="21" s="1"/>
  <c r="C18" i="23"/>
  <c r="D17" i="23"/>
  <c r="E17" i="23" s="1"/>
  <c r="F17" i="23" s="1"/>
  <c r="G17" i="23" s="1"/>
  <c r="H17" i="23" s="1"/>
  <c r="I17" i="23" s="1"/>
  <c r="J17" i="23" s="1"/>
  <c r="K17" i="23" s="1"/>
  <c r="L17" i="23" s="1"/>
  <c r="M17" i="23" s="1"/>
  <c r="N17" i="23" s="1"/>
  <c r="O17" i="23" s="1"/>
  <c r="C20" i="32"/>
  <c r="C18" i="22"/>
  <c r="D17" i="22"/>
  <c r="E17" i="22" s="1"/>
  <c r="F17" i="22" s="1"/>
  <c r="G17" i="22" s="1"/>
  <c r="H17" i="22" s="1"/>
  <c r="I17" i="22" s="1"/>
  <c r="J17" i="22" s="1"/>
  <c r="K17" i="22" s="1"/>
  <c r="L17" i="22" s="1"/>
  <c r="M17" i="22" s="1"/>
  <c r="N17" i="22" s="1"/>
  <c r="O17" i="22" s="1"/>
  <c r="C19" i="24"/>
  <c r="D18" i="24"/>
  <c r="E18" i="24" s="1"/>
  <c r="F18" i="24" s="1"/>
  <c r="G18" i="24" s="1"/>
  <c r="H18" i="24" s="1"/>
  <c r="I18" i="24" s="1"/>
  <c r="J18" i="24" s="1"/>
  <c r="K18" i="24" s="1"/>
  <c r="L18" i="24" s="1"/>
  <c r="M18" i="24" s="1"/>
  <c r="N18" i="24" s="1"/>
  <c r="O18" i="24" s="1"/>
  <c r="D18" i="16" l="1"/>
  <c r="E18" i="16" s="1"/>
  <c r="F18" i="16" s="1"/>
  <c r="G18" i="16" s="1"/>
  <c r="H18" i="16" s="1"/>
  <c r="I18" i="16" s="1"/>
  <c r="J18" i="16" s="1"/>
  <c r="K18" i="16" s="1"/>
  <c r="L18" i="16" s="1"/>
  <c r="M18" i="16" s="1"/>
  <c r="D19" i="24"/>
  <c r="E19" i="24" s="1"/>
  <c r="F19" i="24" s="1"/>
  <c r="G19" i="24" s="1"/>
  <c r="H19" i="24" s="1"/>
  <c r="I19" i="24" s="1"/>
  <c r="J19" i="24" s="1"/>
  <c r="K19" i="24" s="1"/>
  <c r="L19" i="24" s="1"/>
  <c r="M19" i="24" s="1"/>
  <c r="N19" i="24" s="1"/>
  <c r="O19" i="24" s="1"/>
  <c r="C20" i="24"/>
  <c r="D18" i="22"/>
  <c r="E18" i="22" s="1"/>
  <c r="F18" i="22" s="1"/>
  <c r="G18" i="22" s="1"/>
  <c r="H18" i="22" s="1"/>
  <c r="I18" i="22" s="1"/>
  <c r="J18" i="22" s="1"/>
  <c r="K18" i="22" s="1"/>
  <c r="L18" i="22" s="1"/>
  <c r="M18" i="22" s="1"/>
  <c r="N18" i="22" s="1"/>
  <c r="O18" i="22" s="1"/>
  <c r="C19" i="22"/>
  <c r="D18" i="23"/>
  <c r="E18" i="23" s="1"/>
  <c r="F18" i="23" s="1"/>
  <c r="G18" i="23" s="1"/>
  <c r="H18" i="23" s="1"/>
  <c r="I18" i="23" s="1"/>
  <c r="J18" i="23" s="1"/>
  <c r="K18" i="23" s="1"/>
  <c r="L18" i="23" s="1"/>
  <c r="M18" i="23" s="1"/>
  <c r="N18" i="23" s="1"/>
  <c r="O18" i="23" s="1"/>
  <c r="C19" i="23"/>
  <c r="C20" i="16"/>
  <c r="D19" i="16"/>
  <c r="E19" i="16" s="1"/>
  <c r="F19" i="16" s="1"/>
  <c r="G19" i="16" s="1"/>
  <c r="H19" i="16" s="1"/>
  <c r="I19" i="16" s="1"/>
  <c r="J19" i="16" s="1"/>
  <c r="K19" i="16" s="1"/>
  <c r="L19" i="16" s="1"/>
  <c r="M19" i="16" s="1"/>
  <c r="C21" i="32"/>
  <c r="D19" i="32"/>
  <c r="E19" i="32" s="1"/>
  <c r="F19" i="32" s="1"/>
  <c r="G19" i="32" s="1"/>
  <c r="H19" i="32" s="1"/>
  <c r="I19" i="32" s="1"/>
  <c r="J19" i="32" s="1"/>
  <c r="K19" i="32" s="1"/>
  <c r="L19" i="32" s="1"/>
  <c r="M19" i="32" s="1"/>
  <c r="C19" i="21"/>
  <c r="D18" i="21"/>
  <c r="E18" i="21" s="1"/>
  <c r="F18" i="21" s="1"/>
  <c r="G18" i="21" s="1"/>
  <c r="H18" i="21" s="1"/>
  <c r="I18" i="21" s="1"/>
  <c r="J18" i="21" s="1"/>
  <c r="K18" i="21" s="1"/>
  <c r="L18" i="21" s="1"/>
  <c r="M18" i="21" s="1"/>
  <c r="N18" i="21" s="1"/>
  <c r="O18" i="21" s="1"/>
  <c r="D20" i="32" l="1"/>
  <c r="E20" i="32" s="1"/>
  <c r="F20" i="32" s="1"/>
  <c r="G20" i="32" s="1"/>
  <c r="H20" i="32" s="1"/>
  <c r="I20" i="32" s="1"/>
  <c r="J20" i="32" s="1"/>
  <c r="K20" i="32" s="1"/>
  <c r="L20" i="32" s="1"/>
  <c r="M20" i="32" s="1"/>
  <c r="C20" i="21"/>
  <c r="D19" i="21"/>
  <c r="E19" i="21" s="1"/>
  <c r="F19" i="21" s="1"/>
  <c r="G19" i="21" s="1"/>
  <c r="H19" i="21" s="1"/>
  <c r="I19" i="21" s="1"/>
  <c r="J19" i="21" s="1"/>
  <c r="K19" i="21" s="1"/>
  <c r="L19" i="21" s="1"/>
  <c r="M19" i="21" s="1"/>
  <c r="N19" i="21" s="1"/>
  <c r="O19" i="21" s="1"/>
  <c r="D19" i="22"/>
  <c r="E19" i="22" s="1"/>
  <c r="F19" i="22" s="1"/>
  <c r="G19" i="22" s="1"/>
  <c r="H19" i="22" s="1"/>
  <c r="I19" i="22" s="1"/>
  <c r="J19" i="22" s="1"/>
  <c r="K19" i="22" s="1"/>
  <c r="L19" i="22" s="1"/>
  <c r="M19" i="22" s="1"/>
  <c r="N19" i="22" s="1"/>
  <c r="O19" i="22" s="1"/>
  <c r="C20" i="22"/>
  <c r="D20" i="16"/>
  <c r="E20" i="16" s="1"/>
  <c r="D21" i="32"/>
  <c r="E21" i="32" s="1"/>
  <c r="F21" i="32" s="1"/>
  <c r="G21" i="32" s="1"/>
  <c r="H21" i="32" s="1"/>
  <c r="I21" i="32" s="1"/>
  <c r="J21" i="32" s="1"/>
  <c r="K21" i="32" s="1"/>
  <c r="L21" i="32" s="1"/>
  <c r="M21" i="32" s="1"/>
  <c r="N21" i="32" s="1"/>
  <c r="O21" i="32" s="1"/>
  <c r="C22" i="32"/>
  <c r="D19" i="23"/>
  <c r="E19" i="23" s="1"/>
  <c r="F19" i="23" s="1"/>
  <c r="G19" i="23" s="1"/>
  <c r="H19" i="23" s="1"/>
  <c r="I19" i="23" s="1"/>
  <c r="J19" i="23" s="1"/>
  <c r="K19" i="23" s="1"/>
  <c r="L19" i="23" s="1"/>
  <c r="M19" i="23" s="1"/>
  <c r="N19" i="23" s="1"/>
  <c r="O19" i="23" s="1"/>
  <c r="C20" i="23"/>
  <c r="D20" i="24"/>
  <c r="E20" i="24" s="1"/>
  <c r="F20" i="24" s="1"/>
  <c r="G20" i="24" s="1"/>
  <c r="H20" i="24" s="1"/>
  <c r="I20" i="24" s="1"/>
  <c r="J20" i="24" s="1"/>
  <c r="K20" i="24" s="1"/>
  <c r="L20" i="24" s="1"/>
  <c r="M20" i="24" s="1"/>
  <c r="N20" i="24" s="1"/>
  <c r="O20" i="24" s="1"/>
  <c r="C21" i="24"/>
  <c r="D22" i="32" l="1"/>
  <c r="E22" i="32" s="1"/>
  <c r="F22" i="32" s="1"/>
  <c r="G22" i="32" s="1"/>
  <c r="H22" i="32" s="1"/>
  <c r="I22" i="32" s="1"/>
  <c r="J22" i="32" s="1"/>
  <c r="K22" i="32" s="1"/>
  <c r="L22" i="32" s="1"/>
  <c r="M22" i="32" s="1"/>
  <c r="N22" i="32" s="1"/>
  <c r="O22" i="32" s="1"/>
  <c r="D20" i="22"/>
  <c r="E20" i="22" s="1"/>
  <c r="F20" i="22" s="1"/>
  <c r="G20" i="22" s="1"/>
  <c r="H20" i="22" s="1"/>
  <c r="I20" i="22" s="1"/>
  <c r="J20" i="22" s="1"/>
  <c r="K20" i="22" s="1"/>
  <c r="L20" i="22" s="1"/>
  <c r="M20" i="22" s="1"/>
  <c r="N20" i="22" s="1"/>
  <c r="O20" i="22" s="1"/>
  <c r="C21" i="22"/>
  <c r="D21" i="24"/>
  <c r="E21" i="24" s="1"/>
  <c r="F21" i="24" s="1"/>
  <c r="G21" i="24" s="1"/>
  <c r="H21" i="24" s="1"/>
  <c r="I21" i="24" s="1"/>
  <c r="J21" i="24" s="1"/>
  <c r="K21" i="24" s="1"/>
  <c r="L21" i="24" s="1"/>
  <c r="M21" i="24" s="1"/>
  <c r="N21" i="24" s="1"/>
  <c r="O21" i="24" s="1"/>
  <c r="C22" i="24"/>
  <c r="D20" i="23"/>
  <c r="E20" i="23" s="1"/>
  <c r="F20" i="23" s="1"/>
  <c r="G20" i="23" s="1"/>
  <c r="H20" i="23" s="1"/>
  <c r="I20" i="23" s="1"/>
  <c r="J20" i="23" s="1"/>
  <c r="K20" i="23" s="1"/>
  <c r="L20" i="23" s="1"/>
  <c r="M20" i="23" s="1"/>
  <c r="N20" i="23" s="1"/>
  <c r="O20" i="23" s="1"/>
  <c r="C21" i="23"/>
  <c r="E21" i="16"/>
  <c r="F20" i="16"/>
  <c r="G20" i="16" s="1"/>
  <c r="H20" i="16" s="1"/>
  <c r="I20" i="16" s="1"/>
  <c r="J20" i="16" s="1"/>
  <c r="K20" i="16" s="1"/>
  <c r="L20" i="16" s="1"/>
  <c r="M20" i="16" s="1"/>
  <c r="C21" i="21"/>
  <c r="D20" i="21"/>
  <c r="E20" i="21" s="1"/>
  <c r="F20" i="21" s="1"/>
  <c r="G20" i="21" s="1"/>
  <c r="H20" i="21" s="1"/>
  <c r="I20" i="21" s="1"/>
  <c r="J20" i="21" s="1"/>
  <c r="K20" i="21" s="1"/>
  <c r="L20" i="21" s="1"/>
  <c r="M20" i="21" s="1"/>
  <c r="N20" i="21" s="1"/>
  <c r="O20" i="21" s="1"/>
  <c r="D22" i="24" l="1"/>
  <c r="D23" i="32"/>
  <c r="E23" i="32" s="1"/>
  <c r="F23" i="32" s="1"/>
  <c r="G23" i="32" s="1"/>
  <c r="H23" i="32" s="1"/>
  <c r="I23" i="32" s="1"/>
  <c r="J23" i="32" s="1"/>
  <c r="K23" i="32" s="1"/>
  <c r="L23" i="32" s="1"/>
  <c r="M23" i="32" s="1"/>
  <c r="N23" i="32" s="1"/>
  <c r="O23" i="32" s="1"/>
  <c r="C22" i="21"/>
  <c r="D21" i="21"/>
  <c r="E21" i="21" s="1"/>
  <c r="F21" i="21" s="1"/>
  <c r="G21" i="21" s="1"/>
  <c r="H21" i="21" s="1"/>
  <c r="I21" i="21" s="1"/>
  <c r="J21" i="21" s="1"/>
  <c r="K21" i="21" s="1"/>
  <c r="L21" i="21" s="1"/>
  <c r="M21" i="21" s="1"/>
  <c r="N21" i="21" s="1"/>
  <c r="O21" i="21" s="1"/>
  <c r="F21" i="16"/>
  <c r="G21" i="16" s="1"/>
  <c r="H21" i="16" s="1"/>
  <c r="I21" i="16" s="1"/>
  <c r="J21" i="16" s="1"/>
  <c r="K21" i="16" s="1"/>
  <c r="L21" i="16" s="1"/>
  <c r="M21" i="16" s="1"/>
  <c r="E22" i="16"/>
  <c r="D21" i="23"/>
  <c r="E21" i="23" s="1"/>
  <c r="F21" i="23" s="1"/>
  <c r="G21" i="23" s="1"/>
  <c r="H21" i="23" s="1"/>
  <c r="I21" i="23" s="1"/>
  <c r="J21" i="23" s="1"/>
  <c r="K21" i="23" s="1"/>
  <c r="L21" i="23" s="1"/>
  <c r="M21" i="23" s="1"/>
  <c r="N21" i="23" s="1"/>
  <c r="O21" i="23" s="1"/>
  <c r="C22" i="23"/>
  <c r="D22" i="23" s="1"/>
  <c r="D21" i="22"/>
  <c r="E21" i="22" s="1"/>
  <c r="F21" i="22" s="1"/>
  <c r="G21" i="22" s="1"/>
  <c r="H21" i="22" s="1"/>
  <c r="I21" i="22" s="1"/>
  <c r="J21" i="22" s="1"/>
  <c r="K21" i="22" s="1"/>
  <c r="L21" i="22" s="1"/>
  <c r="M21" i="22" s="1"/>
  <c r="N21" i="22" s="1"/>
  <c r="O21" i="22" s="1"/>
  <c r="C22" i="22"/>
  <c r="E22" i="24"/>
  <c r="F22" i="24" s="1"/>
  <c r="G22" i="24" s="1"/>
  <c r="H22" i="24" s="1"/>
  <c r="I22" i="24" s="1"/>
  <c r="J22" i="24" s="1"/>
  <c r="K22" i="24" s="1"/>
  <c r="L22" i="24" s="1"/>
  <c r="M22" i="24" s="1"/>
  <c r="N22" i="24" s="1"/>
  <c r="O22" i="24" s="1"/>
  <c r="D23" i="24"/>
  <c r="E23" i="24" l="1"/>
  <c r="F23" i="24" s="1"/>
  <c r="G23" i="24" s="1"/>
  <c r="H23" i="24" s="1"/>
  <c r="I23" i="24" s="1"/>
  <c r="J23" i="24" s="1"/>
  <c r="K23" i="24" s="1"/>
  <c r="L23" i="24" s="1"/>
  <c r="M23" i="24" s="1"/>
  <c r="N23" i="24" s="1"/>
  <c r="O23" i="24" s="1"/>
  <c r="E22" i="23"/>
  <c r="F22" i="23" s="1"/>
  <c r="G22" i="23" s="1"/>
  <c r="H22" i="23" s="1"/>
  <c r="I22" i="23" s="1"/>
  <c r="J22" i="23" s="1"/>
  <c r="K22" i="23" s="1"/>
  <c r="L22" i="23" s="1"/>
  <c r="M22" i="23" s="1"/>
  <c r="N22" i="23" s="1"/>
  <c r="O22" i="23" s="1"/>
  <c r="D23" i="23"/>
  <c r="D22" i="21"/>
  <c r="D22" i="22"/>
  <c r="E23" i="16"/>
  <c r="F22" i="16"/>
  <c r="G22" i="16" s="1"/>
  <c r="H22" i="16" s="1"/>
  <c r="I22" i="16" s="1"/>
  <c r="J22" i="16" s="1"/>
  <c r="K22" i="16" s="1"/>
  <c r="L22" i="16" s="1"/>
  <c r="M22" i="16" s="1"/>
  <c r="E23" i="23" l="1"/>
  <c r="F23" i="23" s="1"/>
  <c r="G23" i="23" s="1"/>
  <c r="H23" i="23" s="1"/>
  <c r="I23" i="23" s="1"/>
  <c r="J23" i="23" s="1"/>
  <c r="K23" i="23" s="1"/>
  <c r="L23" i="23" s="1"/>
  <c r="M23" i="23" s="1"/>
  <c r="N23" i="23" s="1"/>
  <c r="O23" i="23" s="1"/>
  <c r="D23" i="21"/>
  <c r="E22" i="21"/>
  <c r="F22" i="21" s="1"/>
  <c r="G22" i="21" s="1"/>
  <c r="H22" i="21" s="1"/>
  <c r="I22" i="21" s="1"/>
  <c r="J22" i="21" s="1"/>
  <c r="K22" i="21" s="1"/>
  <c r="L22" i="21" s="1"/>
  <c r="M22" i="21" s="1"/>
  <c r="N22" i="21" s="1"/>
  <c r="O22" i="21" s="1"/>
  <c r="F23" i="16"/>
  <c r="G23" i="16" s="1"/>
  <c r="H23" i="16" s="1"/>
  <c r="I23" i="16" s="1"/>
  <c r="J23" i="16" s="1"/>
  <c r="K23" i="16" s="1"/>
  <c r="L23" i="16" s="1"/>
  <c r="M23" i="16" s="1"/>
  <c r="E24" i="16"/>
  <c r="D23" i="22"/>
  <c r="E22" i="22"/>
  <c r="F22" i="22" s="1"/>
  <c r="G22" i="22" s="1"/>
  <c r="H22" i="22" s="1"/>
  <c r="I22" i="22" s="1"/>
  <c r="J22" i="22" s="1"/>
  <c r="K22" i="22" s="1"/>
  <c r="L22" i="22" s="1"/>
  <c r="M22" i="22" s="1"/>
  <c r="N22" i="22" s="1"/>
  <c r="O22" i="22" s="1"/>
  <c r="E25" i="16" l="1"/>
  <c r="F24" i="16"/>
  <c r="G24" i="16" s="1"/>
  <c r="H24" i="16" s="1"/>
  <c r="I24" i="16" s="1"/>
  <c r="J24" i="16" s="1"/>
  <c r="K24" i="16" s="1"/>
  <c r="L24" i="16" s="1"/>
  <c r="M24" i="16" s="1"/>
  <c r="E23" i="22"/>
  <c r="F23" i="22" s="1"/>
  <c r="G23" i="22" s="1"/>
  <c r="H23" i="22" s="1"/>
  <c r="I23" i="22" s="1"/>
  <c r="J23" i="22" s="1"/>
  <c r="K23" i="22" s="1"/>
  <c r="L23" i="22" s="1"/>
  <c r="M23" i="22" s="1"/>
  <c r="N23" i="22" s="1"/>
  <c r="O23" i="22" s="1"/>
  <c r="E23" i="21"/>
  <c r="F23" i="21" s="1"/>
  <c r="G23" i="21" s="1"/>
  <c r="H23" i="21" s="1"/>
  <c r="I23" i="21" s="1"/>
  <c r="J23" i="21" s="1"/>
  <c r="K23" i="21" s="1"/>
  <c r="L23" i="21" s="1"/>
  <c r="M23" i="21" s="1"/>
  <c r="N23" i="21" s="1"/>
  <c r="O23" i="21" s="1"/>
  <c r="F25" i="16" l="1"/>
  <c r="G25" i="16" s="1"/>
  <c r="H25" i="16" s="1"/>
  <c r="I25" i="16" s="1"/>
  <c r="J25" i="16" s="1"/>
  <c r="K25" i="16" s="1"/>
  <c r="L25" i="16" s="1"/>
  <c r="M25" i="16" s="1"/>
  <c r="E26" i="16"/>
  <c r="F26" i="16" l="1"/>
  <c r="G26" i="16" s="1"/>
  <c r="H26" i="16" s="1"/>
  <c r="I26" i="16" s="1"/>
  <c r="J26" i="16" s="1"/>
  <c r="K26" i="16" s="1"/>
  <c r="L26" i="16" s="1"/>
  <c r="M26" i="16" s="1"/>
  <c r="E27" i="16"/>
  <c r="F27" i="16" l="1"/>
  <c r="G27" i="16" s="1"/>
  <c r="H27" i="16" s="1"/>
  <c r="I27" i="16" s="1"/>
  <c r="J27" i="16" s="1"/>
  <c r="K27" i="16" s="1"/>
  <c r="L27" i="16" s="1"/>
  <c r="M27" i="16" s="1"/>
  <c r="E28" i="16"/>
  <c r="F28" i="16" l="1"/>
  <c r="G28" i="16" s="1"/>
  <c r="H28" i="16" s="1"/>
  <c r="I28" i="16" s="1"/>
  <c r="J28" i="16" s="1"/>
  <c r="K28" i="16" s="1"/>
  <c r="L28" i="16" s="1"/>
  <c r="M28" i="16" s="1"/>
  <c r="E29" i="16"/>
  <c r="F29" i="16" l="1"/>
  <c r="G29" i="16" s="1"/>
  <c r="H29" i="16" s="1"/>
  <c r="I29" i="16" s="1"/>
  <c r="J29" i="16" s="1"/>
  <c r="K29" i="16" s="1"/>
  <c r="L29" i="16" s="1"/>
  <c r="M29" i="16" s="1"/>
  <c r="E30" i="16"/>
  <c r="F30" i="16" l="1"/>
  <c r="G30" i="16" s="1"/>
  <c r="H30" i="16" s="1"/>
  <c r="I30" i="16" s="1"/>
  <c r="J30" i="16" s="1"/>
  <c r="K30" i="16" s="1"/>
  <c r="L30" i="16" s="1"/>
  <c r="M30" i="16" s="1"/>
  <c r="E31" i="16"/>
  <c r="F31" i="16" l="1"/>
  <c r="G31" i="16" s="1"/>
  <c r="H31" i="16" s="1"/>
  <c r="I31" i="16" s="1"/>
  <c r="J31" i="16" s="1"/>
  <c r="K31" i="16" s="1"/>
  <c r="L31" i="16" s="1"/>
  <c r="M31" i="16" s="1"/>
  <c r="E32" i="16"/>
  <c r="E33" i="16" l="1"/>
  <c r="F32" i="16"/>
  <c r="G32" i="16" s="1"/>
  <c r="H32" i="16" s="1"/>
  <c r="I32" i="16" s="1"/>
  <c r="J32" i="16" s="1"/>
  <c r="K32" i="16" s="1"/>
  <c r="L32" i="16" s="1"/>
  <c r="M32" i="16" s="1"/>
  <c r="F33" i="16" l="1"/>
  <c r="G33" i="16" s="1"/>
  <c r="H33" i="16" s="1"/>
  <c r="I33" i="16" s="1"/>
  <c r="J33" i="16" s="1"/>
  <c r="K33" i="16" s="1"/>
  <c r="L33" i="16" s="1"/>
  <c r="M33" i="16" s="1"/>
  <c r="AA34" i="22"/>
  <c r="M5" i="25"/>
  <c r="V34" i="22"/>
  <c r="I5" i="25"/>
  <c r="W34" i="22"/>
  <c r="H5" i="25"/>
  <c r="K5" i="25"/>
  <c r="Z34" i="21"/>
  <c r="J5" i="25"/>
  <c r="BC22" i="5"/>
  <c r="BP22" i="5" s="1"/>
  <c r="L5" i="25"/>
  <c r="V34" i="21"/>
  <c r="AU22" i="30"/>
  <c r="BG22" i="30" s="1"/>
  <c r="W34" i="21"/>
  <c r="Y34" i="21"/>
  <c r="AW22" i="30"/>
  <c r="BI22" i="30" s="1"/>
  <c r="AV22" i="30"/>
  <c r="BH22" i="30" s="1"/>
  <c r="X34" i="21"/>
  <c r="U34" i="32"/>
  <c r="AZ22" i="30"/>
  <c r="BL22" i="30" s="1"/>
  <c r="W34" i="32"/>
  <c r="AX22" i="30"/>
  <c r="BJ22" i="30" s="1"/>
  <c r="AY22" i="30"/>
  <c r="BK22" i="30" s="1"/>
  <c r="Y34" i="32"/>
  <c r="X34" i="32"/>
  <c r="AZ22" i="5"/>
  <c r="BM22" i="5" s="1"/>
  <c r="V34" i="32"/>
  <c r="AA34" i="21"/>
  <c r="AY22" i="5"/>
  <c r="BL22" i="5" s="1"/>
  <c r="BA22" i="5"/>
  <c r="BN22" i="5" s="1"/>
  <c r="AX22" i="5"/>
  <c r="BK22" i="5" s="1"/>
  <c r="Z34" i="32"/>
  <c r="BB22" i="5"/>
  <c r="BO22" i="5" s="1"/>
  <c r="Z34" i="22" l="1"/>
  <c r="X34" i="22"/>
  <c r="Y34" i="22"/>
</calcChain>
</file>

<file path=xl/sharedStrings.xml><?xml version="1.0" encoding="utf-8"?>
<sst xmlns="http://schemas.openxmlformats.org/spreadsheetml/2006/main" count="6097" uniqueCount="676">
  <si>
    <t>File Name</t>
  </si>
  <si>
    <t>Path</t>
  </si>
  <si>
    <t>Tab Name</t>
  </si>
  <si>
    <t>Cell1</t>
  </si>
  <si>
    <t>Cell2</t>
  </si>
  <si>
    <t>Cell3</t>
  </si>
  <si>
    <t>Cell4</t>
  </si>
  <si>
    <t>Cell5</t>
  </si>
  <si>
    <t>Cell6</t>
  </si>
  <si>
    <t>Cell7</t>
  </si>
  <si>
    <t>Cell8</t>
  </si>
  <si>
    <t>Cell9</t>
  </si>
  <si>
    <t>Cell10</t>
  </si>
  <si>
    <t>Cell11</t>
  </si>
  <si>
    <t>Cell12</t>
  </si>
  <si>
    <t>AM_WATER_STATE_MODEL_20150326_v6.3_10Yr - NJ</t>
  </si>
  <si>
    <t>Total_Reports</t>
  </si>
  <si>
    <t>B273</t>
  </si>
  <si>
    <t>C273</t>
  </si>
  <si>
    <t>D273</t>
  </si>
  <si>
    <t>E273</t>
  </si>
  <si>
    <t>F273</t>
  </si>
  <si>
    <t>G273</t>
  </si>
  <si>
    <t>H273</t>
  </si>
  <si>
    <t>I273</t>
  </si>
  <si>
    <t>J273</t>
  </si>
  <si>
    <t>K273</t>
  </si>
  <si>
    <t>L273</t>
  </si>
  <si>
    <t>G:\AW BUSINESS PLAN\2017-2021 BUSINESS PLAN\Out Year Model\2016.07.29 Submission</t>
  </si>
  <si>
    <t>Model name</t>
  </si>
  <si>
    <t>State name</t>
  </si>
  <si>
    <t>B76</t>
  </si>
  <si>
    <t>G76</t>
  </si>
  <si>
    <t>L76</t>
  </si>
  <si>
    <t>Q76</t>
  </si>
  <si>
    <t>V76</t>
  </si>
  <si>
    <t>AA76</t>
  </si>
  <si>
    <t>AF76</t>
  </si>
  <si>
    <t>AK76</t>
  </si>
  <si>
    <t>AP76</t>
  </si>
  <si>
    <t>AU76</t>
  </si>
  <si>
    <t>Rate Case 1</t>
  </si>
  <si>
    <t>Rate Case 2</t>
  </si>
  <si>
    <t>Rate Case 3</t>
  </si>
  <si>
    <t>Rate Case 4</t>
  </si>
  <si>
    <t>Rate Case 5</t>
  </si>
  <si>
    <t>Rate Case 6</t>
  </si>
  <si>
    <t>Rate Case 7</t>
  </si>
  <si>
    <t>Rate Case 8</t>
  </si>
  <si>
    <t>Rate Case 9</t>
  </si>
  <si>
    <t>Rate Case 10</t>
  </si>
  <si>
    <t>Growth_Inputs</t>
  </si>
  <si>
    <t>D17</t>
  </si>
  <si>
    <t>Exec_Summary</t>
  </si>
  <si>
    <t>D61</t>
  </si>
  <si>
    <t>D62</t>
  </si>
  <si>
    <t>E61</t>
  </si>
  <si>
    <t>E62</t>
  </si>
  <si>
    <t>C510</t>
  </si>
  <si>
    <t>MO</t>
  </si>
  <si>
    <t>Reg Inputs</t>
  </si>
  <si>
    <t>Growth_Reports</t>
  </si>
  <si>
    <t>Rate Base Growth (YoY)</t>
  </si>
  <si>
    <t>Rate Base Growth (Case over Case)</t>
  </si>
  <si>
    <t>Q14</t>
  </si>
  <si>
    <t>Q31</t>
  </si>
  <si>
    <t>Q32</t>
  </si>
  <si>
    <t>Q33</t>
  </si>
  <si>
    <t>Q36</t>
  </si>
  <si>
    <t>Q37</t>
  </si>
  <si>
    <t>Q38</t>
  </si>
  <si>
    <t>Q41</t>
  </si>
  <si>
    <t>Q45</t>
  </si>
  <si>
    <t>Q46</t>
  </si>
  <si>
    <t>Base_Reports</t>
  </si>
  <si>
    <t>E372</t>
  </si>
  <si>
    <t>D372</t>
  </si>
  <si>
    <t>F372</t>
  </si>
  <si>
    <t>G372</t>
  </si>
  <si>
    <t>H372</t>
  </si>
  <si>
    <t>I372</t>
  </si>
  <si>
    <t>J372</t>
  </si>
  <si>
    <t>K372</t>
  </si>
  <si>
    <t>L372</t>
  </si>
  <si>
    <t>M372</t>
  </si>
  <si>
    <t>NI - Growth</t>
  </si>
  <si>
    <t>C182</t>
  </si>
  <si>
    <t>D182</t>
  </si>
  <si>
    <t>E182</t>
  </si>
  <si>
    <t>F182</t>
  </si>
  <si>
    <t>G182</t>
  </si>
  <si>
    <t>H182</t>
  </si>
  <si>
    <t>I182</t>
  </si>
  <si>
    <t>J182</t>
  </si>
  <si>
    <t>K182</t>
  </si>
  <si>
    <t>L182</t>
  </si>
  <si>
    <t>M273</t>
  </si>
  <si>
    <t>D512</t>
  </si>
  <si>
    <t>E512</t>
  </si>
  <si>
    <t>F512</t>
  </si>
  <si>
    <t>G512</t>
  </si>
  <si>
    <t>H512</t>
  </si>
  <si>
    <t>I512</t>
  </si>
  <si>
    <t>J512</t>
  </si>
  <si>
    <t>K512</t>
  </si>
  <si>
    <t>L512</t>
  </si>
  <si>
    <t>Base_Inputs</t>
  </si>
  <si>
    <t>E262</t>
  </si>
  <si>
    <t>F262</t>
  </si>
  <si>
    <t>G262</t>
  </si>
  <si>
    <t>H262</t>
  </si>
  <si>
    <t>I262</t>
  </si>
  <si>
    <t>J262</t>
  </si>
  <si>
    <t>K262</t>
  </si>
  <si>
    <t>L262</t>
  </si>
  <si>
    <t>M262</t>
  </si>
  <si>
    <t>E386</t>
  </si>
  <si>
    <t>F386</t>
  </si>
  <si>
    <t>G386</t>
  </si>
  <si>
    <t>H386</t>
  </si>
  <si>
    <t>I386</t>
  </si>
  <si>
    <t>J386</t>
  </si>
  <si>
    <t>K386</t>
  </si>
  <si>
    <t>L386</t>
  </si>
  <si>
    <t>M386</t>
  </si>
  <si>
    <t>B306</t>
  </si>
  <si>
    <t>C306</t>
  </si>
  <si>
    <t>D306</t>
  </si>
  <si>
    <t>E306</t>
  </si>
  <si>
    <t>F306</t>
  </si>
  <si>
    <t>G306</t>
  </si>
  <si>
    <t>H306</t>
  </si>
  <si>
    <t>I306</t>
  </si>
  <si>
    <t>J306</t>
  </si>
  <si>
    <t>K306</t>
  </si>
  <si>
    <t>L306</t>
  </si>
  <si>
    <t>B309</t>
  </si>
  <si>
    <t>C309</t>
  </si>
  <si>
    <t>D309</t>
  </si>
  <si>
    <t>E309</t>
  </si>
  <si>
    <t>F309</t>
  </si>
  <si>
    <t>G309</t>
  </si>
  <si>
    <t>H309</t>
  </si>
  <si>
    <t>I309</t>
  </si>
  <si>
    <t>J309</t>
  </si>
  <si>
    <t>K309</t>
  </si>
  <si>
    <t>L309</t>
  </si>
  <si>
    <t>B313</t>
  </si>
  <si>
    <t>C313</t>
  </si>
  <si>
    <t>D313</t>
  </si>
  <si>
    <t>E313</t>
  </si>
  <si>
    <t>F313</t>
  </si>
  <si>
    <t>G313</t>
  </si>
  <si>
    <t>H313</t>
  </si>
  <si>
    <t>I313</t>
  </si>
  <si>
    <t>J313</t>
  </si>
  <si>
    <t>K313</t>
  </si>
  <si>
    <t>L313</t>
  </si>
  <si>
    <t>B312</t>
  </si>
  <si>
    <t>C312</t>
  </si>
  <si>
    <t>D312</t>
  </si>
  <si>
    <t>E312</t>
  </si>
  <si>
    <t>F312</t>
  </si>
  <si>
    <t>G312</t>
  </si>
  <si>
    <t>H312</t>
  </si>
  <si>
    <t>I312</t>
  </si>
  <si>
    <t>J312</t>
  </si>
  <si>
    <t>K312</t>
  </si>
  <si>
    <t>L312</t>
  </si>
  <si>
    <t>AJ278</t>
  </si>
  <si>
    <t>AJ279</t>
  </si>
  <si>
    <t>(=)'G:\AW BUSINESS PLAN\2017-2021 BUSINESS PLAN\Out Year Model\2016.07.29 Submission\[AM_WATER_STATE_MODEL_10Yr_2017-2026_IN.xlsm]Total_Reports'!L312</t>
  </si>
  <si>
    <t>(=)'G:\AW BUSINESS PLAN\2017-2021 BUSINESS PLAN\Out Year Model\2016.07.29 Submission\[AM_WATER_STATE_MODEL_10Yr_2017-2026_KY.xlsm]Total_Reports'!L312</t>
  </si>
  <si>
    <t>(=)'G:\AW BUSINESS PLAN\2017-2021 BUSINESS PLAN\Out Year Model\2016.07.29 Submission\[AM_WATER_STATE_MODEL_10Yr_2017-2026_MI.xlsm]Total_Reports'!L312</t>
  </si>
  <si>
    <t>(=)'G:\AW BUSINESS PLAN\2017-2021 BUSINESS PLAN\Out Year Model\2016.07.29 Submission\[AM_WATER_STATE_MODEL_10Yr_2017-2026_NJ.xlsm]Total_Reports'!L312</t>
  </si>
  <si>
    <t>(=)'G:\AW BUSINESS PLAN\2017-2021 BUSINESS PLAN\Out Year Model\2016.07.29 Submission\[AM_WATER_STATE_MODEL_10Yr_2017-2026_NY.xlsm]Total_Reports'!L312</t>
  </si>
  <si>
    <t>(=)'G:\AW BUSINESS PLAN\2017-2021 BUSINESS PLAN\Out Year Model\2016.07.29 Submission\[AM_WATER_STATE_MODEL_10Yr_2017-2026_TN.xlsm]Total_Reports'!L312</t>
  </si>
  <si>
    <t>(=)'G:\AW BUSINESS PLAN\2017-2021 BUSINESS PLAN\Out Year Model\2016.07.29 Submission\[AM_WATER_STATE_MODEL_10Yr_2017-2026_WV.xlsm]Total_Reports'!L312</t>
  </si>
  <si>
    <t>(=)'G:\AW BUSINESS PLAN\2017-2021 BUSINESS PLAN\Out Year Model\2016.07.29 Submission\[AM_WATER_STATE_MODEL_10Yr_2017-2026_BFW.xlsm]Total_Reports'!L312</t>
  </si>
  <si>
    <t>(=)'G:\AW BUSINESS PLAN\2017-2021 BUSINESS PLAN\Out Year Model\2016.07.29 Submission\[AM_WATER_STATE_MODEL_10Yr_2017-2026_MO.xlsm]Total_Reports'!L312</t>
  </si>
  <si>
    <t>(=)'G:\AW BUSINESS PLAN\2017-2021 BUSINESS PLAN\Out Year Model\2016.07.29 Submission\[AM_WATER_STATE_MODEL_10Yr_2017-2026_PA.xlsm]Total_Reports'!L312</t>
  </si>
  <si>
    <t>(=)'G:\AW BUSINESS PLAN\2017-2021 BUSINESS PLAN\Out Year Model\2016.07.29 Submission\[AM_WATER_STATE_MODEL_10Yr_2017-2026_VA.xlsm]Total_Reports'!</t>
  </si>
  <si>
    <t>(=)'G:\AW BUSINESS PLAN\2017-2021 BUSINESS PLAN\Out Year Model\2016.07.29 Submission\[AM_WATER_STATE_MODEL_10Yr_2017-2026_MD.xlsm]Total_Reports'!</t>
  </si>
  <si>
    <t>(=)'G:\AW BUSINESS PLAN\2017-2021 BUSINESS PLAN\Out Year Model\2016.07.29 Submission\[AM_WATER_STATE_MODEL_10Yr_2017-2026_CA.xlsm]Total_Reports'!</t>
  </si>
  <si>
    <t>(=)'G:\AW BUSINESS PLAN\2017-2021 BUSINESS PLAN\Out Year Model\2016.07.29 Submission\[AM_WATER_STATE_MODEL_10Yr_2017-2026_HI.xlsm]Total_Reports'!</t>
  </si>
  <si>
    <t>(=)'G:\AW BUSINESS PLAN\2017-2021 BUSINESS PLAN\Out Year Model\2016.07.29 Submission\[AM_WATER_STATE_MODEL_10Yr_2017-2026_IA_Reload_2.xlsm]Total_Reports'!</t>
  </si>
  <si>
    <t>(=)'G:\AW BUSINESS PLAN\2017-2021 BUSINESS PLAN\Out Year Model\2016.07.29 Submission\[Copy of AM_WATER_STATE_MODEL_10Yr_2017-2026_IL 8-1-16.xlsm]Total_Reports'!</t>
  </si>
  <si>
    <t>(=)'G:\AW BUSINESS PLAN\2017-2021 BUSINESS PLAN\Out Year Model\2016.07.29 Submission\[AM_WATER_STATE_MODEL_10Yr_2017-2026_LW_Reload.xlsm]Total_Reports'!</t>
  </si>
  <si>
    <t>(=)'G:\AW BUSINESS PLAN\2017-2021 BUSINESS PLAN\Out Year Model\2016.07.29 Submission\[AM_WATER_STATE_MODEL_10Yr_2017-2026_Liberty.xlsm]Total_Reports'!</t>
  </si>
  <si>
    <t>(=)'G:\AW BUSINESS PLAN\2017-2021 BUSINESS PLAN\Out Year Model\2016.07.29 Submission\[AM_WATER_STATE_MODEL_10Yr_2017-2026_ETS.xlsm]Total_Reports'!</t>
  </si>
  <si>
    <t>File path</t>
  </si>
  <si>
    <t>End of year 1 rate case</t>
  </si>
  <si>
    <t>cash check</t>
  </si>
  <si>
    <t>Balance sheet check</t>
  </si>
  <si>
    <t>MI</t>
  </si>
  <si>
    <t>IN</t>
  </si>
  <si>
    <t>IL</t>
  </si>
  <si>
    <t>ETS</t>
  </si>
  <si>
    <t>Liberty</t>
  </si>
  <si>
    <t>NJ</t>
  </si>
  <si>
    <t>NY</t>
  </si>
  <si>
    <t>KY</t>
  </si>
  <si>
    <t>TN</t>
  </si>
  <si>
    <t>WV</t>
  </si>
  <si>
    <t>BFW</t>
  </si>
  <si>
    <t>PA</t>
  </si>
  <si>
    <t>VA</t>
  </si>
  <si>
    <t>MD</t>
  </si>
  <si>
    <t>CA</t>
  </si>
  <si>
    <t>HI</t>
  </si>
  <si>
    <t>IA</t>
  </si>
  <si>
    <t>LW</t>
  </si>
  <si>
    <t>Positve reflects an increase in sent back version from latest version.</t>
  </si>
  <si>
    <t>Previous version</t>
  </si>
  <si>
    <t>Current version</t>
  </si>
  <si>
    <t>C532</t>
  </si>
  <si>
    <t>C335</t>
  </si>
  <si>
    <t>D335</t>
  </si>
  <si>
    <t>E335</t>
  </si>
  <si>
    <t>F335</t>
  </si>
  <si>
    <t>G335</t>
  </si>
  <si>
    <t>H335</t>
  </si>
  <si>
    <t>I335</t>
  </si>
  <si>
    <t>J335</t>
  </si>
  <si>
    <t>K335</t>
  </si>
  <si>
    <t>L335</t>
  </si>
  <si>
    <t>1)</t>
  </si>
  <si>
    <t>Are cash balance on total_report tab of minimum amount?</t>
  </si>
  <si>
    <t>2)</t>
  </si>
  <si>
    <t>Are miscellaneous entries on misc_JEs tab correctly input?</t>
  </si>
  <si>
    <t>3)</t>
  </si>
  <si>
    <t>Other than MI, has at least one rate case slot has been "turned on"?</t>
  </si>
  <si>
    <t>4)</t>
  </si>
  <si>
    <t>Other than MI and HI, E370:H371 on growth_input tab are not totally blank</t>
  </si>
  <si>
    <t>5)</t>
  </si>
  <si>
    <t>6)</t>
  </si>
  <si>
    <t>Executive summary: populate D61:E62</t>
  </si>
  <si>
    <t>7)</t>
  </si>
  <si>
    <t>Growth_Reports tab, Row 510 - number should be negative each year
Cash flow from Investing - Capex</t>
  </si>
  <si>
    <t>8)</t>
  </si>
  <si>
    <t>Total_Reports tab - make sure balances balance</t>
  </si>
  <si>
    <t>The following don’t have rate cases turned on: ETS, Liberty, TN, BFW, LW</t>
  </si>
  <si>
    <t>All but year 2020</t>
  </si>
  <si>
    <t>N/A - (checked in a different file)</t>
  </si>
  <si>
    <t>Does end of year1 allowed rate base have an input in cell D17 on reg_inputs tab?</t>
  </si>
  <si>
    <t>ETS, Liberty, LW, IA, and TN don’t</t>
  </si>
  <si>
    <t>ETS, Liberty, LW, KY, TN, MO, and MI don’t</t>
  </si>
  <si>
    <t>All are except for NJ in 2017. However, row 512 ("Acquisitions &amp; Divestures") is negative in this year</t>
  </si>
  <si>
    <t>Checklist for current submission</t>
  </si>
  <si>
    <t>Notes</t>
  </si>
  <si>
    <t>All do except for MO and IL (off by $3,000 each year from 2018 and beyond)</t>
  </si>
  <si>
    <t>Net Income - from Acquistion transactions</t>
  </si>
  <si>
    <t>Net Income - from Bulk Water Sales transactions</t>
  </si>
  <si>
    <t>The following are blank: ETS, Liberty, BFW, LW</t>
  </si>
  <si>
    <t>J505</t>
  </si>
  <si>
    <t>Cnst_Plt</t>
  </si>
  <si>
    <t>If percentage is greater then 0% then they used the latest version (except for ETS and Liberty, they used the latest version and percentage is still 0%).</t>
  </si>
  <si>
    <t>C714</t>
  </si>
  <si>
    <t>D714</t>
  </si>
  <si>
    <t>E714</t>
  </si>
  <si>
    <t>F714</t>
  </si>
  <si>
    <t>G714</t>
  </si>
  <si>
    <t>H714</t>
  </si>
  <si>
    <t>I714</t>
  </si>
  <si>
    <t>J714</t>
  </si>
  <si>
    <t>K714</t>
  </si>
  <si>
    <t>L714</t>
  </si>
  <si>
    <t>L158</t>
  </si>
  <si>
    <t>K158</t>
  </si>
  <si>
    <t>J158</t>
  </si>
  <si>
    <t>I158</t>
  </si>
  <si>
    <t>H158</t>
  </si>
  <si>
    <t>G158</t>
  </si>
  <si>
    <t>F158</t>
  </si>
  <si>
    <t>E158</t>
  </si>
  <si>
    <t>D158</t>
  </si>
  <si>
    <t>C158</t>
  </si>
  <si>
    <t>M15</t>
  </si>
  <si>
    <t>L15</t>
  </si>
  <si>
    <t>K15</t>
  </si>
  <si>
    <t>J15</t>
  </si>
  <si>
    <t>I15</t>
  </si>
  <si>
    <t>H15</t>
  </si>
  <si>
    <t>G15</t>
  </si>
  <si>
    <t>F15</t>
  </si>
  <si>
    <t>E15</t>
  </si>
  <si>
    <t>D15</t>
  </si>
  <si>
    <t>G:\AW BUSINESS PLAN\2018-2022 BUSINESS PLAN\Outer Year Model\State Outer Year Models\2017.07.28 Submission</t>
  </si>
  <si>
    <t>AM_WATER_STATE_MODEL_10Yr_2018-2027_CA</t>
  </si>
  <si>
    <t>AM_WATER_STATE_MODEL_10Yr_2018-2027_HI</t>
  </si>
  <si>
    <t>AM_WATER_STATE_MODEL_10Yr_2018-2027_IA</t>
  </si>
  <si>
    <t>AM_WATER_STATE_MODEL_10Yr_2018-2027_IL</t>
  </si>
  <si>
    <t>AM_WATER_STATE_MODEL_10Yr_2018-2027_KY</t>
  </si>
  <si>
    <t>AM_WATER_STATE_MODEL_10Yr_2018-2027_LW</t>
  </si>
  <si>
    <t>AM_WATER_STATE_MODEL_10Yr_2018-2027_PA</t>
  </si>
  <si>
    <t>AM_WATER_STATE_MODEL_10Yr_2018-2027_TN</t>
  </si>
  <si>
    <t>AM_WATER_STATE_MODEL_10Yr_2018-2027_WV</t>
  </si>
  <si>
    <t>AM_WATER_STATE_MODEL_10Yr_2018-2027_MO</t>
  </si>
  <si>
    <t>(=)'G:\AW BUSINESS PLAN\2018-2022 BUSINESS PLAN\Outer Year Model\State Outer Year Models\2017.07.28 Submission\[AM_WATER_STATE_MODEL_20150326_v6.3_10Yr - NJ.xlsm]'!</t>
  </si>
  <si>
    <t>(=)'G:\AW BUSINESS PLAN\2018-2022 BUSINESS PLAN\Outer Year Model\State Outer Year Models\2017.07.28 Submission\[AM_WATER_STATE_MODEL_20150326_v6.3_10Yr - NJ.xlsm]'!Q31</t>
  </si>
  <si>
    <t>(=)'G:\AW BUSINESS PLAN\2018-2022 BUSINESS PLAN\Outer Year Model\State Outer Year Models\2017.07.28 Submission\[AM_WATER_STATE_MODEL_20150326_v6.3_10Yr - NJ.xlsm]'!Q32</t>
  </si>
  <si>
    <t>(=)'G:\AW BUSINESS PLAN\2018-2022 BUSINESS PLAN\Outer Year Model\State Outer Year Models\2017.07.28 Submission\[AM_WATER_STATE_MODEL_20150326_v6.3_10Yr - NJ.xlsm]'!Q33</t>
  </si>
  <si>
    <t>(=)'G:\AW BUSINESS PLAN\2018-2022 BUSINESS PLAN\Outer Year Model\State Outer Year Models\2017.07.28 Submission\[AM_WATER_STATE_MODEL_20150326_v6.3_10Yr - NJ.xlsm]'!Q36</t>
  </si>
  <si>
    <t>(=)'G:\AW BUSINESS PLAN\2018-2022 BUSINESS PLAN\Outer Year Model\State Outer Year Models\2017.07.28 Submission\[AM_WATER_STATE_MODEL_20150326_v6.3_10Yr - NJ.xlsm]'!Q37</t>
  </si>
  <si>
    <t>(=)'G:\AW BUSINESS PLAN\2018-2022 BUSINESS PLAN\Outer Year Model\State Outer Year Models\2017.07.28 Submission\[AM_WATER_STATE_MODEL_20150326_v6.3_10Yr - NJ.xlsm]'!Q38</t>
  </si>
  <si>
    <t>(=)'G:\AW BUSINESS PLAN\2018-2022 BUSINESS PLAN\Outer Year Model\State Outer Year Models\2017.07.28 Submission\[AM_WATER_STATE_MODEL_20150326_v6.3_10Yr - NJ.xlsm]'!Q41</t>
  </si>
  <si>
    <t>(=)'G:\AW BUSINESS PLAN\2018-2022 BUSINESS PLAN\Outer Year Model\State Outer Year Models\2017.07.28 Submission\[AM_WATER_STATE_MODEL_20150326_v6.3_10Yr - NJ.xlsm]'!Q45</t>
  </si>
  <si>
    <t>(=)'G:\AW BUSINESS PLAN\2018-2022 BUSINESS PLAN\Outer Year Model\State Outer Year Models\2017.07.28 Submission\[AM_WATER_STATE_MODEL_20150326_v6.3_10Yr - NJ.xlsm]'!Q46</t>
  </si>
  <si>
    <t>2016 (A)</t>
  </si>
  <si>
    <t>DSIC Rate Base</t>
  </si>
  <si>
    <t>D63</t>
  </si>
  <si>
    <t>E63</t>
  </si>
  <si>
    <t>M370</t>
  </si>
  <si>
    <t>N370</t>
  </si>
  <si>
    <t>O370</t>
  </si>
  <si>
    <t>P370</t>
  </si>
  <si>
    <t>AM_WATER_STATE_MODEL_10Yr_2018-2027_MI</t>
  </si>
  <si>
    <t>AM_WATER_STATE_MODEL_10Yr_2018-2027_IN</t>
  </si>
  <si>
    <t>AM_WATER_STATE_MODEL_10Yr_2018-2027_NY</t>
  </si>
  <si>
    <t>AM_WATER_STATE_MODEL_10Yr_2018-2027_BFW</t>
  </si>
  <si>
    <t>AM_WATER_STATE_MODEL_10Yr_2018-2027_MD</t>
  </si>
  <si>
    <t>AM_WATER_STATE_MODEL_10Yr_2018-2027_VA</t>
  </si>
  <si>
    <t>(=)'G:\AW BUSINESS PLAN\2017-2021 BUSINESS PLAN\Out Year Model\2016.07.29 Submission\[AM_WATER_STATE_MODEL_10Yr_2018-2027_BFW.xlsm]'!</t>
  </si>
  <si>
    <t>(=)'G:\AW BUSINESS PLAN\2017-2021 BUSINESS PLAN\Out Year Model\2016.07.29 Submission\[AM_WATER_STATE_MODEL_10Yr_2018-2027_CA.xlsm]'!</t>
  </si>
  <si>
    <t>(=)'G:\AW BUSINESS PLAN\2017-2021 BUSINESS PLAN\Out Year Model\2016.07.29 Submission\[AM_WATER_STATE_MODEL_10Yr_2018-2027_HI.xlsm]'!</t>
  </si>
  <si>
    <t>(=)'G:\AW BUSINESS PLAN\2017-2021 BUSINESS PLAN\Out Year Model\2016.07.29 Submission\[AM_WATER_STATE_MODEL_10Yr_2018-2027_IA.xlsm]'!</t>
  </si>
  <si>
    <t>(=)'G:\AW BUSINESS PLAN\2017-2021 BUSINESS PLAN\Out Year Model\2016.07.29 Submission\[AM_WATER_STATE_MODEL_10Yr_2018-2027_IL.xlsm]'!</t>
  </si>
  <si>
    <t>(=)'G:\AW BUSINESS PLAN\2018-2022 BUSINESS PLAN\Outer Year Model\State Outer Year Models\2017.07.28 Submission\[AM_WATER_STATE_MODEL_10Yr_2018-2027_BFW.xlsm]Base_Inputs'!E262</t>
  </si>
  <si>
    <t>(=)'G:\AW BUSINESS PLAN\2018-2022 BUSINESS PLAN\Outer Year Model\State Outer Year Models\2017.07.28 Submission\[AM_WATER_STATE_MODEL_10Yr_2018-2027_BFW.xlsm]Base_Inputs'!F262</t>
  </si>
  <si>
    <t>(=)'G:\AW BUSINESS PLAN\2018-2022 BUSINESS PLAN\Outer Year Model\State Outer Year Models\2017.07.28 Submission\[AM_WATER_STATE_MODEL_10Yr_2018-2027_BFW.xlsm]Base_Inputs'!G262</t>
  </si>
  <si>
    <t>(=)'G:\AW BUSINESS PLAN\2018-2022 BUSINESS PLAN\Outer Year Model\State Outer Year Models\2017.07.28 Submission\[AM_WATER_STATE_MODEL_10Yr_2018-2027_BFW.xlsm]Base_Inputs'!H262</t>
  </si>
  <si>
    <t>(=)'G:\AW BUSINESS PLAN\2018-2022 BUSINESS PLAN\Outer Year Model\State Outer Year Models\2017.07.28 Submission\[AM_WATER_STATE_MODEL_10Yr_2018-2027_BFW.xlsm]Base_Inputs'!I262</t>
  </si>
  <si>
    <t>(=)'G:\AW BUSINESS PLAN\2018-2022 BUSINESS PLAN\Outer Year Model\State Outer Year Models\2017.07.28 Submission\[AM_WATER_STATE_MODEL_10Yr_2018-2027_BFW.xlsm]Base_Inputs'!J262</t>
  </si>
  <si>
    <t>(=)'G:\AW BUSINESS PLAN\2018-2022 BUSINESS PLAN\Outer Year Model\State Outer Year Models\2017.07.28 Submission\[AM_WATER_STATE_MODEL_10Yr_2018-2027_BFW.xlsm]Base_Inputs'!K262</t>
  </si>
  <si>
    <t>(=)'G:\AW BUSINESS PLAN\2018-2022 BUSINESS PLAN\Outer Year Model\State Outer Year Models\2017.07.28 Submission\[AM_WATER_STATE_MODEL_10Yr_2018-2027_BFW.xlsm]Base_Inputs'!L262</t>
  </si>
  <si>
    <t>(=)'G:\AW BUSINESS PLAN\2018-2022 BUSINESS PLAN\Outer Year Model\State Outer Year Models\2017.07.28 Submission\[AM_WATER_STATE_MODEL_10Yr_2018-2027_BFW.xlsm]Base_Inputs'!M262</t>
  </si>
  <si>
    <t>(=)'G:\AW BUSINESS PLAN\2018-2022 BUSINESS PLAN\Outer Year Model\State Outer Year Models\2017.07.28 Submission\[AM_WATER_STATE_MODEL_10Yr_2018-2027_CA.xlsm]Base_Inputs'!E262</t>
  </si>
  <si>
    <t>(=)'G:\AW BUSINESS PLAN\2018-2022 BUSINESS PLAN\Outer Year Model\State Outer Year Models\2017.07.28 Submission\[AM_WATER_STATE_MODEL_10Yr_2018-2027_CA.xlsm]Base_Inputs'!F262</t>
  </si>
  <si>
    <t>(=)'G:\AW BUSINESS PLAN\2018-2022 BUSINESS PLAN\Outer Year Model\State Outer Year Models\2017.07.28 Submission\[AM_WATER_STATE_MODEL_10Yr_2018-2027_CA.xlsm]Base_Inputs'!G262</t>
  </si>
  <si>
    <t>(=)'G:\AW BUSINESS PLAN\2018-2022 BUSINESS PLAN\Outer Year Model\State Outer Year Models\2017.07.28 Submission\[AM_WATER_STATE_MODEL_10Yr_2018-2027_CA.xlsm]Base_Inputs'!H262</t>
  </si>
  <si>
    <t>(=)'G:\AW BUSINESS PLAN\2018-2022 BUSINESS PLAN\Outer Year Model\State Outer Year Models\2017.07.28 Submission\[AM_WATER_STATE_MODEL_10Yr_2018-2027_CA.xlsm]Base_Inputs'!I262</t>
  </si>
  <si>
    <t>(=)'G:\AW BUSINESS PLAN\2018-2022 BUSINESS PLAN\Outer Year Model\State Outer Year Models\2017.07.28 Submission\[AM_WATER_STATE_MODEL_10Yr_2018-2027_CA.xlsm]Base_Inputs'!J262</t>
  </si>
  <si>
    <t>(=)'G:\AW BUSINESS PLAN\2018-2022 BUSINESS PLAN\Outer Year Model\State Outer Year Models\2017.07.28 Submission\[AM_WATER_STATE_MODEL_10Yr_2018-2027_CA.xlsm]Base_Inputs'!K262</t>
  </si>
  <si>
    <t>(=)'G:\AW BUSINESS PLAN\2018-2022 BUSINESS PLAN\Outer Year Model\State Outer Year Models\2017.07.28 Submission\[AM_WATER_STATE_MODEL_10Yr_2018-2027_CA.xlsm]Base_Inputs'!L262</t>
  </si>
  <si>
    <t>(=)'G:\AW BUSINESS PLAN\2018-2022 BUSINESS PLAN\Outer Year Model\State Outer Year Models\2017.07.28 Submission\[AM_WATER_STATE_MODEL_10Yr_2018-2027_CA.xlsm]Base_Inputs'!M262</t>
  </si>
  <si>
    <t>(=)'G:\AW BUSINESS PLAN\2018-2022 BUSINESS PLAN\Outer Year Model\State Outer Year Models\2017.07.28 Submission\[AM_WATER_STATE_MODEL_10Yr_2018-2027_HI.xlsm]Base_Inputs'!E262</t>
  </si>
  <si>
    <t>(=)'G:\AW BUSINESS PLAN\2018-2022 BUSINESS PLAN\Outer Year Model\State Outer Year Models\2017.07.28 Submission\[AM_WATER_STATE_MODEL_10Yr_2018-2027_HI.xlsm]Base_Inputs'!F262</t>
  </si>
  <si>
    <t>(=)'G:\AW BUSINESS PLAN\2018-2022 BUSINESS PLAN\Outer Year Model\State Outer Year Models\2017.07.28 Submission\[AM_WATER_STATE_MODEL_10Yr_2018-2027_HI.xlsm]Base_Inputs'!G262</t>
  </si>
  <si>
    <t>(=)'G:\AW BUSINESS PLAN\2018-2022 BUSINESS PLAN\Outer Year Model\State Outer Year Models\2017.07.28 Submission\[AM_WATER_STATE_MODEL_10Yr_2018-2027_HI.xlsm]Base_Inputs'!H262</t>
  </si>
  <si>
    <t>(=)'G:\AW BUSINESS PLAN\2018-2022 BUSINESS PLAN\Outer Year Model\State Outer Year Models\2017.07.28 Submission\[AM_WATER_STATE_MODEL_10Yr_2018-2027_HI.xlsm]Base_Inputs'!I262</t>
  </si>
  <si>
    <t>(=)'G:\AW BUSINESS PLAN\2018-2022 BUSINESS PLAN\Outer Year Model\State Outer Year Models\2017.07.28 Submission\[AM_WATER_STATE_MODEL_10Yr_2018-2027_HI.xlsm]Base_Inputs'!J262</t>
  </si>
  <si>
    <t>(=)'G:\AW BUSINESS PLAN\2018-2022 BUSINESS PLAN\Outer Year Model\State Outer Year Models\2017.07.28 Submission\[AM_WATER_STATE_MODEL_10Yr_2018-2027_HI.xlsm]Base_Inputs'!K262</t>
  </si>
  <si>
    <t>(=)'G:\AW BUSINESS PLAN\2018-2022 BUSINESS PLAN\Outer Year Model\State Outer Year Models\2017.07.28 Submission\[AM_WATER_STATE_MODEL_10Yr_2018-2027_HI.xlsm]Base_Inputs'!L262</t>
  </si>
  <si>
    <t>(=)'G:\AW BUSINESS PLAN\2018-2022 BUSINESS PLAN\Outer Year Model\State Outer Year Models\2017.07.28 Submission\[AM_WATER_STATE_MODEL_10Yr_2018-2027_HI.xlsm]Base_Inputs'!M262</t>
  </si>
  <si>
    <t>(=)'G:\AW BUSINESS PLAN\2018-2022 BUSINESS PLAN\Outer Year Model\State Outer Year Models\2017.07.28 Submission\[AM_WATER_STATE_MODEL_10Yr_2018-2027_IA.xlsm]Base_Inputs'!E262</t>
  </si>
  <si>
    <t>(=)'G:\AW BUSINESS PLAN\2018-2022 BUSINESS PLAN\Outer Year Model\State Outer Year Models\2017.07.28 Submission\[AM_WATER_STATE_MODEL_10Yr_2018-2027_IA.xlsm]Base_Inputs'!F262</t>
  </si>
  <si>
    <t>(=)'G:\AW BUSINESS PLAN\2018-2022 BUSINESS PLAN\Outer Year Model\State Outer Year Models\2017.07.28 Submission\[AM_WATER_STATE_MODEL_10Yr_2018-2027_IA.xlsm]Base_Inputs'!G262</t>
  </si>
  <si>
    <t>(=)'G:\AW BUSINESS PLAN\2018-2022 BUSINESS PLAN\Outer Year Model\State Outer Year Models\2017.07.28 Submission\[AM_WATER_STATE_MODEL_10Yr_2018-2027_IA.xlsm]Base_Inputs'!H262</t>
  </si>
  <si>
    <t>(=)'G:\AW BUSINESS PLAN\2018-2022 BUSINESS PLAN\Outer Year Model\State Outer Year Models\2017.07.28 Submission\[AM_WATER_STATE_MODEL_10Yr_2018-2027_IA.xlsm]Base_Inputs'!I262</t>
  </si>
  <si>
    <t>(=)'G:\AW BUSINESS PLAN\2018-2022 BUSINESS PLAN\Outer Year Model\State Outer Year Models\2017.07.28 Submission\[AM_WATER_STATE_MODEL_10Yr_2018-2027_IA.xlsm]Base_Inputs'!J262</t>
  </si>
  <si>
    <t>(=)'G:\AW BUSINESS PLAN\2018-2022 BUSINESS PLAN\Outer Year Model\State Outer Year Models\2017.07.28 Submission\[AM_WATER_STATE_MODEL_10Yr_2018-2027_IA.xlsm]Base_Inputs'!K262</t>
  </si>
  <si>
    <t>(=)'G:\AW BUSINESS PLAN\2018-2022 BUSINESS PLAN\Outer Year Model\State Outer Year Models\2017.07.28 Submission\[AM_WATER_STATE_MODEL_10Yr_2018-2027_IA.xlsm]Base_Inputs'!L262</t>
  </si>
  <si>
    <t>(=)'G:\AW BUSINESS PLAN\2018-2022 BUSINESS PLAN\Outer Year Model\State Outer Year Models\2017.07.28 Submission\[AM_WATER_STATE_MODEL_10Yr_2018-2027_IA.xlsm]Base_Inputs'!M262</t>
  </si>
  <si>
    <t>(=)'G:\AW BUSINESS PLAN\2018-2022 BUSINESS PLAN\Outer Year Model\State Outer Year Models\2017.07.28 Submission\[AM_WATER_STATE_MODEL_10Yr_2018-2027_IL.xlsm]Base_Inputs'!E262</t>
  </si>
  <si>
    <t>(=)'G:\AW BUSINESS PLAN\2018-2022 BUSINESS PLAN\Outer Year Model\State Outer Year Models\2017.07.28 Submission\[AM_WATER_STATE_MODEL_10Yr_2018-2027_IL.xlsm]Base_Inputs'!F262</t>
  </si>
  <si>
    <t>(=)'G:\AW BUSINESS PLAN\2018-2022 BUSINESS PLAN\Outer Year Model\State Outer Year Models\2017.07.28 Submission\[AM_WATER_STATE_MODEL_10Yr_2018-2027_IL.xlsm]Base_Inputs'!G262</t>
  </si>
  <si>
    <t>(=)'G:\AW BUSINESS PLAN\2018-2022 BUSINESS PLAN\Outer Year Model\State Outer Year Models\2017.07.28 Submission\[AM_WATER_STATE_MODEL_10Yr_2018-2027_IL.xlsm]Base_Inputs'!H262</t>
  </si>
  <si>
    <t>(=)'G:\AW BUSINESS PLAN\2018-2022 BUSINESS PLAN\Outer Year Model\State Outer Year Models\2017.07.28 Submission\[AM_WATER_STATE_MODEL_10Yr_2018-2027_IL.xlsm]Base_Inputs'!I262</t>
  </si>
  <si>
    <t>(=)'G:\AW BUSINESS PLAN\2018-2022 BUSINESS PLAN\Outer Year Model\State Outer Year Models\2017.07.28 Submission\[AM_WATER_STATE_MODEL_10Yr_2018-2027_IL.xlsm]Base_Inputs'!J262</t>
  </si>
  <si>
    <t>(=)'G:\AW BUSINESS PLAN\2018-2022 BUSINESS PLAN\Outer Year Model\State Outer Year Models\2017.07.28 Submission\[AM_WATER_STATE_MODEL_10Yr_2018-2027_IL.xlsm]Base_Inputs'!K262</t>
  </si>
  <si>
    <t>(=)'G:\AW BUSINESS PLAN\2018-2022 BUSINESS PLAN\Outer Year Model\State Outer Year Models\2017.07.28 Submission\[AM_WATER_STATE_MODEL_10Yr_2018-2027_IL.xlsm]Base_Inputs'!L262</t>
  </si>
  <si>
    <t>(=)'G:\AW BUSINESS PLAN\2018-2022 BUSINESS PLAN\Outer Year Model\State Outer Year Models\2017.07.28 Submission\[AM_WATER_STATE_MODEL_10Yr_2018-2027_IL.xlsm]Base_Inputs'!M262</t>
  </si>
  <si>
    <t>(=)'G:\AW BUSINESS PLAN\2018-2022 BUSINESS PLAN\Outer Year Model\State Outer Year Models\2017.07.28 Submission\[AM_WATER_STATE_MODEL_10Yr_2018-2027_IN.xlsm]Base_Inputs'!E262</t>
  </si>
  <si>
    <t>(=)'G:\AW BUSINESS PLAN\2018-2022 BUSINESS PLAN\Outer Year Model\State Outer Year Models\2017.07.28 Submission\[AM_WATER_STATE_MODEL_10Yr_2018-2027_IN.xlsm]Base_Inputs'!F262</t>
  </si>
  <si>
    <t>(=)'G:\AW BUSINESS PLAN\2018-2022 BUSINESS PLAN\Outer Year Model\State Outer Year Models\2017.07.28 Submission\[AM_WATER_STATE_MODEL_10Yr_2018-2027_IN.xlsm]Base_Inputs'!G262</t>
  </si>
  <si>
    <t>(=)'G:\AW BUSINESS PLAN\2018-2022 BUSINESS PLAN\Outer Year Model\State Outer Year Models\2017.07.28 Submission\[AM_WATER_STATE_MODEL_10Yr_2018-2027_IN.xlsm]Base_Inputs'!H262</t>
  </si>
  <si>
    <t>(=)'G:\AW BUSINESS PLAN\2018-2022 BUSINESS PLAN\Outer Year Model\State Outer Year Models\2017.07.28 Submission\[AM_WATER_STATE_MODEL_10Yr_2018-2027_IN.xlsm]Base_Inputs'!I262</t>
  </si>
  <si>
    <t>(=)'G:\AW BUSINESS PLAN\2018-2022 BUSINESS PLAN\Outer Year Model\State Outer Year Models\2017.07.28 Submission\[AM_WATER_STATE_MODEL_10Yr_2018-2027_IN.xlsm]Base_Inputs'!J262</t>
  </si>
  <si>
    <t>(=)'G:\AW BUSINESS PLAN\2018-2022 BUSINESS PLAN\Outer Year Model\State Outer Year Models\2017.07.28 Submission\[AM_WATER_STATE_MODEL_10Yr_2018-2027_IN.xlsm]Base_Inputs'!K262</t>
  </si>
  <si>
    <t>(=)'G:\AW BUSINESS PLAN\2018-2022 BUSINESS PLAN\Outer Year Model\State Outer Year Models\2017.07.28 Submission\[AM_WATER_STATE_MODEL_10Yr_2018-2027_IN.xlsm]Base_Inputs'!L262</t>
  </si>
  <si>
    <t>(=)'G:\AW BUSINESS PLAN\2018-2022 BUSINESS PLAN\Outer Year Model\State Outer Year Models\2017.07.28 Submission\[AM_WATER_STATE_MODEL_10Yr_2018-2027_IN.xlsm]Base_Inputs'!M262</t>
  </si>
  <si>
    <t>(=)'G:\AW BUSINESS PLAN\2018-2022 BUSINESS PLAN\Outer Year Model\State Outer Year Models\2017.07.28 Submission\[AM_WATER_STATE_MODEL_10Yr_2018-2027_KY.xlsm]Base_Inputs'!E262</t>
  </si>
  <si>
    <t>(=)'G:\AW BUSINESS PLAN\2018-2022 BUSINESS PLAN\Outer Year Model\State Outer Year Models\2017.07.28 Submission\[AM_WATER_STATE_MODEL_10Yr_2018-2027_KY.xlsm]Base_Inputs'!F262</t>
  </si>
  <si>
    <t>(=)'G:\AW BUSINESS PLAN\2018-2022 BUSINESS PLAN\Outer Year Model\State Outer Year Models\2017.07.28 Submission\[AM_WATER_STATE_MODEL_10Yr_2018-2027_KY.xlsm]Base_Inputs'!G262</t>
  </si>
  <si>
    <t>(=)'G:\AW BUSINESS PLAN\2018-2022 BUSINESS PLAN\Outer Year Model\State Outer Year Models\2017.07.28 Submission\[AM_WATER_STATE_MODEL_10Yr_2018-2027_KY.xlsm]Base_Inputs'!H262</t>
  </si>
  <si>
    <t>(=)'G:\AW BUSINESS PLAN\2018-2022 BUSINESS PLAN\Outer Year Model\State Outer Year Models\2017.07.28 Submission\[AM_WATER_STATE_MODEL_10Yr_2018-2027_KY.xlsm]Base_Inputs'!I262</t>
  </si>
  <si>
    <t>(=)'G:\AW BUSINESS PLAN\2018-2022 BUSINESS PLAN\Outer Year Model\State Outer Year Models\2017.07.28 Submission\[AM_WATER_STATE_MODEL_10Yr_2018-2027_KY.xlsm]Base_Inputs'!J262</t>
  </si>
  <si>
    <t>(=)'G:\AW BUSINESS PLAN\2018-2022 BUSINESS PLAN\Outer Year Model\State Outer Year Models\2017.07.28 Submission\[AM_WATER_STATE_MODEL_10Yr_2018-2027_KY.xlsm]Base_Inputs'!K262</t>
  </si>
  <si>
    <t>(=)'G:\AW BUSINESS PLAN\2018-2022 BUSINESS PLAN\Outer Year Model\State Outer Year Models\2017.07.28 Submission\[AM_WATER_STATE_MODEL_10Yr_2018-2027_KY.xlsm]Base_Inputs'!L262</t>
  </si>
  <si>
    <t>(=)'G:\AW BUSINESS PLAN\2018-2022 BUSINESS PLAN\Outer Year Model\State Outer Year Models\2017.07.28 Submission\[AM_WATER_STATE_MODEL_10Yr_2018-2027_KY.xlsm]Base_Inputs'!M262</t>
  </si>
  <si>
    <t>(=)'G:\AW BUSINESS PLAN\2018-2022 BUSINESS PLAN\Outer Year Model\State Outer Year Models\2017.07.28 Submission\[AM_WATER_STATE_MODEL_10Yr_2018-2027_LW.xlsm]Base_Inputs'!E262</t>
  </si>
  <si>
    <t>(=)'G:\AW BUSINESS PLAN\2018-2022 BUSINESS PLAN\Outer Year Model\State Outer Year Models\2017.07.28 Submission\[AM_WATER_STATE_MODEL_10Yr_2018-2027_LW.xlsm]Base_Inputs'!F262</t>
  </si>
  <si>
    <t>(=)'G:\AW BUSINESS PLAN\2018-2022 BUSINESS PLAN\Outer Year Model\State Outer Year Models\2017.07.28 Submission\[AM_WATER_STATE_MODEL_10Yr_2018-2027_LW.xlsm]Base_Inputs'!G262</t>
  </si>
  <si>
    <t>(=)'G:\AW BUSINESS PLAN\2018-2022 BUSINESS PLAN\Outer Year Model\State Outer Year Models\2017.07.28 Submission\[AM_WATER_STATE_MODEL_10Yr_2018-2027_LW.xlsm]Base_Inputs'!H262</t>
  </si>
  <si>
    <t>(=)'G:\AW BUSINESS PLAN\2018-2022 BUSINESS PLAN\Outer Year Model\State Outer Year Models\2017.07.28 Submission\[AM_WATER_STATE_MODEL_10Yr_2018-2027_LW.xlsm]Base_Inputs'!I262</t>
  </si>
  <si>
    <t>(=)'G:\AW BUSINESS PLAN\2018-2022 BUSINESS PLAN\Outer Year Model\State Outer Year Models\2017.07.28 Submission\[AM_WATER_STATE_MODEL_10Yr_2018-2027_LW.xlsm]Base_Inputs'!J262</t>
  </si>
  <si>
    <t>(=)'G:\AW BUSINESS PLAN\2018-2022 BUSINESS PLAN\Outer Year Model\State Outer Year Models\2017.07.28 Submission\[AM_WATER_STATE_MODEL_10Yr_2018-2027_LW.xlsm]Base_Inputs'!K262</t>
  </si>
  <si>
    <t>(=)'G:\AW BUSINESS PLAN\2018-2022 BUSINESS PLAN\Outer Year Model\State Outer Year Models\2017.07.28 Submission\[AM_WATER_STATE_MODEL_10Yr_2018-2027_LW.xlsm]Base_Inputs'!L262</t>
  </si>
  <si>
    <t>(=)'G:\AW BUSINESS PLAN\2018-2022 BUSINESS PLAN\Outer Year Model\State Outer Year Models\2017.07.28 Submission\[AM_WATER_STATE_MODEL_10Yr_2018-2027_LW.xlsm]Base_Inputs'!M262</t>
  </si>
  <si>
    <t>(=)'G:\AW BUSINESS PLAN\2018-2022 BUSINESS PLAN\Outer Year Model\State Outer Year Models\2017.07.28 Submission\[AM_WATER_STATE_MODEL_10Yr_2018-2027_MD.xlsm]Base_Inputs'!E262</t>
  </si>
  <si>
    <t>(=)'G:\AW BUSINESS PLAN\2018-2022 BUSINESS PLAN\Outer Year Model\State Outer Year Models\2017.07.28 Submission\[AM_WATER_STATE_MODEL_10Yr_2018-2027_MD.xlsm]Base_Inputs'!F262</t>
  </si>
  <si>
    <t>(=)'G:\AW BUSINESS PLAN\2018-2022 BUSINESS PLAN\Outer Year Model\State Outer Year Models\2017.07.28 Submission\[AM_WATER_STATE_MODEL_10Yr_2018-2027_MD.xlsm]Base_Inputs'!G262</t>
  </si>
  <si>
    <t>(=)'G:\AW BUSINESS PLAN\2018-2022 BUSINESS PLAN\Outer Year Model\State Outer Year Models\2017.07.28 Submission\[AM_WATER_STATE_MODEL_10Yr_2018-2027_MD.xlsm]Base_Inputs'!H262</t>
  </si>
  <si>
    <t>(=)'G:\AW BUSINESS PLAN\2018-2022 BUSINESS PLAN\Outer Year Model\State Outer Year Models\2017.07.28 Submission\[AM_WATER_STATE_MODEL_10Yr_2018-2027_MD.xlsm]Base_Inputs'!I262</t>
  </si>
  <si>
    <t>(=)'G:\AW BUSINESS PLAN\2018-2022 BUSINESS PLAN\Outer Year Model\State Outer Year Models\2017.07.28 Submission\[AM_WATER_STATE_MODEL_10Yr_2018-2027_MD.xlsm]Base_Inputs'!J262</t>
  </si>
  <si>
    <t>(=)'G:\AW BUSINESS PLAN\2018-2022 BUSINESS PLAN\Outer Year Model\State Outer Year Models\2017.07.28 Submission\[AM_WATER_STATE_MODEL_10Yr_2018-2027_MD.xlsm]Base_Inputs'!K262</t>
  </si>
  <si>
    <t>(=)'G:\AW BUSINESS PLAN\2018-2022 BUSINESS PLAN\Outer Year Model\State Outer Year Models\2017.07.28 Submission\[AM_WATER_STATE_MODEL_10Yr_2018-2027_MD.xlsm]Base_Inputs'!L262</t>
  </si>
  <si>
    <t>(=)'G:\AW BUSINESS PLAN\2018-2022 BUSINESS PLAN\Outer Year Model\State Outer Year Models\2017.07.28 Submission\[AM_WATER_STATE_MODEL_10Yr_2018-2027_MD.xlsm]Base_Inputs'!M262</t>
  </si>
  <si>
    <t>(=)'G:\AW BUSINESS PLAN\2018-2022 BUSINESS PLAN\Outer Year Model\State Outer Year Models\2017.07.28 Submission\[AM_WATER_STATE_MODEL_10Yr_2018-2027_MI.xlsm]Base_Inputs'!E262</t>
  </si>
  <si>
    <t>(=)'G:\AW BUSINESS PLAN\2018-2022 BUSINESS PLAN\Outer Year Model\State Outer Year Models\2017.07.28 Submission\[AM_WATER_STATE_MODEL_10Yr_2018-2027_MI.xlsm]Base_Inputs'!F262</t>
  </si>
  <si>
    <t>(=)'G:\AW BUSINESS PLAN\2018-2022 BUSINESS PLAN\Outer Year Model\State Outer Year Models\2017.07.28 Submission\[AM_WATER_STATE_MODEL_10Yr_2018-2027_MI.xlsm]Base_Inputs'!G262</t>
  </si>
  <si>
    <t>(=)'G:\AW BUSINESS PLAN\2018-2022 BUSINESS PLAN\Outer Year Model\State Outer Year Models\2017.07.28 Submission\[AM_WATER_STATE_MODEL_10Yr_2018-2027_MI.xlsm]Base_Inputs'!H262</t>
  </si>
  <si>
    <t>(=)'G:\AW BUSINESS PLAN\2018-2022 BUSINESS PLAN\Outer Year Model\State Outer Year Models\2017.07.28 Submission\[AM_WATER_STATE_MODEL_10Yr_2018-2027_MI.xlsm]Base_Inputs'!I262</t>
  </si>
  <si>
    <t>(=)'G:\AW BUSINESS PLAN\2018-2022 BUSINESS PLAN\Outer Year Model\State Outer Year Models\2017.07.28 Submission\[AM_WATER_STATE_MODEL_10Yr_2018-2027_MI.xlsm]Base_Inputs'!J262</t>
  </si>
  <si>
    <t>(=)'G:\AW BUSINESS PLAN\2018-2022 BUSINESS PLAN\Outer Year Model\State Outer Year Models\2017.07.28 Submission\[AM_WATER_STATE_MODEL_10Yr_2018-2027_MI.xlsm]Base_Inputs'!K262</t>
  </si>
  <si>
    <t>(=)'G:\AW BUSINESS PLAN\2018-2022 BUSINESS PLAN\Outer Year Model\State Outer Year Models\2017.07.28 Submission\[AM_WATER_STATE_MODEL_10Yr_2018-2027_MI.xlsm]Base_Inputs'!L262</t>
  </si>
  <si>
    <t>(=)'G:\AW BUSINESS PLAN\2018-2022 BUSINESS PLAN\Outer Year Model\State Outer Year Models\2017.07.28 Submission\[AM_WATER_STATE_MODEL_10Yr_2018-2027_MI.xlsm]Base_Inputs'!M262</t>
  </si>
  <si>
    <t>(=)'G:\AW BUSINESS PLAN\2018-2022 BUSINESS PLAN\Outer Year Model\State Outer Year Models\2017.07.28 Submission\[AM_WATER_STATE_MODEL_10Yr_2018-2027_MO.xlsm]Base_Inputs'!E262</t>
  </si>
  <si>
    <t>(=)'G:\AW BUSINESS PLAN\2018-2022 BUSINESS PLAN\Outer Year Model\State Outer Year Models\2017.07.28 Submission\[AM_WATER_STATE_MODEL_10Yr_2018-2027_MO.xlsm]Base_Inputs'!F262</t>
  </si>
  <si>
    <t>(=)'G:\AW BUSINESS PLAN\2018-2022 BUSINESS PLAN\Outer Year Model\State Outer Year Models\2017.07.28 Submission\[AM_WATER_STATE_MODEL_10Yr_2018-2027_MO.xlsm]Base_Inputs'!G262</t>
  </si>
  <si>
    <t>(=)'G:\AW BUSINESS PLAN\2018-2022 BUSINESS PLAN\Outer Year Model\State Outer Year Models\2017.07.28 Submission\[AM_WATER_STATE_MODEL_10Yr_2018-2027_MO.xlsm]Base_Inputs'!H262</t>
  </si>
  <si>
    <t>(=)'G:\AW BUSINESS PLAN\2018-2022 BUSINESS PLAN\Outer Year Model\State Outer Year Models\2017.07.28 Submission\[AM_WATER_STATE_MODEL_10Yr_2018-2027_MO.xlsm]Base_Inputs'!I262</t>
  </si>
  <si>
    <t>(=)'G:\AW BUSINESS PLAN\2018-2022 BUSINESS PLAN\Outer Year Model\State Outer Year Models\2017.07.28 Submission\[AM_WATER_STATE_MODEL_10Yr_2018-2027_MO.xlsm]Base_Inputs'!J262</t>
  </si>
  <si>
    <t>(=)'G:\AW BUSINESS PLAN\2018-2022 BUSINESS PLAN\Outer Year Model\State Outer Year Models\2017.07.28 Submission\[AM_WATER_STATE_MODEL_10Yr_2018-2027_MO.xlsm]Base_Inputs'!K262</t>
  </si>
  <si>
    <t>(=)'G:\AW BUSINESS PLAN\2018-2022 BUSINESS PLAN\Outer Year Model\State Outer Year Models\2017.07.28 Submission\[AM_WATER_STATE_MODEL_10Yr_2018-2027_MO.xlsm]Base_Inputs'!L262</t>
  </si>
  <si>
    <t>(=)'G:\AW BUSINESS PLAN\2018-2022 BUSINESS PLAN\Outer Year Model\State Outer Year Models\2017.07.28 Submission\[AM_WATER_STATE_MODEL_10Yr_2018-2027_MO.xlsm]Base_Inputs'!M262</t>
  </si>
  <si>
    <t>(=)'G:\AW BUSINESS PLAN\2018-2022 BUSINESS PLAN\Outer Year Model\State Outer Year Models\2017.07.28 Submission\[AM_WATER_STATE_MODEL_10Yr_2018-2027_NY.xlsm]Base_Inputs'!E262</t>
  </si>
  <si>
    <t>(=)'G:\AW BUSINESS PLAN\2018-2022 BUSINESS PLAN\Outer Year Model\State Outer Year Models\2017.07.28 Submission\[AM_WATER_STATE_MODEL_10Yr_2018-2027_NY.xlsm]Base_Inputs'!F262</t>
  </si>
  <si>
    <t>(=)'G:\AW BUSINESS PLAN\2018-2022 BUSINESS PLAN\Outer Year Model\State Outer Year Models\2017.07.28 Submission\[AM_WATER_STATE_MODEL_10Yr_2018-2027_NY.xlsm]Base_Inputs'!G262</t>
  </si>
  <si>
    <t>(=)'G:\AW BUSINESS PLAN\2018-2022 BUSINESS PLAN\Outer Year Model\State Outer Year Models\2017.07.28 Submission\[AM_WATER_STATE_MODEL_10Yr_2018-2027_NY.xlsm]Base_Inputs'!H262</t>
  </si>
  <si>
    <t>(=)'G:\AW BUSINESS PLAN\2018-2022 BUSINESS PLAN\Outer Year Model\State Outer Year Models\2017.07.28 Submission\[AM_WATER_STATE_MODEL_10Yr_2018-2027_NY.xlsm]Base_Inputs'!I262</t>
  </si>
  <si>
    <t>(=)'G:\AW BUSINESS PLAN\2018-2022 BUSINESS PLAN\Outer Year Model\State Outer Year Models\2017.07.28 Submission\[AM_WATER_STATE_MODEL_10Yr_2018-2027_NY.xlsm]Base_Inputs'!J262</t>
  </si>
  <si>
    <t>(=)'G:\AW BUSINESS PLAN\2018-2022 BUSINESS PLAN\Outer Year Model\State Outer Year Models\2017.07.28 Submission\[AM_WATER_STATE_MODEL_10Yr_2018-2027_NY.xlsm]Base_Inputs'!K262</t>
  </si>
  <si>
    <t>(=)'G:\AW BUSINESS PLAN\2018-2022 BUSINESS PLAN\Outer Year Model\State Outer Year Models\2017.07.28 Submission\[AM_WATER_STATE_MODEL_10Yr_2018-2027_NY.xlsm]Base_Inputs'!L262</t>
  </si>
  <si>
    <t>(=)'G:\AW BUSINESS PLAN\2018-2022 BUSINESS PLAN\Outer Year Model\State Outer Year Models\2017.07.28 Submission\[AM_WATER_STATE_MODEL_10Yr_2018-2027_NY.xlsm]Base_Inputs'!M262</t>
  </si>
  <si>
    <t>(=)'G:\AW BUSINESS PLAN\2018-2022 BUSINESS PLAN\Outer Year Model\State Outer Year Models\2017.07.28 Submission\[AM_WATER_STATE_MODEL_10Yr_2018-2027_PA.xlsm]Base_Inputs'!E262</t>
  </si>
  <si>
    <t>(=)'G:\AW BUSINESS PLAN\2018-2022 BUSINESS PLAN\Outer Year Model\State Outer Year Models\2017.07.28 Submission\[AM_WATER_STATE_MODEL_10Yr_2018-2027_PA.xlsm]Base_Inputs'!F262</t>
  </si>
  <si>
    <t>(=)'G:\AW BUSINESS PLAN\2018-2022 BUSINESS PLAN\Outer Year Model\State Outer Year Models\2017.07.28 Submission\[AM_WATER_STATE_MODEL_10Yr_2018-2027_PA.xlsm]Base_Inputs'!G262</t>
  </si>
  <si>
    <t>(=)'G:\AW BUSINESS PLAN\2018-2022 BUSINESS PLAN\Outer Year Model\State Outer Year Models\2017.07.28 Submission\[AM_WATER_STATE_MODEL_10Yr_2018-2027_PA.xlsm]Base_Inputs'!H262</t>
  </si>
  <si>
    <t>(=)'G:\AW BUSINESS PLAN\2018-2022 BUSINESS PLAN\Outer Year Model\State Outer Year Models\2017.07.28 Submission\[AM_WATER_STATE_MODEL_10Yr_2018-2027_PA.xlsm]Base_Inputs'!I262</t>
  </si>
  <si>
    <t>(=)'G:\AW BUSINESS PLAN\2018-2022 BUSINESS PLAN\Outer Year Model\State Outer Year Models\2017.07.28 Submission\[AM_WATER_STATE_MODEL_10Yr_2018-2027_PA.xlsm]Base_Inputs'!J262</t>
  </si>
  <si>
    <t>(=)'G:\AW BUSINESS PLAN\2018-2022 BUSINESS PLAN\Outer Year Model\State Outer Year Models\2017.07.28 Submission\[AM_WATER_STATE_MODEL_10Yr_2018-2027_PA.xlsm]Base_Inputs'!K262</t>
  </si>
  <si>
    <t>(=)'G:\AW BUSINESS PLAN\2018-2022 BUSINESS PLAN\Outer Year Model\State Outer Year Models\2017.07.28 Submission\[AM_WATER_STATE_MODEL_10Yr_2018-2027_PA.xlsm]Base_Inputs'!L262</t>
  </si>
  <si>
    <t>(=)'G:\AW BUSINESS PLAN\2018-2022 BUSINESS PLAN\Outer Year Model\State Outer Year Models\2017.07.28 Submission\[AM_WATER_STATE_MODEL_10Yr_2018-2027_PA.xlsm]Base_Inputs'!M262</t>
  </si>
  <si>
    <t>(=)'G:\AW BUSINESS PLAN\2018-2022 BUSINESS PLAN\Outer Year Model\State Outer Year Models\2017.07.28 Submission\[AM_WATER_STATE_MODEL_10Yr_2018-2027_TN.xlsm]Base_Inputs'!E262</t>
  </si>
  <si>
    <t>(=)'G:\AW BUSINESS PLAN\2018-2022 BUSINESS PLAN\Outer Year Model\State Outer Year Models\2017.07.28 Submission\[AM_WATER_STATE_MODEL_10Yr_2018-2027_TN.xlsm]Base_Inputs'!F262</t>
  </si>
  <si>
    <t>(=)'G:\AW BUSINESS PLAN\2018-2022 BUSINESS PLAN\Outer Year Model\State Outer Year Models\2017.07.28 Submission\[AM_WATER_STATE_MODEL_10Yr_2018-2027_TN.xlsm]Base_Inputs'!G262</t>
  </si>
  <si>
    <t>(=)'G:\AW BUSINESS PLAN\2018-2022 BUSINESS PLAN\Outer Year Model\State Outer Year Models\2017.07.28 Submission\[AM_WATER_STATE_MODEL_10Yr_2018-2027_TN.xlsm]Base_Inputs'!H262</t>
  </si>
  <si>
    <t>(=)'G:\AW BUSINESS PLAN\2018-2022 BUSINESS PLAN\Outer Year Model\State Outer Year Models\2017.07.28 Submission\[AM_WATER_STATE_MODEL_10Yr_2018-2027_TN.xlsm]Base_Inputs'!I262</t>
  </si>
  <si>
    <t>(=)'G:\AW BUSINESS PLAN\2018-2022 BUSINESS PLAN\Outer Year Model\State Outer Year Models\2017.07.28 Submission\[AM_WATER_STATE_MODEL_10Yr_2018-2027_TN.xlsm]Base_Inputs'!J262</t>
  </si>
  <si>
    <t>(=)'G:\AW BUSINESS PLAN\2018-2022 BUSINESS PLAN\Outer Year Model\State Outer Year Models\2017.07.28 Submission\[AM_WATER_STATE_MODEL_10Yr_2018-2027_TN.xlsm]Base_Inputs'!K262</t>
  </si>
  <si>
    <t>(=)'G:\AW BUSINESS PLAN\2018-2022 BUSINESS PLAN\Outer Year Model\State Outer Year Models\2017.07.28 Submission\[AM_WATER_STATE_MODEL_10Yr_2018-2027_TN.xlsm]Base_Inputs'!L262</t>
  </si>
  <si>
    <t>(=)'G:\AW BUSINESS PLAN\2018-2022 BUSINESS PLAN\Outer Year Model\State Outer Year Models\2017.07.28 Submission\[AM_WATER_STATE_MODEL_10Yr_2018-2027_TN.xlsm]Base_Inputs'!M262</t>
  </si>
  <si>
    <t>(=)'G:\AW BUSINESS PLAN\2018-2022 BUSINESS PLAN\Outer Year Model\State Outer Year Models\2017.07.28 Submission\[AM_WATER_STATE_MODEL_10Yr_2018-2027_BFW.xlsm]Reg Inputs'!D15</t>
  </si>
  <si>
    <t>(=)'G:\AW BUSINESS PLAN\2018-2022 BUSINESS PLAN\Outer Year Model\State Outer Year Models\2017.07.28 Submission\[AM_WATER_STATE_MODEL_10Yr_2018-2027_BFW.xlsm]Reg Inputs'!E15</t>
  </si>
  <si>
    <t>(=)'G:\AW BUSINESS PLAN\2018-2022 BUSINESS PLAN\Outer Year Model\State Outer Year Models\2017.07.28 Submission\[AM_WATER_STATE_MODEL_10Yr_2018-2027_BFW.xlsm]Reg Inputs'!F15</t>
  </si>
  <si>
    <t>(=)'G:\AW BUSINESS PLAN\2018-2022 BUSINESS PLAN\Outer Year Model\State Outer Year Models\2017.07.28 Submission\[AM_WATER_STATE_MODEL_10Yr_2018-2027_BFW.xlsm]Reg Inputs'!G15</t>
  </si>
  <si>
    <t>(=)'G:\AW BUSINESS PLAN\2018-2022 BUSINESS PLAN\Outer Year Model\State Outer Year Models\2017.07.28 Submission\[AM_WATER_STATE_MODEL_10Yr_2018-2027_BFW.xlsm]Reg Inputs'!H15</t>
  </si>
  <si>
    <t>(=)'G:\AW BUSINESS PLAN\2018-2022 BUSINESS PLAN\Outer Year Model\State Outer Year Models\2017.07.28 Submission\[AM_WATER_STATE_MODEL_10Yr_2018-2027_BFW.xlsm]Reg Inputs'!I15</t>
  </si>
  <si>
    <t>(=)'G:\AW BUSINESS PLAN\2018-2022 BUSINESS PLAN\Outer Year Model\State Outer Year Models\2017.07.28 Submission\[AM_WATER_STATE_MODEL_10Yr_2018-2027_BFW.xlsm]Reg Inputs'!J15</t>
  </si>
  <si>
    <t>(=)'G:\AW BUSINESS PLAN\2018-2022 BUSINESS PLAN\Outer Year Model\State Outer Year Models\2017.07.28 Submission\[AM_WATER_STATE_MODEL_10Yr_2018-2027_BFW.xlsm]Reg Inputs'!K15</t>
  </si>
  <si>
    <t>(=)'G:\AW BUSINESS PLAN\2018-2022 BUSINESS PLAN\Outer Year Model\State Outer Year Models\2017.07.28 Submission\[AM_WATER_STATE_MODEL_10Yr_2018-2027_BFW.xlsm]Reg Inputs'!L15</t>
  </si>
  <si>
    <t>(=)'G:\AW BUSINESS PLAN\2018-2022 BUSINESS PLAN\Outer Year Model\State Outer Year Models\2017.07.28 Submission\[AM_WATER_STATE_MODEL_10Yr_2018-2027_BFW.xlsm]Reg Inputs'!M15</t>
  </si>
  <si>
    <t>(=)'G:\AW BUSINESS PLAN\2018-2022 BUSINESS PLAN\Outer Year Model\State Outer Year Models\2017.07.28 Submission\[AM_WATER_STATE_MODEL_10Yr_2018-2027_CA.xlsm]Reg Inputs'!D15</t>
  </si>
  <si>
    <t>(=)'G:\AW BUSINESS PLAN\2018-2022 BUSINESS PLAN\Outer Year Model\State Outer Year Models\2017.07.28 Submission\[AM_WATER_STATE_MODEL_10Yr_2018-2027_CA.xlsm]Reg Inputs'!E15</t>
  </si>
  <si>
    <t>(=)'G:\AW BUSINESS PLAN\2018-2022 BUSINESS PLAN\Outer Year Model\State Outer Year Models\2017.07.28 Submission\[AM_WATER_STATE_MODEL_10Yr_2018-2027_CA.xlsm]Reg Inputs'!F15</t>
  </si>
  <si>
    <t>(=)'G:\AW BUSINESS PLAN\2018-2022 BUSINESS PLAN\Outer Year Model\State Outer Year Models\2017.07.28 Submission\[AM_WATER_STATE_MODEL_10Yr_2018-2027_CA.xlsm]Reg Inputs'!G15</t>
  </si>
  <si>
    <t>(=)'G:\AW BUSINESS PLAN\2018-2022 BUSINESS PLAN\Outer Year Model\State Outer Year Models\2017.07.28 Submission\[AM_WATER_STATE_MODEL_10Yr_2018-2027_CA.xlsm]Reg Inputs'!H15</t>
  </si>
  <si>
    <t>(=)'G:\AW BUSINESS PLAN\2018-2022 BUSINESS PLAN\Outer Year Model\State Outer Year Models\2017.07.28 Submission\[AM_WATER_STATE_MODEL_10Yr_2018-2027_CA.xlsm]Reg Inputs'!I15</t>
  </si>
  <si>
    <t>(=)'G:\AW BUSINESS PLAN\2018-2022 BUSINESS PLAN\Outer Year Model\State Outer Year Models\2017.07.28 Submission\[AM_WATER_STATE_MODEL_10Yr_2018-2027_CA.xlsm]Reg Inputs'!J15</t>
  </si>
  <si>
    <t>(=)'G:\AW BUSINESS PLAN\2018-2022 BUSINESS PLAN\Outer Year Model\State Outer Year Models\2017.07.28 Submission\[AM_WATER_STATE_MODEL_10Yr_2018-2027_CA.xlsm]Reg Inputs'!K15</t>
  </si>
  <si>
    <t>(=)'G:\AW BUSINESS PLAN\2018-2022 BUSINESS PLAN\Outer Year Model\State Outer Year Models\2017.07.28 Submission\[AM_WATER_STATE_MODEL_10Yr_2018-2027_CA.xlsm]Reg Inputs'!L15</t>
  </si>
  <si>
    <t>(=)'G:\AW BUSINESS PLAN\2018-2022 BUSINESS PLAN\Outer Year Model\State Outer Year Models\2017.07.28 Submission\[AM_WATER_STATE_MODEL_10Yr_2018-2027_CA.xlsm]Reg Inputs'!M15</t>
  </si>
  <si>
    <t>(=)'G:\AW BUSINESS PLAN\2018-2022 BUSINESS PLAN\Outer Year Model\State Outer Year Models\2017.07.28 Submission\[AM_WATER_STATE_MODEL_10Yr_2018-2027_HI.xlsm]Reg Inputs'!D15</t>
  </si>
  <si>
    <t>(=)'G:\AW BUSINESS PLAN\2018-2022 BUSINESS PLAN\Outer Year Model\State Outer Year Models\2017.07.28 Submission\[AM_WATER_STATE_MODEL_10Yr_2018-2027_HI.xlsm]Reg Inputs'!E15</t>
  </si>
  <si>
    <t>(=)'G:\AW BUSINESS PLAN\2018-2022 BUSINESS PLAN\Outer Year Model\State Outer Year Models\2017.07.28 Submission\[AM_WATER_STATE_MODEL_10Yr_2018-2027_HI.xlsm]Reg Inputs'!F15</t>
  </si>
  <si>
    <t>(=)'G:\AW BUSINESS PLAN\2018-2022 BUSINESS PLAN\Outer Year Model\State Outer Year Models\2017.07.28 Submission\[AM_WATER_STATE_MODEL_10Yr_2018-2027_HI.xlsm]Reg Inputs'!G15</t>
  </si>
  <si>
    <t>(=)'G:\AW BUSINESS PLAN\2018-2022 BUSINESS PLAN\Outer Year Model\State Outer Year Models\2017.07.28 Submission\[AM_WATER_STATE_MODEL_10Yr_2018-2027_HI.xlsm]Reg Inputs'!H15</t>
  </si>
  <si>
    <t>(=)'G:\AW BUSINESS PLAN\2018-2022 BUSINESS PLAN\Outer Year Model\State Outer Year Models\2017.07.28 Submission\[AM_WATER_STATE_MODEL_10Yr_2018-2027_HI.xlsm]Reg Inputs'!I15</t>
  </si>
  <si>
    <t>(=)'G:\AW BUSINESS PLAN\2018-2022 BUSINESS PLAN\Outer Year Model\State Outer Year Models\2017.07.28 Submission\[AM_WATER_STATE_MODEL_10Yr_2018-2027_HI.xlsm]Reg Inputs'!J15</t>
  </si>
  <si>
    <t>(=)'G:\AW BUSINESS PLAN\2018-2022 BUSINESS PLAN\Outer Year Model\State Outer Year Models\2017.07.28 Submission\[AM_WATER_STATE_MODEL_10Yr_2018-2027_HI.xlsm]Reg Inputs'!K15</t>
  </si>
  <si>
    <t>(=)'G:\AW BUSINESS PLAN\2018-2022 BUSINESS PLAN\Outer Year Model\State Outer Year Models\2017.07.28 Submission\[AM_WATER_STATE_MODEL_10Yr_2018-2027_HI.xlsm]Reg Inputs'!L15</t>
  </si>
  <si>
    <t>(=)'G:\AW BUSINESS PLAN\2018-2022 BUSINESS PLAN\Outer Year Model\State Outer Year Models\2017.07.28 Submission\[AM_WATER_STATE_MODEL_10Yr_2018-2027_HI.xlsm]Reg Inputs'!M15</t>
  </si>
  <si>
    <t>(=)'G:\AW BUSINESS PLAN\2018-2022 BUSINESS PLAN\Outer Year Model\State Outer Year Models\2017.07.28 Submission\[AM_WATER_STATE_MODEL_10Yr_2018-2027_IA.xlsm]Reg Inputs'!D15</t>
  </si>
  <si>
    <t>(=)'G:\AW BUSINESS PLAN\2018-2022 BUSINESS PLAN\Outer Year Model\State Outer Year Models\2017.07.28 Submission\[AM_WATER_STATE_MODEL_10Yr_2018-2027_IA.xlsm]Reg Inputs'!E15</t>
  </si>
  <si>
    <t>(=)'G:\AW BUSINESS PLAN\2018-2022 BUSINESS PLAN\Outer Year Model\State Outer Year Models\2017.07.28 Submission\[AM_WATER_STATE_MODEL_10Yr_2018-2027_IA.xlsm]Reg Inputs'!F15</t>
  </si>
  <si>
    <t>(=)'G:\AW BUSINESS PLAN\2018-2022 BUSINESS PLAN\Outer Year Model\State Outer Year Models\2017.07.28 Submission\[AM_WATER_STATE_MODEL_10Yr_2018-2027_IA.xlsm]Reg Inputs'!G15</t>
  </si>
  <si>
    <t>(=)'G:\AW BUSINESS PLAN\2018-2022 BUSINESS PLAN\Outer Year Model\State Outer Year Models\2017.07.28 Submission\[AM_WATER_STATE_MODEL_10Yr_2018-2027_IA.xlsm]Reg Inputs'!H15</t>
  </si>
  <si>
    <t>(=)'G:\AW BUSINESS PLAN\2018-2022 BUSINESS PLAN\Outer Year Model\State Outer Year Models\2017.07.28 Submission\[AM_WATER_STATE_MODEL_10Yr_2018-2027_IA.xlsm]Reg Inputs'!I15</t>
  </si>
  <si>
    <t>(=)'G:\AW BUSINESS PLAN\2018-2022 BUSINESS PLAN\Outer Year Model\State Outer Year Models\2017.07.28 Submission\[AM_WATER_STATE_MODEL_10Yr_2018-2027_IA.xlsm]Reg Inputs'!J15</t>
  </si>
  <si>
    <t>(=)'G:\AW BUSINESS PLAN\2018-2022 BUSINESS PLAN\Outer Year Model\State Outer Year Models\2017.07.28 Submission\[AM_WATER_STATE_MODEL_10Yr_2018-2027_IA.xlsm]Reg Inputs'!K15</t>
  </si>
  <si>
    <t>(=)'G:\AW BUSINESS PLAN\2018-2022 BUSINESS PLAN\Outer Year Model\State Outer Year Models\2017.07.28 Submission\[AM_WATER_STATE_MODEL_10Yr_2018-2027_IA.xlsm]Reg Inputs'!L15</t>
  </si>
  <si>
    <t>(=)'G:\AW BUSINESS PLAN\2018-2022 BUSINESS PLAN\Outer Year Model\State Outer Year Models\2017.07.28 Submission\[AM_WATER_STATE_MODEL_10Yr_2018-2027_IA.xlsm]Reg Inputs'!M15</t>
  </si>
  <si>
    <t>(=)'G:\AW BUSINESS PLAN\2018-2022 BUSINESS PLAN\Outer Year Model\State Outer Year Models\2017.07.28 Submission\[AM_WATER_STATE_MODEL_10Yr_2018-2027_IL.xlsm]Reg Inputs'!D15</t>
  </si>
  <si>
    <t>(=)'G:\AW BUSINESS PLAN\2018-2022 BUSINESS PLAN\Outer Year Model\State Outer Year Models\2017.07.28 Submission\[AM_WATER_STATE_MODEL_10Yr_2018-2027_IL.xlsm]Reg Inputs'!E15</t>
  </si>
  <si>
    <t>(=)'G:\AW BUSINESS PLAN\2018-2022 BUSINESS PLAN\Outer Year Model\State Outer Year Models\2017.07.28 Submission\[AM_WATER_STATE_MODEL_10Yr_2018-2027_IL.xlsm]Reg Inputs'!F15</t>
  </si>
  <si>
    <t>(=)'G:\AW BUSINESS PLAN\2018-2022 BUSINESS PLAN\Outer Year Model\State Outer Year Models\2017.07.28 Submission\[AM_WATER_STATE_MODEL_10Yr_2018-2027_IL.xlsm]Reg Inputs'!G15</t>
  </si>
  <si>
    <t>(=)'G:\AW BUSINESS PLAN\2018-2022 BUSINESS PLAN\Outer Year Model\State Outer Year Models\2017.07.28 Submission\[AM_WATER_STATE_MODEL_10Yr_2018-2027_IL.xlsm]Reg Inputs'!H15</t>
  </si>
  <si>
    <t>(=)'G:\AW BUSINESS PLAN\2018-2022 BUSINESS PLAN\Outer Year Model\State Outer Year Models\2017.07.28 Submission\[AM_WATER_STATE_MODEL_10Yr_2018-2027_IL.xlsm]Reg Inputs'!I15</t>
  </si>
  <si>
    <t>(=)'G:\AW BUSINESS PLAN\2018-2022 BUSINESS PLAN\Outer Year Model\State Outer Year Models\2017.07.28 Submission\[AM_WATER_STATE_MODEL_10Yr_2018-2027_IL.xlsm]Reg Inputs'!J15</t>
  </si>
  <si>
    <t>(=)'G:\AW BUSINESS PLAN\2018-2022 BUSINESS PLAN\Outer Year Model\State Outer Year Models\2017.07.28 Submission\[AM_WATER_STATE_MODEL_10Yr_2018-2027_IL.xlsm]Reg Inputs'!K15</t>
  </si>
  <si>
    <t>(=)'G:\AW BUSINESS PLAN\2018-2022 BUSINESS PLAN\Outer Year Model\State Outer Year Models\2017.07.28 Submission\[AM_WATER_STATE_MODEL_10Yr_2018-2027_IL.xlsm]Reg Inputs'!L15</t>
  </si>
  <si>
    <t>(=)'G:\AW BUSINESS PLAN\2018-2022 BUSINESS PLAN\Outer Year Model\State Outer Year Models\2017.07.28 Submission\[AM_WATER_STATE_MODEL_10Yr_2018-2027_IL.xlsm]Reg Inputs'!M15</t>
  </si>
  <si>
    <t>(=)'G:\AW BUSINESS PLAN\2018-2022 BUSINESS PLAN\Outer Year Model\State Outer Year Models\2017.07.28 Submission\[AM_WATER_STATE_MODEL_10Yr_2018-2027_IN.xlsm]Reg Inputs'!D15</t>
  </si>
  <si>
    <t>(=)'G:\AW BUSINESS PLAN\2018-2022 BUSINESS PLAN\Outer Year Model\State Outer Year Models\2017.07.28 Submission\[AM_WATER_STATE_MODEL_10Yr_2018-2027_IN.xlsm]Reg Inputs'!E15</t>
  </si>
  <si>
    <t>(=)'G:\AW BUSINESS PLAN\2018-2022 BUSINESS PLAN\Outer Year Model\State Outer Year Models\2017.07.28 Submission\[AM_WATER_STATE_MODEL_10Yr_2018-2027_IN.xlsm]Reg Inputs'!F15</t>
  </si>
  <si>
    <t>(=)'G:\AW BUSINESS PLAN\2018-2022 BUSINESS PLAN\Outer Year Model\State Outer Year Models\2017.07.28 Submission\[AM_WATER_STATE_MODEL_10Yr_2018-2027_IN.xlsm]Reg Inputs'!G15</t>
  </si>
  <si>
    <t>(=)'G:\AW BUSINESS PLAN\2018-2022 BUSINESS PLAN\Outer Year Model\State Outer Year Models\2017.07.28 Submission\[AM_WATER_STATE_MODEL_10Yr_2018-2027_IN.xlsm]Reg Inputs'!H15</t>
  </si>
  <si>
    <t>(=)'G:\AW BUSINESS PLAN\2018-2022 BUSINESS PLAN\Outer Year Model\State Outer Year Models\2017.07.28 Submission\[AM_WATER_STATE_MODEL_10Yr_2018-2027_IN.xlsm]Reg Inputs'!I15</t>
  </si>
  <si>
    <t>(=)'G:\AW BUSINESS PLAN\2018-2022 BUSINESS PLAN\Outer Year Model\State Outer Year Models\2017.07.28 Submission\[AM_WATER_STATE_MODEL_10Yr_2018-2027_IN.xlsm]Reg Inputs'!J15</t>
  </si>
  <si>
    <t>(=)'G:\AW BUSINESS PLAN\2018-2022 BUSINESS PLAN\Outer Year Model\State Outer Year Models\2017.07.28 Submission\[AM_WATER_STATE_MODEL_10Yr_2018-2027_IN.xlsm]Reg Inputs'!K15</t>
  </si>
  <si>
    <t>(=)'G:\AW BUSINESS PLAN\2018-2022 BUSINESS PLAN\Outer Year Model\State Outer Year Models\2017.07.28 Submission\[AM_WATER_STATE_MODEL_10Yr_2018-2027_IN.xlsm]Reg Inputs'!L15</t>
  </si>
  <si>
    <t>(=)'G:\AW BUSINESS PLAN\2018-2022 BUSINESS PLAN\Outer Year Model\State Outer Year Models\2017.07.28 Submission\[AM_WATER_STATE_MODEL_10Yr_2018-2027_IN.xlsm]Reg Inputs'!M15</t>
  </si>
  <si>
    <t>(=)'G:\AW BUSINESS PLAN\2018-2022 BUSINESS PLAN\Outer Year Model\State Outer Year Models\2017.07.28 Submission\[AM_WATER_STATE_MODEL_10Yr_2018-2027_KY.xlsm]Reg Inputs'!D15</t>
  </si>
  <si>
    <t>(=)'G:\AW BUSINESS PLAN\2018-2022 BUSINESS PLAN\Outer Year Model\State Outer Year Models\2017.07.28 Submission\[AM_WATER_STATE_MODEL_10Yr_2018-2027_KY.xlsm]Reg Inputs'!E15</t>
  </si>
  <si>
    <t>(=)'G:\AW BUSINESS PLAN\2018-2022 BUSINESS PLAN\Outer Year Model\State Outer Year Models\2017.07.28 Submission\[AM_WATER_STATE_MODEL_10Yr_2018-2027_KY.xlsm]Reg Inputs'!F15</t>
  </si>
  <si>
    <t>(=)'G:\AW BUSINESS PLAN\2018-2022 BUSINESS PLAN\Outer Year Model\State Outer Year Models\2017.07.28 Submission\[AM_WATER_STATE_MODEL_10Yr_2018-2027_KY.xlsm]Reg Inputs'!G15</t>
  </si>
  <si>
    <t>(=)'G:\AW BUSINESS PLAN\2018-2022 BUSINESS PLAN\Outer Year Model\State Outer Year Models\2017.07.28 Submission\[AM_WATER_STATE_MODEL_10Yr_2018-2027_KY.xlsm]Reg Inputs'!H15</t>
  </si>
  <si>
    <t>(=)'G:\AW BUSINESS PLAN\2018-2022 BUSINESS PLAN\Outer Year Model\State Outer Year Models\2017.07.28 Submission\[AM_WATER_STATE_MODEL_10Yr_2018-2027_KY.xlsm]Reg Inputs'!I15</t>
  </si>
  <si>
    <t>(=)'G:\AW BUSINESS PLAN\2018-2022 BUSINESS PLAN\Outer Year Model\State Outer Year Models\2017.07.28 Submission\[AM_WATER_STATE_MODEL_10Yr_2018-2027_KY.xlsm]Reg Inputs'!J15</t>
  </si>
  <si>
    <t>(=)'G:\AW BUSINESS PLAN\2018-2022 BUSINESS PLAN\Outer Year Model\State Outer Year Models\2017.07.28 Submission\[AM_WATER_STATE_MODEL_10Yr_2018-2027_KY.xlsm]Reg Inputs'!K15</t>
  </si>
  <si>
    <t>(=)'G:\AW BUSINESS PLAN\2018-2022 BUSINESS PLAN\Outer Year Model\State Outer Year Models\2017.07.28 Submission\[AM_WATER_STATE_MODEL_10Yr_2018-2027_KY.xlsm]Reg Inputs'!L15</t>
  </si>
  <si>
    <t>(=)'G:\AW BUSINESS PLAN\2018-2022 BUSINESS PLAN\Outer Year Model\State Outer Year Models\2017.07.28 Submission\[AM_WATER_STATE_MODEL_10Yr_2018-2027_KY.xlsm]Reg Inputs'!M15</t>
  </si>
  <si>
    <t>(=)'G:\AW BUSINESS PLAN\2018-2022 BUSINESS PLAN\Outer Year Model\State Outer Year Models\2017.07.28 Submission\[AM_WATER_STATE_MODEL_10Yr_2018-2027_LW.xlsm]Reg Inputs'!D15</t>
  </si>
  <si>
    <t>(=)'G:\AW BUSINESS PLAN\2018-2022 BUSINESS PLAN\Outer Year Model\State Outer Year Models\2017.07.28 Submission\[AM_WATER_STATE_MODEL_10Yr_2018-2027_LW.xlsm]Reg Inputs'!E15</t>
  </si>
  <si>
    <t>(=)'G:\AW BUSINESS PLAN\2018-2022 BUSINESS PLAN\Outer Year Model\State Outer Year Models\2017.07.28 Submission\[AM_WATER_STATE_MODEL_10Yr_2018-2027_LW.xlsm]Reg Inputs'!F15</t>
  </si>
  <si>
    <t>(=)'G:\AW BUSINESS PLAN\2018-2022 BUSINESS PLAN\Outer Year Model\State Outer Year Models\2017.07.28 Submission\[AM_WATER_STATE_MODEL_10Yr_2018-2027_LW.xlsm]Reg Inputs'!G15</t>
  </si>
  <si>
    <t>(=)'G:\AW BUSINESS PLAN\2018-2022 BUSINESS PLAN\Outer Year Model\State Outer Year Models\2017.07.28 Submission\[AM_WATER_STATE_MODEL_10Yr_2018-2027_LW.xlsm]Reg Inputs'!H15</t>
  </si>
  <si>
    <t>(=)'G:\AW BUSINESS PLAN\2018-2022 BUSINESS PLAN\Outer Year Model\State Outer Year Models\2017.07.28 Submission\[AM_WATER_STATE_MODEL_10Yr_2018-2027_LW.xlsm]Reg Inputs'!I15</t>
  </si>
  <si>
    <t>(=)'G:\AW BUSINESS PLAN\2018-2022 BUSINESS PLAN\Outer Year Model\State Outer Year Models\2017.07.28 Submission\[AM_WATER_STATE_MODEL_10Yr_2018-2027_LW.xlsm]Reg Inputs'!J15</t>
  </si>
  <si>
    <t>(=)'G:\AW BUSINESS PLAN\2018-2022 BUSINESS PLAN\Outer Year Model\State Outer Year Models\2017.07.28 Submission\[AM_WATER_STATE_MODEL_10Yr_2018-2027_LW.xlsm]Reg Inputs'!K15</t>
  </si>
  <si>
    <t>(=)'G:\AW BUSINESS PLAN\2018-2022 BUSINESS PLAN\Outer Year Model\State Outer Year Models\2017.07.28 Submission\[AM_WATER_STATE_MODEL_10Yr_2018-2027_LW.xlsm]Reg Inputs'!L15</t>
  </si>
  <si>
    <t>(=)'G:\AW BUSINESS PLAN\2018-2022 BUSINESS PLAN\Outer Year Model\State Outer Year Models\2017.07.28 Submission\[AM_WATER_STATE_MODEL_10Yr_2018-2027_LW.xlsm]Reg Inputs'!M15</t>
  </si>
  <si>
    <t>(=)'G:\AW BUSINESS PLAN\2018-2022 BUSINESS PLAN\Outer Year Model\State Outer Year Models\2017.07.28 Submission\[AM_WATER_STATE_MODEL_10Yr_2018-2027_MD.xlsm]Reg Inputs'!D15</t>
  </si>
  <si>
    <t>(=)'G:\AW BUSINESS PLAN\2018-2022 BUSINESS PLAN\Outer Year Model\State Outer Year Models\2017.07.28 Submission\[AM_WATER_STATE_MODEL_10Yr_2018-2027_MD.xlsm]Reg Inputs'!E15</t>
  </si>
  <si>
    <t>(=)'G:\AW BUSINESS PLAN\2018-2022 BUSINESS PLAN\Outer Year Model\State Outer Year Models\2017.07.28 Submission\[AM_WATER_STATE_MODEL_10Yr_2018-2027_MD.xlsm]Reg Inputs'!F15</t>
  </si>
  <si>
    <t>(=)'G:\AW BUSINESS PLAN\2018-2022 BUSINESS PLAN\Outer Year Model\State Outer Year Models\2017.07.28 Submission\[AM_WATER_STATE_MODEL_10Yr_2018-2027_MD.xlsm]Reg Inputs'!G15</t>
  </si>
  <si>
    <t>(=)'G:\AW BUSINESS PLAN\2018-2022 BUSINESS PLAN\Outer Year Model\State Outer Year Models\2017.07.28 Submission\[AM_WATER_STATE_MODEL_10Yr_2018-2027_MD.xlsm]Reg Inputs'!H15</t>
  </si>
  <si>
    <t>(=)'G:\AW BUSINESS PLAN\2018-2022 BUSINESS PLAN\Outer Year Model\State Outer Year Models\2017.07.28 Submission\[AM_WATER_STATE_MODEL_10Yr_2018-2027_MD.xlsm]Reg Inputs'!I15</t>
  </si>
  <si>
    <t>(=)'G:\AW BUSINESS PLAN\2018-2022 BUSINESS PLAN\Outer Year Model\State Outer Year Models\2017.07.28 Submission\[AM_WATER_STATE_MODEL_10Yr_2018-2027_MD.xlsm]Reg Inputs'!J15</t>
  </si>
  <si>
    <t>(=)'G:\AW BUSINESS PLAN\2018-2022 BUSINESS PLAN\Outer Year Model\State Outer Year Models\2017.07.28 Submission\[AM_WATER_STATE_MODEL_10Yr_2018-2027_MD.xlsm]Reg Inputs'!K15</t>
  </si>
  <si>
    <t>(=)'G:\AW BUSINESS PLAN\2018-2022 BUSINESS PLAN\Outer Year Model\State Outer Year Models\2017.07.28 Submission\[AM_WATER_STATE_MODEL_10Yr_2018-2027_MD.xlsm]Reg Inputs'!L15</t>
  </si>
  <si>
    <t>(=)'G:\AW BUSINESS PLAN\2018-2022 BUSINESS PLAN\Outer Year Model\State Outer Year Models\2017.07.28 Submission\[AM_WATER_STATE_MODEL_10Yr_2018-2027_MD.xlsm]Reg Inputs'!M15</t>
  </si>
  <si>
    <t>(=)'G:\AW BUSINESS PLAN\2018-2022 BUSINESS PLAN\Outer Year Model\State Outer Year Models\2017.07.28 Submission\[AM_WATER_STATE_MODEL_10Yr_2018-2027_MI.xlsm]Reg Inputs'!D15</t>
  </si>
  <si>
    <t>(=)'G:\AW BUSINESS PLAN\2018-2022 BUSINESS PLAN\Outer Year Model\State Outer Year Models\2017.07.28 Submission\[AM_WATER_STATE_MODEL_10Yr_2018-2027_MI.xlsm]Reg Inputs'!E15</t>
  </si>
  <si>
    <t>(=)'G:\AW BUSINESS PLAN\2018-2022 BUSINESS PLAN\Outer Year Model\State Outer Year Models\2017.07.28 Submission\[AM_WATER_STATE_MODEL_10Yr_2018-2027_MI.xlsm]Reg Inputs'!F15</t>
  </si>
  <si>
    <t>(=)'G:\AW BUSINESS PLAN\2018-2022 BUSINESS PLAN\Outer Year Model\State Outer Year Models\2017.07.28 Submission\[AM_WATER_STATE_MODEL_10Yr_2018-2027_MI.xlsm]Reg Inputs'!G15</t>
  </si>
  <si>
    <t>(=)'G:\AW BUSINESS PLAN\2018-2022 BUSINESS PLAN\Outer Year Model\State Outer Year Models\2017.07.28 Submission\[AM_WATER_STATE_MODEL_10Yr_2018-2027_MI.xlsm]Reg Inputs'!H15</t>
  </si>
  <si>
    <t>(=)'G:\AW BUSINESS PLAN\2018-2022 BUSINESS PLAN\Outer Year Model\State Outer Year Models\2017.07.28 Submission\[AM_WATER_STATE_MODEL_10Yr_2018-2027_MI.xlsm]Reg Inputs'!I15</t>
  </si>
  <si>
    <t>(=)'G:\AW BUSINESS PLAN\2018-2022 BUSINESS PLAN\Outer Year Model\State Outer Year Models\2017.07.28 Submission\[AM_WATER_STATE_MODEL_10Yr_2018-2027_MI.xlsm]Reg Inputs'!J15</t>
  </si>
  <si>
    <t>(=)'G:\AW BUSINESS PLAN\2018-2022 BUSINESS PLAN\Outer Year Model\State Outer Year Models\2017.07.28 Submission\[AM_WATER_STATE_MODEL_10Yr_2018-2027_MI.xlsm]Reg Inputs'!K15</t>
  </si>
  <si>
    <t>(=)'G:\AW BUSINESS PLAN\2018-2022 BUSINESS PLAN\Outer Year Model\State Outer Year Models\2017.07.28 Submission\[AM_WATER_STATE_MODEL_10Yr_2018-2027_MI.xlsm]Reg Inputs'!L15</t>
  </si>
  <si>
    <t>(=)'G:\AW BUSINESS PLAN\2018-2022 BUSINESS PLAN\Outer Year Model\State Outer Year Models\2017.07.28 Submission\[AM_WATER_STATE_MODEL_10Yr_2018-2027_MI.xlsm]Reg Inputs'!M15</t>
  </si>
  <si>
    <t>(=)'G:\AW BUSINESS PLAN\2018-2022 BUSINESS PLAN\Outer Year Model\State Outer Year Models\2017.07.28 Submission\[AM_WATER_STATE_MODEL_10Yr_2018-2027_MO.xlsm]Reg Inputs'!D15</t>
  </si>
  <si>
    <t>(=)'G:\AW BUSINESS PLAN\2018-2022 BUSINESS PLAN\Outer Year Model\State Outer Year Models\2017.07.28 Submission\[AM_WATER_STATE_MODEL_10Yr_2018-2027_MO.xlsm]Reg Inputs'!E15</t>
  </si>
  <si>
    <t>(=)'G:\AW BUSINESS PLAN\2018-2022 BUSINESS PLAN\Outer Year Model\State Outer Year Models\2017.07.28 Submission\[AM_WATER_STATE_MODEL_10Yr_2018-2027_MO.xlsm]Reg Inputs'!F15</t>
  </si>
  <si>
    <t>(=)'G:\AW BUSINESS PLAN\2018-2022 BUSINESS PLAN\Outer Year Model\State Outer Year Models\2017.07.28 Submission\[AM_WATER_STATE_MODEL_10Yr_2018-2027_MO.xlsm]Reg Inputs'!G15</t>
  </si>
  <si>
    <t>(=)'G:\AW BUSINESS PLAN\2018-2022 BUSINESS PLAN\Outer Year Model\State Outer Year Models\2017.07.28 Submission\[AM_WATER_STATE_MODEL_10Yr_2018-2027_MO.xlsm]Reg Inputs'!H15</t>
  </si>
  <si>
    <t>(=)'G:\AW BUSINESS PLAN\2018-2022 BUSINESS PLAN\Outer Year Model\State Outer Year Models\2017.07.28 Submission\[AM_WATER_STATE_MODEL_10Yr_2018-2027_MO.xlsm]Reg Inputs'!I15</t>
  </si>
  <si>
    <t>(=)'G:\AW BUSINESS PLAN\2018-2022 BUSINESS PLAN\Outer Year Model\State Outer Year Models\2017.07.28 Submission\[AM_WATER_STATE_MODEL_10Yr_2018-2027_MO.xlsm]Reg Inputs'!J15</t>
  </si>
  <si>
    <t>(=)'G:\AW BUSINESS PLAN\2018-2022 BUSINESS PLAN\Outer Year Model\State Outer Year Models\2017.07.28 Submission\[AM_WATER_STATE_MODEL_10Yr_2018-2027_MO.xlsm]Reg Inputs'!K15</t>
  </si>
  <si>
    <t>(=)'G:\AW BUSINESS PLAN\2018-2022 BUSINESS PLAN\Outer Year Model\State Outer Year Models\2017.07.28 Submission\[AM_WATER_STATE_MODEL_10Yr_2018-2027_MO.xlsm]Reg Inputs'!L15</t>
  </si>
  <si>
    <t>(=)'G:\AW BUSINESS PLAN\2018-2022 BUSINESS PLAN\Outer Year Model\State Outer Year Models\2017.07.28 Submission\[AM_WATER_STATE_MODEL_10Yr_2018-2027_MO.xlsm]Reg Inputs'!M15</t>
  </si>
  <si>
    <t>(=)'G:\AW BUSINESS PLAN\2018-2022 BUSINESS PLAN\Outer Year Model\State Outer Year Models\2017.07.28 Submission\[AM_WATER_STATE_MODEL_10Yr_2018-2027_NY.xlsm]Reg Inputs'!D15</t>
  </si>
  <si>
    <t>(=)'G:\AW BUSINESS PLAN\2018-2022 BUSINESS PLAN\Outer Year Model\State Outer Year Models\2017.07.28 Submission\[AM_WATER_STATE_MODEL_10Yr_2018-2027_NY.xlsm]Reg Inputs'!E15</t>
  </si>
  <si>
    <t>(=)'G:\AW BUSINESS PLAN\2018-2022 BUSINESS PLAN\Outer Year Model\State Outer Year Models\2017.07.28 Submission\[AM_WATER_STATE_MODEL_10Yr_2018-2027_NY.xlsm]Reg Inputs'!F15</t>
  </si>
  <si>
    <t>(=)'G:\AW BUSINESS PLAN\2018-2022 BUSINESS PLAN\Outer Year Model\State Outer Year Models\2017.07.28 Submission\[AM_WATER_STATE_MODEL_10Yr_2018-2027_NY.xlsm]Reg Inputs'!G15</t>
  </si>
  <si>
    <t>(=)'G:\AW BUSINESS PLAN\2018-2022 BUSINESS PLAN\Outer Year Model\State Outer Year Models\2017.07.28 Submission\[AM_WATER_STATE_MODEL_10Yr_2018-2027_NY.xlsm]Reg Inputs'!H15</t>
  </si>
  <si>
    <t>(=)'G:\AW BUSINESS PLAN\2018-2022 BUSINESS PLAN\Outer Year Model\State Outer Year Models\2017.07.28 Submission\[AM_WATER_STATE_MODEL_10Yr_2018-2027_NY.xlsm]Reg Inputs'!I15</t>
  </si>
  <si>
    <t>(=)'G:\AW BUSINESS PLAN\2018-2022 BUSINESS PLAN\Outer Year Model\State Outer Year Models\2017.07.28 Submission\[AM_WATER_STATE_MODEL_10Yr_2018-2027_NY.xlsm]Reg Inputs'!J15</t>
  </si>
  <si>
    <t>(=)'G:\AW BUSINESS PLAN\2018-2022 BUSINESS PLAN\Outer Year Model\State Outer Year Models\2017.07.28 Submission\[AM_WATER_STATE_MODEL_10Yr_2018-2027_NY.xlsm]Reg Inputs'!K15</t>
  </si>
  <si>
    <t>(=)'G:\AW BUSINESS PLAN\2018-2022 BUSINESS PLAN\Outer Year Model\State Outer Year Models\2017.07.28 Submission\[AM_WATER_STATE_MODEL_10Yr_2018-2027_NY.xlsm]Reg Inputs'!L15</t>
  </si>
  <si>
    <t>(=)'G:\AW BUSINESS PLAN\2018-2022 BUSINESS PLAN\Outer Year Model\State Outer Year Models\2017.07.28 Submission\[AM_WATER_STATE_MODEL_10Yr_2018-2027_NY.xlsm]Reg Inputs'!M15</t>
  </si>
  <si>
    <t>(=)'G:\AW BUSINESS PLAN\2018-2022 BUSINESS PLAN\Outer Year Model\State Outer Year Models\2017.07.28 Submission\[AM_WATER_STATE_MODEL_10Yr_2018-2027_PA.xlsm]Reg Inputs'!D15</t>
  </si>
  <si>
    <t>(=)'G:\AW BUSINESS PLAN\2018-2022 BUSINESS PLAN\Outer Year Model\State Outer Year Models\2017.07.28 Submission\[AM_WATER_STATE_MODEL_10Yr_2018-2027_PA.xlsm]Reg Inputs'!E15</t>
  </si>
  <si>
    <t>(=)'G:\AW BUSINESS PLAN\2018-2022 BUSINESS PLAN\Outer Year Model\State Outer Year Models\2017.07.28 Submission\[AM_WATER_STATE_MODEL_10Yr_2018-2027_PA.xlsm]Reg Inputs'!F15</t>
  </si>
  <si>
    <t>(=)'G:\AW BUSINESS PLAN\2018-2022 BUSINESS PLAN\Outer Year Model\State Outer Year Models\2017.07.28 Submission\[AM_WATER_STATE_MODEL_10Yr_2018-2027_PA.xlsm]Reg Inputs'!G15</t>
  </si>
  <si>
    <t>(=)'G:\AW BUSINESS PLAN\2018-2022 BUSINESS PLAN\Outer Year Model\State Outer Year Models\2017.07.28 Submission\[AM_WATER_STATE_MODEL_10Yr_2018-2027_PA.xlsm]Reg Inputs'!H15</t>
  </si>
  <si>
    <t>(=)'G:\AW BUSINESS PLAN\2018-2022 BUSINESS PLAN\Outer Year Model\State Outer Year Models\2017.07.28 Submission\[AM_WATER_STATE_MODEL_10Yr_2018-2027_PA.xlsm]Reg Inputs'!I15</t>
  </si>
  <si>
    <t>(=)'G:\AW BUSINESS PLAN\2018-2022 BUSINESS PLAN\Outer Year Model\State Outer Year Models\2017.07.28 Submission\[AM_WATER_STATE_MODEL_10Yr_2018-2027_PA.xlsm]Reg Inputs'!J15</t>
  </si>
  <si>
    <t>(=)'G:\AW BUSINESS PLAN\2018-2022 BUSINESS PLAN\Outer Year Model\State Outer Year Models\2017.07.28 Submission\[AM_WATER_STATE_MODEL_10Yr_2018-2027_PA.xlsm]Reg Inputs'!K15</t>
  </si>
  <si>
    <t>(=)'G:\AW BUSINESS PLAN\2018-2022 BUSINESS PLAN\Outer Year Model\State Outer Year Models\2017.07.28 Submission\[AM_WATER_STATE_MODEL_10Yr_2018-2027_PA.xlsm]Reg Inputs'!L15</t>
  </si>
  <si>
    <t>(=)'G:\AW BUSINESS PLAN\2018-2022 BUSINESS PLAN\Outer Year Model\State Outer Year Models\2017.07.28 Submission\[AM_WATER_STATE_MODEL_10Yr_2018-2027_PA.xlsm]Reg Inputs'!M15</t>
  </si>
  <si>
    <t>(=)'G:\AW BUSINESS PLAN\2018-2022 BUSINESS PLAN\Outer Year Model\State Outer Year Models\2017.07.28 Submission\[AM_WATER_STATE_MODEL_10Yr_2018-2027_TN.xlsm]Reg Inputs'!D15</t>
  </si>
  <si>
    <t>(=)'G:\AW BUSINESS PLAN\2018-2022 BUSINESS PLAN\Outer Year Model\State Outer Year Models\2017.07.28 Submission\[AM_WATER_STATE_MODEL_10Yr_2018-2027_TN.xlsm]Reg Inputs'!E15</t>
  </si>
  <si>
    <t>(=)'G:\AW BUSINESS PLAN\2018-2022 BUSINESS PLAN\Outer Year Model\State Outer Year Models\2017.07.28 Submission\[AM_WATER_STATE_MODEL_10Yr_2018-2027_TN.xlsm]Reg Inputs'!F15</t>
  </si>
  <si>
    <t>(=)'G:\AW BUSINESS PLAN\2018-2022 BUSINESS PLAN\Outer Year Model\State Outer Year Models\2017.07.28 Submission\[AM_WATER_STATE_MODEL_10Yr_2018-2027_TN.xlsm]Reg Inputs'!G15</t>
  </si>
  <si>
    <t>(=)'G:\AW BUSINESS PLAN\2018-2022 BUSINESS PLAN\Outer Year Model\State Outer Year Models\2017.07.28 Submission\[AM_WATER_STATE_MODEL_10Yr_2018-2027_TN.xlsm]Reg Inputs'!H15</t>
  </si>
  <si>
    <t>(=)'G:\AW BUSINESS PLAN\2018-2022 BUSINESS PLAN\Outer Year Model\State Outer Year Models\2017.07.28 Submission\[AM_WATER_STATE_MODEL_10Yr_2018-2027_TN.xlsm]Reg Inputs'!I15</t>
  </si>
  <si>
    <t>(=)'G:\AW BUSINESS PLAN\2018-2022 BUSINESS PLAN\Outer Year Model\State Outer Year Models\2017.07.28 Submission\[AM_WATER_STATE_MODEL_10Yr_2018-2027_TN.xlsm]Reg Inputs'!J15</t>
  </si>
  <si>
    <t>(=)'G:\AW BUSINESS PLAN\2018-2022 BUSINESS PLAN\Outer Year Model\State Outer Year Models\2017.07.28 Submission\[AM_WATER_STATE_MODEL_10Yr_2018-2027_TN.xlsm]Reg Inputs'!K15</t>
  </si>
  <si>
    <t>(=)'G:\AW BUSINESS PLAN\2018-2022 BUSINESS PLAN\Outer Year Model\State Outer Year Models\2017.07.28 Submission\[AM_WATER_STATE_MODEL_10Yr_2018-2027_TN.xlsm]Reg Inputs'!L15</t>
  </si>
  <si>
    <t>(=)'G:\AW BUSINESS PLAN\2018-2022 BUSINESS PLAN\Outer Year Model\State Outer Year Models\2017.07.28 Submission\[AM_WATER_STATE_MODEL_10Yr_2018-2027_TN.xlsm]Reg Inputs'!M15</t>
  </si>
  <si>
    <t>(=)'G:\AW BUSINESS PLAN\2017-2021 BUSINESS PLAN\Out Year Model\2016.08.29 Submission\[AM_WATER_STATE_MODEL_10Yr_2017-2026_ETS.xlsm]Total_Reports'!C158</t>
  </si>
  <si>
    <t>(=)'G:\AW BUSINESS PLAN\2017-2021 BUSINESS PLAN\Out Year Model\2016.08.29 Submission\[AM_WATER_STATE_MODEL_10Yr_2017-2026_ETS.xlsm]Total_Reports'!D158</t>
  </si>
  <si>
    <t>(=)'G:\AW BUSINESS PLAN\2017-2021 BUSINESS PLAN\Out Year Model\2016.08.29 Submission\[AM_WATER_STATE_MODEL_10Yr_2017-2026_ETS.xlsm]Total_Reports'!E158</t>
  </si>
  <si>
    <t>(=)'G:\AW BUSINESS PLAN\2017-2021 BUSINESS PLAN\Out Year Model\2016.08.29 Submission\[AM_WATER_STATE_MODEL_10Yr_2017-2026_ETS.xlsm]Total_Reports'!F158</t>
  </si>
  <si>
    <t>(=)'G:\AW BUSINESS PLAN\2017-2021 BUSINESS PLAN\Out Year Model\2016.08.29 Submission\[AM_WATER_STATE_MODEL_10Yr_2017-2026_ETS.xlsm]Total_Reports'!G158</t>
  </si>
  <si>
    <t>(=)'G:\AW BUSINESS PLAN\2017-2021 BUSINESS PLAN\Out Year Model\2016.08.29 Submission\[AM_WATER_STATE_MODEL_10Yr_2017-2026_ETS.xlsm]Total_Reports'!H158</t>
  </si>
  <si>
    <t>(=)'G:\AW BUSINESS PLAN\2017-2021 BUSINESS PLAN\Out Year Model\2016.08.29 Submission\[AM_WATER_STATE_MODEL_10Yr_2017-2026_ETS.xlsm]Total_Reports'!I158</t>
  </si>
  <si>
    <t>(=)'G:\AW BUSINESS PLAN\2017-2021 BUSINESS PLAN\Out Year Model\2016.08.29 Submission\[AM_WATER_STATE_MODEL_10Yr_2017-2026_ETS.xlsm]Total_Reports'!J158</t>
  </si>
  <si>
    <t>(=)'G:\AW BUSINESS PLAN\2017-2021 BUSINESS PLAN\Out Year Model\2016.08.29 Submission\[AM_WATER_STATE_MODEL_10Yr_2017-2026_ETS.xlsm]Total_Reports'!K158</t>
  </si>
  <si>
    <t>(=)'G:\AW BUSINESS PLAN\2017-2021 BUSINESS PLAN\Out Year Model\2016.08.29 Submission\[AM_WATER_STATE_MODEL_10Yr_2017-2026_ETS.xlsm]Total_Reports'!L158</t>
  </si>
  <si>
    <t>(=)'G:\AW BUSINESS PLAN\2017-2021 BUSINESS PLAN\Out Year Model\2016.08.29 Submission\[AM_WATER_STATE_MODEL_10Yr_2017-2026_LIB.xlsm]Total_Reports'!C158</t>
  </si>
  <si>
    <t>(=)'G:\AW BUSINESS PLAN\2017-2021 BUSINESS PLAN\Out Year Model\2016.08.29 Submission\[AM_WATER_STATE_MODEL_10Yr_2017-2026_LIB.xlsm]Total_Reports'!D158</t>
  </si>
  <si>
    <t>(=)'G:\AW BUSINESS PLAN\2017-2021 BUSINESS PLAN\Out Year Model\2016.08.29 Submission\[AM_WATER_STATE_MODEL_10Yr_2017-2026_LIB.xlsm]Total_Reports'!E158</t>
  </si>
  <si>
    <t>(=)'G:\AW BUSINESS PLAN\2017-2021 BUSINESS PLAN\Out Year Model\2016.08.29 Submission\[AM_WATER_STATE_MODEL_10Yr_2017-2026_LIB.xlsm]Total_Reports'!F158</t>
  </si>
  <si>
    <t>(=)'G:\AW BUSINESS PLAN\2017-2021 BUSINESS PLAN\Out Year Model\2016.08.29 Submission\[AM_WATER_STATE_MODEL_10Yr_2017-2026_LIB.xlsm]Total_Reports'!G158</t>
  </si>
  <si>
    <t>(=)'G:\AW BUSINESS PLAN\2017-2021 BUSINESS PLAN\Out Year Model\2016.08.29 Submission\[AM_WATER_STATE_MODEL_10Yr_2017-2026_LIB.xlsm]Total_Reports'!H158</t>
  </si>
  <si>
    <t>(=)'G:\AW BUSINESS PLAN\2017-2021 BUSINESS PLAN\Out Year Model\2016.08.29 Submission\[AM_WATER_STATE_MODEL_10Yr_2017-2026_LIB.xlsm]Total_Reports'!I158</t>
  </si>
  <si>
    <t>(=)'G:\AW BUSINESS PLAN\2017-2021 BUSINESS PLAN\Out Year Model\2016.08.29 Submission\[AM_WATER_STATE_MODEL_10Yr_2017-2026_LIB.xlsm]Total_Reports'!J158</t>
  </si>
  <si>
    <t>(=)'G:\AW BUSINESS PLAN\2017-2021 BUSINESS PLAN\Out Year Model\2016.08.29 Submission\[AM_WATER_STATE_MODEL_10Yr_2017-2026_LIB.xlsm]Total_Reports'!K158</t>
  </si>
  <si>
    <t>(=)'G:\AW BUSINESS PLAN\2017-2021 BUSINESS PLAN\Out Year Model\2016.08.29 Submission\[AM_WATER_STATE_MODEL_10Yr_2017-2026_LIB.xlsm]Total_Reports'!L158</t>
  </si>
  <si>
    <t>AM_WATER_STATE_MODEL_10Yr_2018-2027_ETS</t>
  </si>
  <si>
    <t>AM_WATER_STATE_MODEL_10Yr_2018-2027_Liberty</t>
  </si>
  <si>
    <t>AM_WATER_STATE_MODEL_10Yr_2018-2027_NJ</t>
  </si>
  <si>
    <t>(=)'G:\AW BUSINESS PLAN\2017-2021 BUSINESS PLAN\Out Year Model\2016.07.29 Submission\[AM_WATER_STATE_MODEL_10Yr_2018-2027_ETS.xlsm]'!</t>
  </si>
  <si>
    <t>='G:\AW BUSINESS PLAN\2018-2022 BUSINESS PLAN\Outer Year Model\State Outer Year Models\2017.07.28 Submission\[AM_WATER_STATE_MODEL_10Yr_2018-2027_MI.xlsm]Base_Reports'!M273</t>
  </si>
  <si>
    <t>(=)'G:\AW BUSINESS PLAN\2018-2022 BUSINESS PLAN\Outer Year Model\State Outer Year Models\2017.07.28 Submission\[AM_WATER_STATE_MODEL_10Yr_2018-2027_ETS.xlsm]Base_Inputs'!E262</t>
  </si>
  <si>
    <t>(=)'G:\AW BUSINESS PLAN\2018-2022 BUSINESS PLAN\Outer Year Model\State Outer Year Models\2017.07.28 Submission\[AM_WATER_STATE_MODEL_10Yr_2018-2027_ETS.xlsm]Base_Inputs'!F262</t>
  </si>
  <si>
    <t>(=)'G:\AW BUSINESS PLAN\2018-2022 BUSINESS PLAN\Outer Year Model\State Outer Year Models\2017.07.28 Submission\[AM_WATER_STATE_MODEL_10Yr_2018-2027_ETS.xlsm]Base_Inputs'!G262</t>
  </si>
  <si>
    <t>(=)'G:\AW BUSINESS PLAN\2018-2022 BUSINESS PLAN\Outer Year Model\State Outer Year Models\2017.07.28 Submission\[AM_WATER_STATE_MODEL_10Yr_2018-2027_ETS.xlsm]Base_Inputs'!H262</t>
  </si>
  <si>
    <t>(=)'G:\AW BUSINESS PLAN\2018-2022 BUSINESS PLAN\Outer Year Model\State Outer Year Models\2017.07.28 Submission\[AM_WATER_STATE_MODEL_10Yr_2018-2027_ETS.xlsm]Base_Inputs'!I262</t>
  </si>
  <si>
    <t>(=)'G:\AW BUSINESS PLAN\2018-2022 BUSINESS PLAN\Outer Year Model\State Outer Year Models\2017.07.28 Submission\[AM_WATER_STATE_MODEL_10Yr_2018-2027_ETS.xlsm]Base_Inputs'!J262</t>
  </si>
  <si>
    <t>(=)'G:\AW BUSINESS PLAN\2018-2022 BUSINESS PLAN\Outer Year Model\State Outer Year Models\2017.07.28 Submission\[AM_WATER_STATE_MODEL_10Yr_2018-2027_ETS.xlsm]Base_Inputs'!K262</t>
  </si>
  <si>
    <t>(=)'G:\AW BUSINESS PLAN\2018-2022 BUSINESS PLAN\Outer Year Model\State Outer Year Models\2017.07.28 Submission\[AM_WATER_STATE_MODEL_10Yr_2018-2027_ETS.xlsm]Base_Inputs'!L262</t>
  </si>
  <si>
    <t>(=)'G:\AW BUSINESS PLAN\2018-2022 BUSINESS PLAN\Outer Year Model\State Outer Year Models\2017.07.28 Submission\[AM_WATER_STATE_MODEL_10Yr_2018-2027_ETS.xlsm]Base_Inputs'!M262</t>
  </si>
  <si>
    <t>(=)'G:\AW BUSINESS PLAN\2018-2022 BUSINESS PLAN\Outer Year Model\State Outer Year Models\2017.07.28 Submission\[AM_WATER_STATE_MODEL_10Yr_2018-2027_Liberty.xlsm]Base_Inputs'!E262</t>
  </si>
  <si>
    <t>(=)'G:\AW BUSINESS PLAN\2018-2022 BUSINESS PLAN\Outer Year Model\State Outer Year Models\2017.07.28 Submission\[AM_WATER_STATE_MODEL_10Yr_2018-2027_Liberty.xlsm]Base_Inputs'!F262</t>
  </si>
  <si>
    <t>(=)'G:\AW BUSINESS PLAN\2018-2022 BUSINESS PLAN\Outer Year Model\State Outer Year Models\2017.07.28 Submission\[AM_WATER_STATE_MODEL_10Yr_2018-2027_Liberty.xlsm]Base_Inputs'!G262</t>
  </si>
  <si>
    <t>(=)'G:\AW BUSINESS PLAN\2018-2022 BUSINESS PLAN\Outer Year Model\State Outer Year Models\2017.07.28 Submission\[AM_WATER_STATE_MODEL_10Yr_2018-2027_Liberty.xlsm]Base_Inputs'!H262</t>
  </si>
  <si>
    <t>(=)'G:\AW BUSINESS PLAN\2018-2022 BUSINESS PLAN\Outer Year Model\State Outer Year Models\2017.07.28 Submission\[AM_WATER_STATE_MODEL_10Yr_2018-2027_Liberty.xlsm]Base_Inputs'!I262</t>
  </si>
  <si>
    <t>(=)'G:\AW BUSINESS PLAN\2018-2022 BUSINESS PLAN\Outer Year Model\State Outer Year Models\2017.07.28 Submission\[AM_WATER_STATE_MODEL_10Yr_2018-2027_Liberty.xlsm]Base_Inputs'!J262</t>
  </si>
  <si>
    <t>(=)'G:\AW BUSINESS PLAN\2018-2022 BUSINESS PLAN\Outer Year Model\State Outer Year Models\2017.07.28 Submission\[AM_WATER_STATE_MODEL_10Yr_2018-2027_Liberty.xlsm]Base_Inputs'!K262</t>
  </si>
  <si>
    <t>(=)'G:\AW BUSINESS PLAN\2018-2022 BUSINESS PLAN\Outer Year Model\State Outer Year Models\2017.07.28 Submission\[AM_WATER_STATE_MODEL_10Yr_2018-2027_Liberty.xlsm]Base_Inputs'!L262</t>
  </si>
  <si>
    <t>(=)'G:\AW BUSINESS PLAN\2018-2022 BUSINESS PLAN\Outer Year Model\State Outer Year Models\2017.07.28 Submission\[AM_WATER_STATE_MODEL_10Yr_2018-2027_Liberty.xlsm]Base_Inputs'!M262</t>
  </si>
  <si>
    <t>(=)'G:\AW BUSINESS PLAN\2018-2022 BUSINESS PLAN\Outer Year Model\State Outer Year Models\2017.07.28 Submission\[AM_WATER_STATE_MODEL_10Yr_2018-2027_NJ.xlsm]Base_Inputs'!E262</t>
  </si>
  <si>
    <t>(=)'G:\AW BUSINESS PLAN\2018-2022 BUSINESS PLAN\Outer Year Model\State Outer Year Models\2017.07.28 Submission\[AM_WATER_STATE_MODEL_10Yr_2018-2027_NJ.xlsm]Base_Inputs'!F262</t>
  </si>
  <si>
    <t>(=)'G:\AW BUSINESS PLAN\2018-2022 BUSINESS PLAN\Outer Year Model\State Outer Year Models\2017.07.28 Submission\[AM_WATER_STATE_MODEL_10Yr_2018-2027_NJ.xlsm]Base_Inputs'!G262</t>
  </si>
  <si>
    <t>(=)'G:\AW BUSINESS PLAN\2018-2022 BUSINESS PLAN\Outer Year Model\State Outer Year Models\2017.07.28 Submission\[AM_WATER_STATE_MODEL_10Yr_2018-2027_NJ.xlsm]Base_Inputs'!H262</t>
  </si>
  <si>
    <t>(=)'G:\AW BUSINESS PLAN\2018-2022 BUSINESS PLAN\Outer Year Model\State Outer Year Models\2017.07.28 Submission\[AM_WATER_STATE_MODEL_10Yr_2018-2027_NJ.xlsm]Base_Inputs'!I262</t>
  </si>
  <si>
    <t>(=)'G:\AW BUSINESS PLAN\2018-2022 BUSINESS PLAN\Outer Year Model\State Outer Year Models\2017.07.28 Submission\[AM_WATER_STATE_MODEL_10Yr_2018-2027_NJ.xlsm]Base_Inputs'!J262</t>
  </si>
  <si>
    <t>(=)'G:\AW BUSINESS PLAN\2018-2022 BUSINESS PLAN\Outer Year Model\State Outer Year Models\2017.07.28 Submission\[AM_WATER_STATE_MODEL_10Yr_2018-2027_NJ.xlsm]Base_Inputs'!K262</t>
  </si>
  <si>
    <t>(=)'G:\AW BUSINESS PLAN\2018-2022 BUSINESS PLAN\Outer Year Model\State Outer Year Models\2017.07.28 Submission\[AM_WATER_STATE_MODEL_10Yr_2018-2027_NJ.xlsm]Base_Inputs'!L262</t>
  </si>
  <si>
    <t>(=)'G:\AW BUSINESS PLAN\2018-2022 BUSINESS PLAN\Outer Year Model\State Outer Year Models\2017.07.28 Submission\[AM_WATER_STATE_MODEL_10Yr_2018-2027_NJ.xlsm]Base_Inputs'!M262</t>
  </si>
  <si>
    <t>(=)'G:\AW BUSINESS PLAN\2018-2022 BUSINESS PLAN\Outer Year Model\State Outer Year Models\2017.07.28 Submission\[AM_WATER_STATE_MODEL_10Yr_2018-2027_ETS.xlsm]Reg Inputs'!D15</t>
  </si>
  <si>
    <t>(=)'G:\AW BUSINESS PLAN\2018-2022 BUSINESS PLAN\Outer Year Model\State Outer Year Models\2017.07.28 Submission\[AM_WATER_STATE_MODEL_10Yr_2018-2027_ETS.xlsm]Reg Inputs'!E15</t>
  </si>
  <si>
    <t>(=)'G:\AW BUSINESS PLAN\2018-2022 BUSINESS PLAN\Outer Year Model\State Outer Year Models\2017.07.28 Submission\[AM_WATER_STATE_MODEL_10Yr_2018-2027_ETS.xlsm]Reg Inputs'!F15</t>
  </si>
  <si>
    <t>(=)'G:\AW BUSINESS PLAN\2018-2022 BUSINESS PLAN\Outer Year Model\State Outer Year Models\2017.07.28 Submission\[AM_WATER_STATE_MODEL_10Yr_2018-2027_ETS.xlsm]Reg Inputs'!G15</t>
  </si>
  <si>
    <t>(=)'G:\AW BUSINESS PLAN\2018-2022 BUSINESS PLAN\Outer Year Model\State Outer Year Models\2017.07.28 Submission\[AM_WATER_STATE_MODEL_10Yr_2018-2027_ETS.xlsm]Reg Inputs'!H15</t>
  </si>
  <si>
    <t>(=)'G:\AW BUSINESS PLAN\2018-2022 BUSINESS PLAN\Outer Year Model\State Outer Year Models\2017.07.28 Submission\[AM_WATER_STATE_MODEL_10Yr_2018-2027_ETS.xlsm]Reg Inputs'!I15</t>
  </si>
  <si>
    <t>(=)'G:\AW BUSINESS PLAN\2018-2022 BUSINESS PLAN\Outer Year Model\State Outer Year Models\2017.07.28 Submission\[AM_WATER_STATE_MODEL_10Yr_2018-2027_ETS.xlsm]Reg Inputs'!J15</t>
  </si>
  <si>
    <t>(=)'G:\AW BUSINESS PLAN\2018-2022 BUSINESS PLAN\Outer Year Model\State Outer Year Models\2017.07.28 Submission\[AM_WATER_STATE_MODEL_10Yr_2018-2027_ETS.xlsm]Reg Inputs'!K15</t>
  </si>
  <si>
    <t>(=)'G:\AW BUSINESS PLAN\2018-2022 BUSINESS PLAN\Outer Year Model\State Outer Year Models\2017.07.28 Submission\[AM_WATER_STATE_MODEL_10Yr_2018-2027_ETS.xlsm]Reg Inputs'!L15</t>
  </si>
  <si>
    <t>(=)'G:\AW BUSINESS PLAN\2018-2022 BUSINESS PLAN\Outer Year Model\State Outer Year Models\2017.07.28 Submission\[AM_WATER_STATE_MODEL_10Yr_2018-2027_ETS.xlsm]Reg Inputs'!M15</t>
  </si>
  <si>
    <t>(=)'G:\AW BUSINESS PLAN\2018-2022 BUSINESS PLAN\Outer Year Model\State Outer Year Models\2017.07.28 Submission\[AM_WATER_STATE_MODEL_10Yr_2018-2027_Liberty.xlsm]Reg Inputs'!D15</t>
  </si>
  <si>
    <t>(=)'G:\AW BUSINESS PLAN\2018-2022 BUSINESS PLAN\Outer Year Model\State Outer Year Models\2017.07.28 Submission\[AM_WATER_STATE_MODEL_10Yr_2018-2027_Liberty.xlsm]Reg Inputs'!E15</t>
  </si>
  <si>
    <t>(=)'G:\AW BUSINESS PLAN\2018-2022 BUSINESS PLAN\Outer Year Model\State Outer Year Models\2017.07.28 Submission\[AM_WATER_STATE_MODEL_10Yr_2018-2027_Liberty.xlsm]Reg Inputs'!F15</t>
  </si>
  <si>
    <t>(=)'G:\AW BUSINESS PLAN\2018-2022 BUSINESS PLAN\Outer Year Model\State Outer Year Models\2017.07.28 Submission\[AM_WATER_STATE_MODEL_10Yr_2018-2027_Liberty.xlsm]Reg Inputs'!G15</t>
  </si>
  <si>
    <t>(=)'G:\AW BUSINESS PLAN\2018-2022 BUSINESS PLAN\Outer Year Model\State Outer Year Models\2017.07.28 Submission\[AM_WATER_STATE_MODEL_10Yr_2018-2027_Liberty.xlsm]Reg Inputs'!H15</t>
  </si>
  <si>
    <t>(=)'G:\AW BUSINESS PLAN\2018-2022 BUSINESS PLAN\Outer Year Model\State Outer Year Models\2017.07.28 Submission\[AM_WATER_STATE_MODEL_10Yr_2018-2027_Liberty.xlsm]Reg Inputs'!I15</t>
  </si>
  <si>
    <t>(=)'G:\AW BUSINESS PLAN\2018-2022 BUSINESS PLAN\Outer Year Model\State Outer Year Models\2017.07.28 Submission\[AM_WATER_STATE_MODEL_10Yr_2018-2027_Liberty.xlsm]Reg Inputs'!J15</t>
  </si>
  <si>
    <t>(=)'G:\AW BUSINESS PLAN\2018-2022 BUSINESS PLAN\Outer Year Model\State Outer Year Models\2017.07.28 Submission\[AM_WATER_STATE_MODEL_10Yr_2018-2027_Liberty.xlsm]Reg Inputs'!K15</t>
  </si>
  <si>
    <t>(=)'G:\AW BUSINESS PLAN\2018-2022 BUSINESS PLAN\Outer Year Model\State Outer Year Models\2017.07.28 Submission\[AM_WATER_STATE_MODEL_10Yr_2018-2027_Liberty.xlsm]Reg Inputs'!L15</t>
  </si>
  <si>
    <t>(=)'G:\AW BUSINESS PLAN\2018-2022 BUSINESS PLAN\Outer Year Model\State Outer Year Models\2017.07.28 Submission\[AM_WATER_STATE_MODEL_10Yr_2018-2027_Liberty.xlsm]Reg Inputs'!M15</t>
  </si>
  <si>
    <t>(=)'G:\AW BUSINESS PLAN\2018-2022 BUSINESS PLAN\Outer Year Model\State Outer Year Models\2017.07.28 Submission\[AM_WATER_STATE_MODEL_10Yr_2018-2027_NJ.xlsm]Reg Inputs'!D15</t>
  </si>
  <si>
    <t>(=)'G:\AW BUSINESS PLAN\2018-2022 BUSINESS PLAN\Outer Year Model\State Outer Year Models\2017.07.28 Submission\[AM_WATER_STATE_MODEL_10Yr_2018-2027_NJ.xlsm]Reg Inputs'!E15</t>
  </si>
  <si>
    <t>(=)'G:\AW BUSINESS PLAN\2018-2022 BUSINESS PLAN\Outer Year Model\State Outer Year Models\2017.07.28 Submission\[AM_WATER_STATE_MODEL_10Yr_2018-2027_NJ.xlsm]Reg Inputs'!F15</t>
  </si>
  <si>
    <t>(=)'G:\AW BUSINESS PLAN\2018-2022 BUSINESS PLAN\Outer Year Model\State Outer Year Models\2017.07.28 Submission\[AM_WATER_STATE_MODEL_10Yr_2018-2027_NJ.xlsm]Reg Inputs'!G15</t>
  </si>
  <si>
    <t>(=)'G:\AW BUSINESS PLAN\2018-2022 BUSINESS PLAN\Outer Year Model\State Outer Year Models\2017.07.28 Submission\[AM_WATER_STATE_MODEL_10Yr_2018-2027_NJ.xlsm]Reg Inputs'!H15</t>
  </si>
  <si>
    <t>(=)'G:\AW BUSINESS PLAN\2018-2022 BUSINESS PLAN\Outer Year Model\State Outer Year Models\2017.07.28 Submission\[AM_WATER_STATE_MODEL_10Yr_2018-2027_NJ.xlsm]Reg Inputs'!I15</t>
  </si>
  <si>
    <t>(=)'G:\AW BUSINESS PLAN\2018-2022 BUSINESS PLAN\Outer Year Model\State Outer Year Models\2017.07.28 Submission\[AM_WATER_STATE_MODEL_10Yr_2018-2027_NJ.xlsm]Reg Inputs'!J15</t>
  </si>
  <si>
    <t>(=)'G:\AW BUSINESS PLAN\2018-2022 BUSINESS PLAN\Outer Year Model\State Outer Year Models\2017.07.28 Submission\[AM_WATER_STATE_MODEL_10Yr_2018-2027_NJ.xlsm]Reg Inputs'!K15</t>
  </si>
  <si>
    <t>(=)'G:\AW BUSINESS PLAN\2018-2022 BUSINESS PLAN\Outer Year Model\State Outer Year Models\2017.07.28 Submission\[AM_WATER_STATE_MODEL_10Yr_2018-2027_NJ.xlsm]Reg Inputs'!L15</t>
  </si>
  <si>
    <t>(=)'G:\AW BUSINESS PLAN\2018-2022 BUSINESS PLAN\Outer Year Model\State Outer Year Models\2017.07.28 Submission\[AM_WATER_STATE_MODEL_10Yr_2018-2027_NJ.xlsm]Reg Inputs'!M15</t>
  </si>
  <si>
    <t>M182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</si>
</sst>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* #,##0.0_);_(* \(#,##0.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3F3F7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6" borderId="36" applyNumberFormat="0" applyAlignment="0" applyProtection="0"/>
  </cellStyleXfs>
  <cellXfs count="118">
    <xf numFmtId="0" fontId="0" fillId="0" borderId="0" xfId="0"/>
    <xf numFmtId="164" fontId="0" fillId="0" borderId="0" xfId="1" applyNumberFormat="1" applyFont="1" applyAlignment="1">
      <alignment horizontal="center"/>
    </xf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43" fontId="0" fillId="0" borderId="0" xfId="0" applyNumberFormat="1"/>
    <xf numFmtId="0" fontId="0" fillId="3" borderId="1" xfId="0" applyFill="1" applyBorder="1"/>
    <xf numFmtId="164" fontId="0" fillId="3" borderId="0" xfId="1" applyNumberFormat="1" applyFont="1" applyFill="1" applyBorder="1"/>
    <xf numFmtId="164" fontId="0" fillId="0" borderId="0" xfId="1" applyNumberFormat="1" applyFont="1" applyFill="1" applyBorder="1"/>
    <xf numFmtId="165" fontId="0" fillId="0" borderId="0" xfId="2" applyNumberFormat="1" applyFont="1"/>
    <xf numFmtId="164" fontId="0" fillId="0" borderId="0" xfId="0" applyNumberFormat="1"/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/>
    </xf>
    <xf numFmtId="164" fontId="0" fillId="0" borderId="0" xfId="1" quotePrefix="1" applyNumberFormat="1" applyFont="1" applyFill="1" applyBorder="1"/>
    <xf numFmtId="0" fontId="3" fillId="0" borderId="0" xfId="0" applyFont="1"/>
    <xf numFmtId="164" fontId="4" fillId="0" borderId="0" xfId="1" applyNumberFormat="1" applyFont="1" applyFill="1" applyBorder="1"/>
    <xf numFmtId="164" fontId="5" fillId="0" borderId="0" xfId="1" applyNumberFormat="1" applyFont="1" applyFill="1" applyBorder="1"/>
    <xf numFmtId="164" fontId="6" fillId="0" borderId="0" xfId="1" applyNumberFormat="1" applyFont="1" applyFill="1" applyBorder="1"/>
    <xf numFmtId="0" fontId="2" fillId="2" borderId="1" xfId="0" applyFont="1" applyFill="1" applyBorder="1"/>
    <xf numFmtId="0" fontId="0" fillId="2" borderId="1" xfId="0" applyFont="1" applyFill="1" applyBorder="1"/>
    <xf numFmtId="164" fontId="4" fillId="3" borderId="0" xfId="1" applyNumberFormat="1" applyFont="1" applyFill="1" applyBorder="1"/>
    <xf numFmtId="164" fontId="0" fillId="3" borderId="0" xfId="1" quotePrefix="1" applyNumberFormat="1" applyFont="1" applyFill="1" applyBorder="1"/>
    <xf numFmtId="164" fontId="6" fillId="3" borderId="0" xfId="1" applyNumberFormat="1" applyFont="1" applyFill="1" applyBorder="1"/>
    <xf numFmtId="164" fontId="4" fillId="0" borderId="0" xfId="1" quotePrefix="1" applyNumberFormat="1" applyFont="1" applyFill="1" applyBorder="1"/>
    <xf numFmtId="0" fontId="2" fillId="0" borderId="0" xfId="0" applyFont="1" applyAlignment="1">
      <alignment horizontal="center"/>
    </xf>
    <xf numFmtId="164" fontId="0" fillId="0" borderId="1" xfId="1" applyNumberFormat="1" applyFont="1" applyBorder="1"/>
    <xf numFmtId="164" fontId="0" fillId="0" borderId="4" xfId="1" applyNumberFormat="1" applyFont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10" fontId="4" fillId="0" borderId="0" xfId="2" applyNumberFormat="1" applyFont="1" applyFill="1" applyBorder="1"/>
    <xf numFmtId="10" fontId="0" fillId="0" borderId="0" xfId="2" applyNumberFormat="1" applyFont="1" applyFill="1" applyBorder="1"/>
    <xf numFmtId="164" fontId="4" fillId="0" borderId="1" xfId="1" applyNumberFormat="1" applyFont="1" applyFill="1" applyBorder="1"/>
    <xf numFmtId="0" fontId="6" fillId="0" borderId="4" xfId="0" applyFont="1" applyBorder="1" applyAlignment="1">
      <alignment horizontal="centerContinuous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 applyBorder="1"/>
    <xf numFmtId="0" fontId="0" fillId="2" borderId="10" xfId="0" applyFill="1" applyBorder="1"/>
    <xf numFmtId="0" fontId="0" fillId="0" borderId="11" xfId="0" applyBorder="1"/>
    <xf numFmtId="164" fontId="4" fillId="0" borderId="12" xfId="1" applyNumberFormat="1" applyFont="1" applyFill="1" applyBorder="1"/>
    <xf numFmtId="164" fontId="4" fillId="0" borderId="13" xfId="1" applyNumberFormat="1" applyFont="1" applyFill="1" applyBorder="1"/>
    <xf numFmtId="164" fontId="4" fillId="0" borderId="14" xfId="1" applyNumberFormat="1" applyFont="1" applyFill="1" applyBorder="1"/>
    <xf numFmtId="164" fontId="4" fillId="0" borderId="15" xfId="1" applyNumberFormat="1" applyFont="1" applyFill="1" applyBorder="1"/>
    <xf numFmtId="164" fontId="4" fillId="0" borderId="16" xfId="1" applyNumberFormat="1" applyFont="1" applyFill="1" applyBorder="1"/>
    <xf numFmtId="164" fontId="4" fillId="0" borderId="17" xfId="1" applyNumberFormat="1" applyFont="1" applyFill="1" applyBorder="1"/>
    <xf numFmtId="164" fontId="4" fillId="0" borderId="3" xfId="1" applyNumberFormat="1" applyFont="1" applyFill="1" applyBorder="1"/>
    <xf numFmtId="164" fontId="4" fillId="0" borderId="18" xfId="1" applyNumberFormat="1" applyFont="1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9" fontId="0" fillId="0" borderId="12" xfId="2" applyFont="1" applyBorder="1"/>
    <xf numFmtId="9" fontId="0" fillId="0" borderId="13" xfId="2" applyFont="1" applyBorder="1"/>
    <xf numFmtId="9" fontId="0" fillId="0" borderId="14" xfId="2" applyFont="1" applyBorder="1"/>
    <xf numFmtId="9" fontId="0" fillId="0" borderId="15" xfId="2" applyFont="1" applyBorder="1"/>
    <xf numFmtId="9" fontId="0" fillId="0" borderId="0" xfId="2" applyFont="1" applyBorder="1"/>
    <xf numFmtId="9" fontId="0" fillId="0" borderId="16" xfId="2" applyFont="1" applyBorder="1"/>
    <xf numFmtId="9" fontId="0" fillId="0" borderId="17" xfId="2" applyFont="1" applyBorder="1"/>
    <xf numFmtId="9" fontId="0" fillId="0" borderId="3" xfId="2" applyFont="1" applyBorder="1"/>
    <xf numFmtId="9" fontId="0" fillId="0" borderId="18" xfId="2" applyFont="1" applyBorder="1"/>
    <xf numFmtId="0" fontId="0" fillId="0" borderId="20" xfId="0" applyBorder="1" applyAlignment="1">
      <alignment horizontal="centerContinuous"/>
    </xf>
    <xf numFmtId="0" fontId="0" fillId="0" borderId="21" xfId="0" applyBorder="1" applyAlignment="1">
      <alignment horizontal="centerContinuous"/>
    </xf>
    <xf numFmtId="0" fontId="0" fillId="0" borderId="22" xfId="0" applyBorder="1" applyAlignment="1">
      <alignment horizontal="centerContinuous"/>
    </xf>
    <xf numFmtId="0" fontId="0" fillId="0" borderId="19" xfId="0" applyBorder="1"/>
    <xf numFmtId="0" fontId="0" fillId="2" borderId="23" xfId="0" applyFill="1" applyBorder="1"/>
    <xf numFmtId="0" fontId="0" fillId="0" borderId="24" xfId="0" applyBorder="1"/>
    <xf numFmtId="164" fontId="2" fillId="0" borderId="25" xfId="1" applyNumberFormat="1" applyFont="1" applyFill="1" applyBorder="1"/>
    <xf numFmtId="164" fontId="2" fillId="0" borderId="26" xfId="1" applyNumberFormat="1" applyFont="1" applyFill="1" applyBorder="1"/>
    <xf numFmtId="0" fontId="0" fillId="3" borderId="0" xfId="0" applyFill="1"/>
    <xf numFmtId="0" fontId="0" fillId="0" borderId="0" xfId="0" applyBorder="1"/>
    <xf numFmtId="164" fontId="0" fillId="0" borderId="1" xfId="0" applyNumberFormat="1" applyBorder="1"/>
    <xf numFmtId="0" fontId="0" fillId="0" borderId="0" xfId="0" applyBorder="1" applyAlignment="1">
      <alignment horizontal="center"/>
    </xf>
    <xf numFmtId="0" fontId="0" fillId="0" borderId="1" xfId="0" applyFill="1" applyBorder="1"/>
    <xf numFmtId="0" fontId="0" fillId="0" borderId="28" xfId="0" applyFill="1" applyBorder="1"/>
    <xf numFmtId="0" fontId="2" fillId="0" borderId="27" xfId="0" applyFont="1" applyBorder="1" applyAlignment="1">
      <alignment horizontal="centerContinuous"/>
    </xf>
    <xf numFmtId="0" fontId="2" fillId="0" borderId="27" xfId="0" applyFont="1" applyBorder="1" applyAlignment="1">
      <alignment horizontal="center"/>
    </xf>
    <xf numFmtId="0" fontId="0" fillId="0" borderId="10" xfId="0" applyBorder="1"/>
    <xf numFmtId="164" fontId="4" fillId="0" borderId="29" xfId="1" applyNumberFormat="1" applyFont="1" applyFill="1" applyBorder="1"/>
    <xf numFmtId="164" fontId="4" fillId="0" borderId="30" xfId="1" applyNumberFormat="1" applyFont="1" applyFill="1" applyBorder="1"/>
    <xf numFmtId="164" fontId="4" fillId="0" borderId="31" xfId="1" applyNumberFormat="1" applyFont="1" applyFill="1" applyBorder="1"/>
    <xf numFmtId="0" fontId="0" fillId="0" borderId="32" xfId="0" applyBorder="1"/>
    <xf numFmtId="0" fontId="0" fillId="0" borderId="33" xfId="0" applyBorder="1" applyAlignment="1">
      <alignment horizontal="left"/>
    </xf>
    <xf numFmtId="0" fontId="0" fillId="0" borderId="34" xfId="0" applyBorder="1"/>
    <xf numFmtId="0" fontId="0" fillId="0" borderId="29" xfId="0" applyBorder="1" applyAlignment="1">
      <alignment horizontal="left"/>
    </xf>
    <xf numFmtId="0" fontId="0" fillId="0" borderId="34" xfId="0" applyBorder="1" applyAlignment="1"/>
    <xf numFmtId="0" fontId="0" fillId="0" borderId="35" xfId="0" applyBorder="1"/>
    <xf numFmtId="0" fontId="0" fillId="0" borderId="31" xfId="0" applyBorder="1" applyAlignment="1">
      <alignment horizontal="left"/>
    </xf>
    <xf numFmtId="0" fontId="2" fillId="2" borderId="20" xfId="0" applyFont="1" applyFill="1" applyBorder="1" applyAlignment="1">
      <alignment horizontal="centerContinuous" vertical="center" wrapText="1"/>
    </xf>
    <xf numFmtId="0" fontId="2" fillId="2" borderId="21" xfId="0" applyFont="1" applyFill="1" applyBorder="1" applyAlignment="1">
      <alignment horizontal="centerContinuous" vertical="center" wrapText="1"/>
    </xf>
    <xf numFmtId="0" fontId="2" fillId="2" borderId="22" xfId="0" applyFont="1" applyFill="1" applyBorder="1" applyAlignment="1">
      <alignment horizontal="centerContinuous" vertical="center" wrapText="1"/>
    </xf>
    <xf numFmtId="0" fontId="7" fillId="4" borderId="12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164" fontId="8" fillId="3" borderId="0" xfId="1" applyNumberFormat="1" applyFont="1" applyFill="1" applyBorder="1"/>
    <xf numFmtId="164" fontId="8" fillId="3" borderId="26" xfId="1" applyNumberFormat="1" applyFont="1" applyFill="1" applyBorder="1"/>
    <xf numFmtId="0" fontId="2" fillId="5" borderId="0" xfId="0" applyFont="1" applyFill="1" applyAlignment="1">
      <alignment wrapText="1"/>
    </xf>
    <xf numFmtId="0" fontId="0" fillId="0" borderId="0" xfId="0" applyFill="1"/>
    <xf numFmtId="10" fontId="4" fillId="0" borderId="0" xfId="2" applyNumberFormat="1" applyFont="1"/>
    <xf numFmtId="164" fontId="4" fillId="0" borderId="0" xfId="2" applyNumberFormat="1" applyFont="1"/>
    <xf numFmtId="0" fontId="2" fillId="0" borderId="0" xfId="0" applyFont="1" applyAlignment="1">
      <alignment horizontal="right"/>
    </xf>
    <xf numFmtId="0" fontId="0" fillId="0" borderId="28" xfId="0" applyBorder="1" applyAlignment="1">
      <alignment horizontal="center"/>
    </xf>
    <xf numFmtId="0" fontId="0" fillId="0" borderId="1" xfId="0" applyBorder="1" applyAlignment="1">
      <alignment horizontal="center"/>
    </xf>
    <xf numFmtId="0" fontId="4" fillId="7" borderId="0" xfId="3" applyFont="1" applyFill="1" applyBorder="1"/>
    <xf numFmtId="0" fontId="4" fillId="7" borderId="0" xfId="0" applyFont="1" applyFill="1" applyBorder="1"/>
    <xf numFmtId="0" fontId="0" fillId="0" borderId="37" xfId="0" applyBorder="1" applyAlignment="1">
      <alignment horizontal="center"/>
    </xf>
    <xf numFmtId="0" fontId="0" fillId="5" borderId="0" xfId="0" applyFill="1"/>
    <xf numFmtId="164" fontId="0" fillId="5" borderId="0" xfId="1" applyNumberFormat="1" applyFont="1" applyFill="1" applyBorder="1"/>
    <xf numFmtId="164" fontId="4" fillId="5" borderId="15" xfId="1" applyNumberFormat="1" applyFont="1" applyFill="1" applyBorder="1"/>
    <xf numFmtId="164" fontId="4" fillId="5" borderId="0" xfId="1" applyNumberFormat="1" applyFont="1" applyFill="1" applyBorder="1"/>
    <xf numFmtId="164" fontId="4" fillId="5" borderId="16" xfId="1" applyNumberFormat="1" applyFont="1" applyFill="1" applyBorder="1"/>
    <xf numFmtId="0" fontId="0" fillId="5" borderId="9" xfId="0" applyFill="1" applyBorder="1"/>
    <xf numFmtId="164" fontId="4" fillId="5" borderId="1" xfId="1" applyNumberFormat="1" applyFont="1" applyFill="1" applyBorder="1"/>
    <xf numFmtId="9" fontId="0" fillId="5" borderId="15" xfId="2" applyFont="1" applyFill="1" applyBorder="1"/>
    <xf numFmtId="9" fontId="0" fillId="5" borderId="0" xfId="2" applyFont="1" applyFill="1" applyBorder="1"/>
    <xf numFmtId="9" fontId="0" fillId="5" borderId="16" xfId="2" applyFont="1" applyFill="1" applyBorder="1"/>
    <xf numFmtId="164" fontId="4" fillId="7" borderId="0" xfId="1" applyNumberFormat="1" applyFont="1" applyFill="1" applyBorder="1"/>
    <xf numFmtId="164" fontId="0" fillId="7" borderId="0" xfId="1" applyNumberFormat="1" applyFont="1" applyFill="1" applyBorder="1"/>
    <xf numFmtId="166" fontId="0" fillId="0" borderId="0" xfId="1" applyNumberFormat="1" applyFont="1" applyFill="1" applyBorder="1"/>
  </cellXfs>
  <cellStyles count="4">
    <cellStyle name="Comma" xfId="1" builtinId="3"/>
    <cellStyle name="Input" xfId="3" builtinId="20"/>
    <cellStyle name="Normal" xfId="0" builtinId="0"/>
    <cellStyle name="Percent" xfId="2" builtinId="5"/>
  </cellStyles>
  <dxfs count="78"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externalLink" Target="externalLinks/externalLink27.xml"/><Relationship Id="rId63" Type="http://schemas.openxmlformats.org/officeDocument/2006/relationships/externalLink" Target="externalLinks/externalLink35.xml"/><Relationship Id="rId68" Type="http://schemas.openxmlformats.org/officeDocument/2006/relationships/externalLink" Target="externalLinks/externalLink40.xml"/><Relationship Id="rId76" Type="http://schemas.openxmlformats.org/officeDocument/2006/relationships/externalLink" Target="externalLinks/externalLink48.xml"/><Relationship Id="rId84" Type="http://schemas.openxmlformats.org/officeDocument/2006/relationships/externalLink" Target="externalLinks/externalLink56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43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externalLink" Target="externalLinks/externalLink30.xml"/><Relationship Id="rId66" Type="http://schemas.openxmlformats.org/officeDocument/2006/relationships/externalLink" Target="externalLinks/externalLink38.xml"/><Relationship Id="rId74" Type="http://schemas.openxmlformats.org/officeDocument/2006/relationships/externalLink" Target="externalLinks/externalLink46.xml"/><Relationship Id="rId79" Type="http://schemas.openxmlformats.org/officeDocument/2006/relationships/externalLink" Target="externalLinks/externalLink51.xml"/><Relationship Id="rId87" Type="http://schemas.openxmlformats.org/officeDocument/2006/relationships/externalLink" Target="externalLinks/externalLink59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33.xml"/><Relationship Id="rId82" Type="http://schemas.openxmlformats.org/officeDocument/2006/relationships/externalLink" Target="externalLinks/externalLink54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externalLink" Target="externalLinks/externalLink28.xml"/><Relationship Id="rId64" Type="http://schemas.openxmlformats.org/officeDocument/2006/relationships/externalLink" Target="externalLinks/externalLink36.xml"/><Relationship Id="rId69" Type="http://schemas.openxmlformats.org/officeDocument/2006/relationships/externalLink" Target="externalLinks/externalLink41.xml"/><Relationship Id="rId77" Type="http://schemas.openxmlformats.org/officeDocument/2006/relationships/externalLink" Target="externalLinks/externalLink49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72" Type="http://schemas.openxmlformats.org/officeDocument/2006/relationships/externalLink" Target="externalLinks/externalLink44.xml"/><Relationship Id="rId80" Type="http://schemas.openxmlformats.org/officeDocument/2006/relationships/externalLink" Target="externalLinks/externalLink52.xml"/><Relationship Id="rId85" Type="http://schemas.openxmlformats.org/officeDocument/2006/relationships/externalLink" Target="externalLinks/externalLink5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openxmlformats.org/officeDocument/2006/relationships/externalLink" Target="externalLinks/externalLink31.xml"/><Relationship Id="rId67" Type="http://schemas.openxmlformats.org/officeDocument/2006/relationships/externalLink" Target="externalLinks/externalLink39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62" Type="http://schemas.openxmlformats.org/officeDocument/2006/relationships/externalLink" Target="externalLinks/externalLink34.xml"/><Relationship Id="rId70" Type="http://schemas.openxmlformats.org/officeDocument/2006/relationships/externalLink" Target="externalLinks/externalLink42.xml"/><Relationship Id="rId75" Type="http://schemas.openxmlformats.org/officeDocument/2006/relationships/externalLink" Target="externalLinks/externalLink47.xml"/><Relationship Id="rId83" Type="http://schemas.openxmlformats.org/officeDocument/2006/relationships/externalLink" Target="externalLinks/externalLink55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externalLink" Target="externalLinks/externalLink29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Relationship Id="rId60" Type="http://schemas.openxmlformats.org/officeDocument/2006/relationships/externalLink" Target="externalLinks/externalLink32.xml"/><Relationship Id="rId65" Type="http://schemas.openxmlformats.org/officeDocument/2006/relationships/externalLink" Target="externalLinks/externalLink37.xml"/><Relationship Id="rId73" Type="http://schemas.openxmlformats.org/officeDocument/2006/relationships/externalLink" Target="externalLinks/externalLink45.xml"/><Relationship Id="rId78" Type="http://schemas.openxmlformats.org/officeDocument/2006/relationships/externalLink" Target="externalLinks/externalLink50.xml"/><Relationship Id="rId81" Type="http://schemas.openxmlformats.org/officeDocument/2006/relationships/externalLink" Target="externalLinks/externalLink53.xml"/><Relationship Id="rId86" Type="http://schemas.openxmlformats.org/officeDocument/2006/relationships/externalLink" Target="externalLinks/externalLink5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152399</xdr:colOff>
      <xdr:row>24</xdr:row>
      <xdr:rowOff>152399</xdr:rowOff>
    </xdr:from>
    <xdr:to>
      <xdr:col>2</xdr:col>
      <xdr:colOff>4909457</xdr:colOff>
      <xdr:row>29</xdr:row>
      <xdr:rowOff>97971</xdr:rowOff>
    </xdr:to>
    <xdr:sp macro="[0]!RunOnAllSheets" textlink="">
      <xdr:nvSpPr>
        <xdr:cNvPr id="2" name="Rounded Rectangle 1"/>
        <xdr:cNvSpPr/>
      </xdr:nvSpPr>
      <xdr:spPr>
        <a:xfrm>
          <a:off x="152399" y="4626428"/>
          <a:ext cx="8011887" cy="870857"/>
        </a:xfrm>
        <a:prstGeom prst="roundRect">
          <a:avLst/>
        </a:prstGeom>
        <a:solidFill>
          <a:schemeClr val="dk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Click this to retrieve all numbers in each worksheets.</a:t>
          </a:r>
        </a:p>
        <a:p>
          <a:pPr algn="l"/>
          <a:r>
            <a:rPr lang="en-US" sz="1800"/>
            <a:t>(Cautions: It might take 30 mins to load.</a:t>
          </a:r>
          <a:r>
            <a:rPr lang="en-US" sz="1800" baseline="0"/>
            <a:t> Or click each Macro in each worksheet)</a:t>
          </a:r>
          <a:endParaRPr lang="en-US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05473" name="CommandButton2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18</xdr:col>
          <xdr:colOff>365760</xdr:colOff>
          <xdr:row>0</xdr:row>
          <xdr:rowOff>403860</xdr:rowOff>
        </xdr:to>
        <xdr:sp macro="" textlink="">
          <xdr:nvSpPr>
            <xdr:cNvPr id="5121" name="CommandButton2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7169" name="CommandButton2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685800</xdr:colOff>
          <xdr:row>0</xdr:row>
          <xdr:rowOff>403860</xdr:rowOff>
        </xdr:to>
        <xdr:sp macro="" textlink="">
          <xdr:nvSpPr>
            <xdr:cNvPr id="9217" name="CommandButton2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47105" name="CommandButton2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152400</xdr:colOff>
          <xdr:row>0</xdr:row>
          <xdr:rowOff>403860</xdr:rowOff>
        </xdr:to>
        <xdr:sp macro="" textlink="">
          <xdr:nvSpPr>
            <xdr:cNvPr id="11265" name="CommandButton2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198120</xdr:colOff>
          <xdr:row>0</xdr:row>
          <xdr:rowOff>403860</xdr:rowOff>
        </xdr:to>
        <xdr:sp macro="" textlink="">
          <xdr:nvSpPr>
            <xdr:cNvPr id="12289" name="CommandButton2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3313" name="CommandButton2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4278086</xdr:colOff>
      <xdr:row>38</xdr:row>
      <xdr:rowOff>97971</xdr:rowOff>
    </xdr:from>
    <xdr:to>
      <xdr:col>16</xdr:col>
      <xdr:colOff>259695</xdr:colOff>
      <xdr:row>42</xdr:row>
      <xdr:rowOff>138695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78086" y="5214257"/>
          <a:ext cx="12495238" cy="78095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4337" name="CommandButton2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7409" name="CommandButton2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0241" name="CommandButton2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34145" name="CommandButton2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34817" name="CommandButton2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5361" name="CommandButton2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25601" name="CommandButton2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26625" name="CommandButton2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27649" name="CommandButton2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152400</xdr:colOff>
          <xdr:row>0</xdr:row>
          <xdr:rowOff>403860</xdr:rowOff>
        </xdr:to>
        <xdr:sp macro="" textlink="">
          <xdr:nvSpPr>
            <xdr:cNvPr id="71681" name="CommandButton2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18</xdr:col>
          <xdr:colOff>76200</xdr:colOff>
          <xdr:row>0</xdr:row>
          <xdr:rowOff>403860</xdr:rowOff>
        </xdr:to>
        <xdr:sp macro="" textlink="">
          <xdr:nvSpPr>
            <xdr:cNvPr id="28673" name="CommandButton2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81921" name="CommandButton2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18</xdr:col>
          <xdr:colOff>76200</xdr:colOff>
          <xdr:row>0</xdr:row>
          <xdr:rowOff>403860</xdr:rowOff>
        </xdr:to>
        <xdr:sp macro="" textlink="">
          <xdr:nvSpPr>
            <xdr:cNvPr id="29697" name="CommandButton2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30721" name="CommandButton2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32769" name="CommandButton2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29025" name="CommandButton2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30049" name="CommandButton21" hidden="1">
              <a:extLst>
                <a:ext uri="{63B3BB69-23CF-44E3-9099-C40C66FF867C}">
                  <a14:compatExt spid="_x0000_s130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0</xdr:row>
          <xdr:rowOff>30480</xdr:rowOff>
        </xdr:from>
        <xdr:to>
          <xdr:col>17</xdr:col>
          <xdr:colOff>617220</xdr:colOff>
          <xdr:row>0</xdr:row>
          <xdr:rowOff>403860</xdr:rowOff>
        </xdr:to>
        <xdr:sp macro="" textlink="">
          <xdr:nvSpPr>
            <xdr:cNvPr id="133121" name="CommandButton2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st.uic.asso.fr/d_stats/online/synth20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&amp;A\M&amp;A\HCIS\DEAD\HBO\PFC-PY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Old%20modelBacku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IVATE\KWANRO\BRFNOTES\HYDRO\MODEL\CF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ites.endo.com/PRIVATE/KWANRO/BRFNOTES/HYDRO/MODEL/CF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wnload\OH%20model\clean'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doug/P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rlink.ms.com/eqr/rlink/webapp/Research?action=streamFile&amp;docId=624815&amp;headline=Latest+Model&amp;docFileType=8&amp;linksrc=rl-res-site&amp;lastParam=/cov.n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DOCUME~1\gcloud\LOCALS~1\Temp\63\notes5852E6\WLPP2004Thru2007Ratio_Char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ites.endo.com/Documents%20and%20Settings/mbooker/Desktop/SGP%20Session%201%20&amp;%20Div%20Rev/Session%20II/Round%202/Accounting/FPA/0408/MBRs/agile77763533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ites.endo.com/Documents%20and%20Settings/SUAREZM/Local%20Settings/Temporary%20Internet%20Files/OLK33/TEMP/TEMP/jane/model3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Library" Target="POWER5.XLA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c3.amwater.net/sites/bir/BIR%20Only/BOARD%20RETREAT%20SEPT%202015/Sensitivities%20and%20Scenarios%20-%20Dave,%20Dominic,%20Chris,%20Michael%20and%20Jian/Dave/Sensitivity%20template-Capital%20Addition%2008.17.15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nce/BIR%20DEPARTMENT/Revenue%20Analytics/2017%20Business%20Plan/Budget%20Loaded/BFV%202017%20Water%20Revenue%20Plan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BFW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MO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CA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MI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ETS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IN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HI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IL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IA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ET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IL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LIB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IN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NJ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KY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NY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Liberty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CA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LW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HI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MD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TN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MI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KY.xlsm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MO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BFW.xlsm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NJ.xlsm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WV.xlsm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NY.xlsm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MD.xlsm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PA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VA.xlsm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TN.xlsm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PA.xlsm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VA.xlsm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LW%20(Placeholder)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AM_WATER_STATE_MODEL_10Yr_2018-2027_WV.xlsm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8.29%20Submission/AM_WATER_STATE_MODEL_10Yr_2017-2026_IA%20(Placeholder).xlsm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7.29%20Submission/AM_WATER_STATE_MODEL_10Yr_2017-2026_KY_rhs.xlsm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7.29%20Submission/AM_WATER_STATE_MODEL_10Yr_2017-2026_NJ_rhs.xlsm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7.29%20Submission/Copy%20of%20AM_WATER_STATE_MODEL_10Yr_2017-2026_NY_rhs.xlsm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Check%20Submission/0801%20Fix%20and%20Upload%20Tracker%20-%20outer%20yr%20model.xlsm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7.29%20Submission/AM_WATER_STATE_MODEL_10Yr_2017-2026_Liberty.xlsm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AW%20BUSINESS%20PLAN/2017-2021%20BUSINESS%20PLAN/Out%20Year%20Model/2016.07.29%20Submission/AM_WATER_STATE_MODEL_10Yr_2017-2026_ETS.xlsm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rojects%20Support\Out%20Year%20Model%202016\Fix%20of%20Year1%20Inter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Pays"/>
      <sheetName val="Data_CF"/>
      <sheetName val="Pub"/>
      <sheetName val="rapport annuel"/>
      <sheetName val="miles conversions"/>
      <sheetName val="DataGraph"/>
      <sheetName val="Graph vertical"/>
      <sheetName val="Graph  Edition  Sti"/>
    </sheetNames>
    <sheetDataSet>
      <sheetData sheetId="0" refreshError="1"/>
      <sheetData sheetId="1" refreshError="1"/>
      <sheetData sheetId="2">
        <row r="13">
          <cell r="H13" t="str">
            <v>AAE</v>
          </cell>
          <cell r="I13" t="str">
            <v xml:space="preserve">            "   </v>
          </cell>
          <cell r="J13" t="str">
            <v xml:space="preserve">        "   </v>
          </cell>
          <cell r="L13">
            <v>10</v>
          </cell>
        </row>
        <row r="14">
          <cell r="H14" t="str">
            <v>GVG</v>
          </cell>
          <cell r="I14" t="str">
            <v xml:space="preserve">            "   </v>
          </cell>
          <cell r="J14" t="str">
            <v xml:space="preserve">        "   </v>
          </cell>
          <cell r="L14">
            <v>0</v>
          </cell>
        </row>
        <row r="15">
          <cell r="H15" t="str">
            <v>KEG</v>
          </cell>
          <cell r="I15" t="str">
            <v xml:space="preserve">            "   </v>
          </cell>
          <cell r="J15" t="str">
            <v xml:space="preserve">        "   </v>
          </cell>
          <cell r="L15">
            <v>54</v>
          </cell>
        </row>
        <row r="16">
          <cell r="H16" t="str">
            <v>ÖBB</v>
          </cell>
          <cell r="I16">
            <v>83.858999999999995</v>
          </cell>
          <cell r="J16">
            <v>8.2110000000000003</v>
          </cell>
          <cell r="L16">
            <v>5683</v>
          </cell>
        </row>
        <row r="17">
          <cell r="H17" t="str">
            <v>GKE</v>
          </cell>
          <cell r="I17" t="str">
            <v xml:space="preserve">            "   </v>
          </cell>
          <cell r="J17" t="str">
            <v xml:space="preserve">        "   </v>
          </cell>
          <cell r="L17">
            <v>97.486999999999995</v>
          </cell>
        </row>
        <row r="18">
          <cell r="H18" t="str">
            <v>SNCB/NMBS</v>
          </cell>
          <cell r="I18">
            <v>30.513999999999999</v>
          </cell>
          <cell r="J18">
            <v>10.161</v>
          </cell>
          <cell r="L18">
            <v>3471</v>
          </cell>
        </row>
        <row r="19">
          <cell r="H19" t="str">
            <v>DSB</v>
          </cell>
          <cell r="I19">
            <v>43.093000000000004</v>
          </cell>
          <cell r="J19">
            <v>5.2930000000000001</v>
          </cell>
          <cell r="L19">
            <v>0</v>
          </cell>
        </row>
        <row r="20">
          <cell r="H20" t="str">
            <v>BS</v>
          </cell>
          <cell r="I20" t="str">
            <v xml:space="preserve">            "   </v>
          </cell>
          <cell r="J20" t="str">
            <v xml:space="preserve">        "   </v>
          </cell>
          <cell r="L20">
            <v>2047</v>
          </cell>
        </row>
        <row r="21">
          <cell r="H21" t="str">
            <v>RENFE</v>
          </cell>
          <cell r="I21">
            <v>504.78199999999998</v>
          </cell>
          <cell r="J21">
            <v>39.630000000000003</v>
          </cell>
          <cell r="L21">
            <v>12310</v>
          </cell>
        </row>
        <row r="22">
          <cell r="H22" t="str">
            <v>Euskotren</v>
          </cell>
          <cell r="I22" t="str">
            <v xml:space="preserve">            "   </v>
          </cell>
          <cell r="J22" t="str">
            <v xml:space="preserve">        "   </v>
          </cell>
          <cell r="L22">
            <v>178</v>
          </cell>
        </row>
        <row r="23">
          <cell r="H23" t="str">
            <v>FEVE</v>
          </cell>
          <cell r="I23" t="str">
            <v xml:space="preserve">            "   </v>
          </cell>
          <cell r="J23" t="str">
            <v xml:space="preserve">        "   </v>
          </cell>
          <cell r="L23">
            <v>1194.0999999999999</v>
          </cell>
        </row>
        <row r="24">
          <cell r="H24" t="str">
            <v>FGC</v>
          </cell>
          <cell r="I24" t="str">
            <v xml:space="preserve">            "   </v>
          </cell>
          <cell r="J24" t="str">
            <v xml:space="preserve">        "   </v>
          </cell>
          <cell r="L24">
            <v>184</v>
          </cell>
        </row>
        <row r="25">
          <cell r="H25" t="str">
            <v>VR</v>
          </cell>
          <cell r="I25">
            <v>338.14499999999998</v>
          </cell>
          <cell r="J25">
            <v>5.1760000000000002</v>
          </cell>
          <cell r="L25">
            <v>0</v>
          </cell>
        </row>
        <row r="26">
          <cell r="H26" t="str">
            <v>RHK</v>
          </cell>
          <cell r="I26" t="str">
            <v xml:space="preserve">            "   </v>
          </cell>
          <cell r="J26" t="str">
            <v xml:space="preserve">        "   </v>
          </cell>
          <cell r="L26">
            <v>5854</v>
          </cell>
        </row>
        <row r="27">
          <cell r="H27" t="str">
            <v>SNCF</v>
          </cell>
          <cell r="I27">
            <v>547.02599999999995</v>
          </cell>
          <cell r="J27">
            <v>59.08</v>
          </cell>
          <cell r="L27">
            <v>0</v>
          </cell>
        </row>
        <row r="28">
          <cell r="H28" t="str">
            <v>RFF</v>
          </cell>
          <cell r="I28" t="str">
            <v xml:space="preserve">            "   </v>
          </cell>
          <cell r="J28" t="str">
            <v xml:space="preserve">        "   </v>
          </cell>
          <cell r="L28">
            <v>32515</v>
          </cell>
        </row>
        <row r="29">
          <cell r="H29" t="str">
            <v>CH</v>
          </cell>
          <cell r="I29">
            <v>131.95699999999999</v>
          </cell>
          <cell r="J29">
            <v>10.645</v>
          </cell>
          <cell r="L29">
            <v>2299</v>
          </cell>
        </row>
        <row r="30">
          <cell r="H30" t="str">
            <v>CIE</v>
          </cell>
          <cell r="I30">
            <v>70.283000000000001</v>
          </cell>
          <cell r="J30">
            <v>3.73</v>
          </cell>
          <cell r="L30">
            <v>1915</v>
          </cell>
        </row>
        <row r="31">
          <cell r="H31" t="str">
            <v>FNME</v>
          </cell>
          <cell r="I31">
            <v>301.22500000000002</v>
          </cell>
          <cell r="J31">
            <v>57.298000000000002</v>
          </cell>
          <cell r="L31">
            <v>321</v>
          </cell>
        </row>
        <row r="32">
          <cell r="H32" t="str">
            <v>FS SpA</v>
          </cell>
          <cell r="I32" t="str">
            <v xml:space="preserve">            "   </v>
          </cell>
          <cell r="J32" t="str">
            <v xml:space="preserve">        "   </v>
          </cell>
          <cell r="L32">
            <v>16178</v>
          </cell>
        </row>
        <row r="33">
          <cell r="H33" t="str">
            <v>CFL</v>
          </cell>
          <cell r="I33">
            <v>2.5859999999999999</v>
          </cell>
          <cell r="J33">
            <v>0.43099999999999999</v>
          </cell>
          <cell r="L33">
            <v>274</v>
          </cell>
        </row>
        <row r="34">
          <cell r="H34" t="str">
            <v>NS N.V.</v>
          </cell>
          <cell r="I34">
            <v>41.527999999999999</v>
          </cell>
          <cell r="J34">
            <v>15.786</v>
          </cell>
          <cell r="L34">
            <v>0</v>
          </cell>
        </row>
        <row r="35">
          <cell r="H35" t="str">
            <v>Railion</v>
          </cell>
          <cell r="I35" t="str">
            <v xml:space="preserve">            "   </v>
          </cell>
          <cell r="J35" t="str">
            <v xml:space="preserve">        "   </v>
          </cell>
          <cell r="L35">
            <v>0</v>
          </cell>
        </row>
        <row r="36">
          <cell r="H36" t="str">
            <v>RIM</v>
          </cell>
          <cell r="I36" t="str">
            <v xml:space="preserve">            "   </v>
          </cell>
          <cell r="J36" t="str">
            <v xml:space="preserve">        "   </v>
          </cell>
          <cell r="L36">
            <v>2802</v>
          </cell>
        </row>
        <row r="37">
          <cell r="H37" t="str">
            <v>CP</v>
          </cell>
          <cell r="I37">
            <v>92.081999999999994</v>
          </cell>
          <cell r="J37">
            <v>9.875</v>
          </cell>
          <cell r="L37">
            <v>0</v>
          </cell>
        </row>
        <row r="38">
          <cell r="H38" t="str">
            <v>REFER</v>
          </cell>
          <cell r="I38" t="str">
            <v xml:space="preserve">            "   </v>
          </cell>
          <cell r="J38" t="str">
            <v xml:space="preserve">        "   </v>
          </cell>
          <cell r="L38">
            <v>2814</v>
          </cell>
        </row>
        <row r="39">
          <cell r="H39" t="str">
            <v>ATOC</v>
          </cell>
          <cell r="I39">
            <v>244.04599999999999</v>
          </cell>
          <cell r="J39">
            <v>58.83</v>
          </cell>
          <cell r="L39">
            <v>0</v>
          </cell>
        </row>
        <row r="40">
          <cell r="H40" t="str">
            <v>Total freight operators</v>
          </cell>
          <cell r="I40" t="str">
            <v xml:space="preserve">            "   </v>
          </cell>
          <cell r="J40" t="str">
            <v xml:space="preserve">        "   </v>
          </cell>
          <cell r="L40">
            <v>0</v>
          </cell>
        </row>
        <row r="41">
          <cell r="H41" t="str">
            <v>Eurotunnel</v>
          </cell>
          <cell r="I41" t="str">
            <v xml:space="preserve">            "   </v>
          </cell>
          <cell r="J41" t="str">
            <v xml:space="preserve">        "   </v>
          </cell>
          <cell r="L41">
            <v>58</v>
          </cell>
        </row>
        <row r="42">
          <cell r="H42" t="str">
            <v>NIR</v>
          </cell>
          <cell r="I42" t="str">
            <v xml:space="preserve">            "   </v>
          </cell>
          <cell r="J42" t="str">
            <v xml:space="preserve">        "   </v>
          </cell>
          <cell r="L42">
            <v>357</v>
          </cell>
        </row>
        <row r="43">
          <cell r="H43" t="str">
            <v>Railtrack</v>
          </cell>
          <cell r="I43" t="str">
            <v xml:space="preserve">            "   </v>
          </cell>
          <cell r="J43" t="str">
            <v xml:space="preserve">        "   </v>
          </cell>
          <cell r="L43">
            <v>16652</v>
          </cell>
        </row>
        <row r="44">
          <cell r="G44" t="str">
            <v>2)</v>
          </cell>
          <cell r="H44" t="str">
            <v>SJ</v>
          </cell>
          <cell r="I44">
            <v>449.964</v>
          </cell>
          <cell r="J44">
            <v>8.91</v>
          </cell>
          <cell r="L44">
            <v>0</v>
          </cell>
        </row>
        <row r="45">
          <cell r="H45" t="str">
            <v>MTAB</v>
          </cell>
          <cell r="I45" t="str">
            <v xml:space="preserve">            "   </v>
          </cell>
          <cell r="J45" t="str">
            <v xml:space="preserve">        "   </v>
          </cell>
          <cell r="L45">
            <v>0</v>
          </cell>
        </row>
        <row r="46">
          <cell r="H46" t="str">
            <v>BV</v>
          </cell>
          <cell r="I46" t="str">
            <v xml:space="preserve">            "   </v>
          </cell>
          <cell r="J46" t="str">
            <v xml:space="preserve">        "   </v>
          </cell>
          <cell r="L46">
            <v>9946</v>
          </cell>
        </row>
        <row r="47">
          <cell r="H47" t="str">
            <v>BK</v>
          </cell>
          <cell r="I47" t="str">
            <v xml:space="preserve">            "   </v>
          </cell>
          <cell r="J47" t="str">
            <v xml:space="preserve">        "   </v>
          </cell>
          <cell r="L47">
            <v>0</v>
          </cell>
        </row>
        <row r="48">
          <cell r="I48">
            <v>3238.0489999999986</v>
          </cell>
          <cell r="J48">
            <v>375.27600000000001</v>
          </cell>
          <cell r="L48">
            <v>153801.587</v>
          </cell>
        </row>
        <row r="49">
          <cell r="H49" t="str">
            <v>NSB BA</v>
          </cell>
          <cell r="I49">
            <v>386.95800000000003</v>
          </cell>
          <cell r="J49">
            <v>4.4649999999999999</v>
          </cell>
          <cell r="L49">
            <v>0</v>
          </cell>
        </row>
        <row r="50">
          <cell r="H50" t="str">
            <v>MTAS</v>
          </cell>
          <cell r="I50" t="str">
            <v xml:space="preserve">            "   </v>
          </cell>
          <cell r="J50" t="str">
            <v xml:space="preserve">        "   </v>
          </cell>
          <cell r="L50">
            <v>0</v>
          </cell>
        </row>
        <row r="51">
          <cell r="H51" t="str">
            <v>JBV</v>
          </cell>
          <cell r="I51" t="str">
            <v xml:space="preserve">            "   </v>
          </cell>
          <cell r="J51" t="str">
            <v xml:space="preserve">        "   </v>
          </cell>
          <cell r="L51">
            <v>4179</v>
          </cell>
        </row>
        <row r="52">
          <cell r="H52" t="str">
            <v>BLS</v>
          </cell>
          <cell r="I52">
            <v>41.283999999999999</v>
          </cell>
          <cell r="J52">
            <v>7.3860000000000001</v>
          </cell>
          <cell r="L52">
            <v>241</v>
          </cell>
        </row>
        <row r="53">
          <cell r="H53" t="str">
            <v>CFF/SBB/FFS</v>
          </cell>
          <cell r="I53" t="str">
            <v xml:space="preserve">            "   </v>
          </cell>
          <cell r="J53" t="str">
            <v xml:space="preserve">        "   </v>
          </cell>
          <cell r="L53">
            <v>2902</v>
          </cell>
        </row>
        <row r="54">
          <cell r="I54">
            <v>3666.2909999999988</v>
          </cell>
          <cell r="J54">
            <v>387.12700000000001</v>
          </cell>
          <cell r="L54">
            <v>161123.587</v>
          </cell>
        </row>
        <row r="55">
          <cell r="H55" t="str">
            <v>HSh</v>
          </cell>
          <cell r="I55">
            <v>28.748000000000001</v>
          </cell>
          <cell r="J55">
            <v>3.113</v>
          </cell>
          <cell r="L55">
            <v>440</v>
          </cell>
        </row>
        <row r="56">
          <cell r="H56" t="str">
            <v>ZBH</v>
          </cell>
          <cell r="I56">
            <v>51.128999999999998</v>
          </cell>
          <cell r="J56">
            <v>3.972</v>
          </cell>
          <cell r="L56">
            <v>608.495</v>
          </cell>
        </row>
        <row r="57">
          <cell r="H57" t="str">
            <v>ZRS</v>
          </cell>
          <cell r="I57" t="str">
            <v xml:space="preserve">            "   </v>
          </cell>
          <cell r="J57" t="str">
            <v xml:space="preserve">        "   </v>
          </cell>
          <cell r="L57">
            <v>424</v>
          </cell>
        </row>
        <row r="58">
          <cell r="H58" t="str">
            <v>BDZ</v>
          </cell>
          <cell r="I58">
            <v>110.91200000000001</v>
          </cell>
          <cell r="J58">
            <v>8.2249999999999996</v>
          </cell>
          <cell r="L58">
            <v>4320</v>
          </cell>
        </row>
        <row r="59">
          <cell r="H59" t="str">
            <v>HZ</v>
          </cell>
          <cell r="I59">
            <v>56.537999999999997</v>
          </cell>
          <cell r="J59">
            <v>4.4729999999999999</v>
          </cell>
          <cell r="L59">
            <v>2726.8</v>
          </cell>
        </row>
        <row r="60">
          <cell r="H60" t="str">
            <v>GYSEV/RÖEE</v>
          </cell>
          <cell r="I60">
            <v>93.03</v>
          </cell>
          <cell r="J60">
            <v>10.036</v>
          </cell>
          <cell r="L60">
            <v>220</v>
          </cell>
        </row>
        <row r="61">
          <cell r="H61" t="str">
            <v>MÁV Rt.</v>
          </cell>
          <cell r="I61" t="str">
            <v xml:space="preserve">            "   </v>
          </cell>
          <cell r="J61" t="str">
            <v xml:space="preserve">        "   </v>
          </cell>
          <cell r="L61">
            <v>7784</v>
          </cell>
        </row>
        <row r="62">
          <cell r="H62" t="str">
            <v>CFARYM</v>
          </cell>
          <cell r="I62">
            <v>25.713000000000001</v>
          </cell>
          <cell r="J62">
            <v>2.024</v>
          </cell>
          <cell r="L62">
            <v>699</v>
          </cell>
        </row>
        <row r="63">
          <cell r="H63" t="str">
            <v>PKP</v>
          </cell>
          <cell r="I63">
            <v>312.685</v>
          </cell>
          <cell r="J63">
            <v>38.765000000000001</v>
          </cell>
          <cell r="L63">
            <v>22560</v>
          </cell>
        </row>
        <row r="64">
          <cell r="H64" t="str">
            <v>CFR</v>
          </cell>
          <cell r="I64">
            <v>238.39099999999999</v>
          </cell>
          <cell r="J64">
            <v>22.327000000000002</v>
          </cell>
          <cell r="L64">
            <v>11364</v>
          </cell>
        </row>
        <row r="65">
          <cell r="H65" t="str">
            <v>ZSR</v>
          </cell>
          <cell r="I65">
            <v>49</v>
          </cell>
          <cell r="J65">
            <v>5.3869999999999996</v>
          </cell>
          <cell r="L65">
            <v>3662</v>
          </cell>
        </row>
        <row r="66">
          <cell r="H66" t="str">
            <v>SZ</v>
          </cell>
          <cell r="I66">
            <v>20.256</v>
          </cell>
          <cell r="J66">
            <v>1.986</v>
          </cell>
          <cell r="L66">
            <v>1201.5</v>
          </cell>
        </row>
        <row r="67">
          <cell r="H67" t="str">
            <v>CD</v>
          </cell>
          <cell r="I67">
            <v>78.864000000000004</v>
          </cell>
          <cell r="J67">
            <v>10.244</v>
          </cell>
          <cell r="L67">
            <v>9365</v>
          </cell>
        </row>
        <row r="68">
          <cell r="H68" t="str">
            <v>JZ</v>
          </cell>
          <cell r="I68">
            <v>102.173</v>
          </cell>
          <cell r="J68">
            <v>10.64</v>
          </cell>
          <cell r="L68">
            <v>4057.7</v>
          </cell>
        </row>
        <row r="69">
          <cell r="I69">
            <v>1167.4389999999999</v>
          </cell>
          <cell r="J69">
            <v>121.19200000000001</v>
          </cell>
          <cell r="L69">
            <v>69432.494999999995</v>
          </cell>
        </row>
        <row r="71">
          <cell r="H71" t="str">
            <v>BC</v>
          </cell>
          <cell r="I71">
            <v>207.6</v>
          </cell>
          <cell r="J71">
            <v>10.236000000000001</v>
          </cell>
          <cell r="L71">
            <v>5512</v>
          </cell>
        </row>
        <row r="72">
          <cell r="H72" t="str">
            <v>EVR</v>
          </cell>
          <cell r="I72">
            <v>45.225999999999999</v>
          </cell>
          <cell r="J72">
            <v>1.3959999999999999</v>
          </cell>
          <cell r="L72">
            <v>968</v>
          </cell>
        </row>
        <row r="73">
          <cell r="H73" t="str">
            <v>LDZ</v>
          </cell>
          <cell r="I73">
            <v>64.616</v>
          </cell>
          <cell r="J73">
            <v>2.3570000000000002</v>
          </cell>
          <cell r="L73">
            <v>2331</v>
          </cell>
        </row>
        <row r="74">
          <cell r="H74" t="str">
            <v>LG</v>
          </cell>
          <cell r="I74">
            <v>65.3</v>
          </cell>
          <cell r="J74">
            <v>3.67</v>
          </cell>
          <cell r="L74">
            <v>1905</v>
          </cell>
        </row>
        <row r="75">
          <cell r="H75" t="str">
            <v>CFM (E)</v>
          </cell>
          <cell r="I75">
            <v>33.76</v>
          </cell>
          <cell r="J75">
            <v>4.38</v>
          </cell>
          <cell r="L75">
            <v>1139</v>
          </cell>
        </row>
        <row r="76">
          <cell r="H76" t="str">
            <v>RZD</v>
          </cell>
          <cell r="I76">
            <v>17075.400000000001</v>
          </cell>
          <cell r="J76">
            <v>146.934</v>
          </cell>
          <cell r="L76">
            <v>86075</v>
          </cell>
        </row>
        <row r="77">
          <cell r="H77" t="str">
            <v>UZ</v>
          </cell>
          <cell r="I77">
            <v>603.70000000000005</v>
          </cell>
          <cell r="J77">
            <v>50.456000000000003</v>
          </cell>
          <cell r="L77">
            <v>22302</v>
          </cell>
        </row>
        <row r="78">
          <cell r="I78">
            <v>18095.602000000003</v>
          </cell>
          <cell r="J78">
            <v>219.42899999999997</v>
          </cell>
          <cell r="L78">
            <v>120232</v>
          </cell>
        </row>
        <row r="79">
          <cell r="H79" t="str">
            <v>TCDD</v>
          </cell>
          <cell r="I79">
            <v>779.452</v>
          </cell>
          <cell r="J79">
            <v>66.590999999999994</v>
          </cell>
          <cell r="L79">
            <v>8671</v>
          </cell>
        </row>
        <row r="80">
          <cell r="I80">
            <v>23708.784000000003</v>
          </cell>
          <cell r="J80">
            <v>794.33900000000006</v>
          </cell>
          <cell r="L80">
            <v>359459.08199999999</v>
          </cell>
        </row>
        <row r="81">
          <cell r="I81" t="str">
            <v>Tausend</v>
          </cell>
          <cell r="J81" t="str">
            <v>Millionen</v>
          </cell>
          <cell r="L81" t="str">
            <v>in Kilometer</v>
          </cell>
        </row>
        <row r="82">
          <cell r="I82" t="str">
            <v>km²</v>
          </cell>
          <cell r="L82" t="str">
            <v>Gesamt-</v>
          </cell>
        </row>
        <row r="83">
          <cell r="I83" t="str">
            <v>Fläche des</v>
          </cell>
          <cell r="J83" t="str">
            <v>Bevölke-</v>
          </cell>
          <cell r="L83" t="str">
            <v>summe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  <sheetName val="Assumptions"/>
      <sheetName val="Summary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Base Case 25"/>
      <sheetName val="Base Case 30"/>
      <sheetName val="Values"/>
      <sheetName val="Sheet1"/>
      <sheetName val="Genco"/>
      <sheetName val="Summary - Drivers"/>
      <sheetName val="Summary Financials"/>
      <sheetName val="Print Chart"/>
      <sheetName val="Defease"/>
      <sheetName val="Summary"/>
      <sheetName val="Servco"/>
      <sheetName val="Transco"/>
      <sheetName val="Unreg"/>
      <sheetName val="Disco"/>
      <sheetName val="Retail Merchant-R"/>
      <sheetName val="Remote Communities"/>
      <sheetName val="Network Services"/>
      <sheetName val="MEU"/>
      <sheetName val="P&amp;I"/>
      <sheetName val="IMO"/>
      <sheetName val="CCA"/>
      <sheetName val="Depr"/>
      <sheetName val="Data"/>
      <sheetName val="Debt Portfolio"/>
      <sheetName val="Chang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F"/>
    </sheetNames>
    <sheetDataSet>
      <sheetData sheetId="0" refreshError="1">
        <row r="121">
          <cell r="B121">
            <v>2000</v>
          </cell>
          <cell r="C121">
            <v>2001</v>
          </cell>
          <cell r="D121">
            <v>2002</v>
          </cell>
          <cell r="E121">
            <v>2003</v>
          </cell>
          <cell r="F121">
            <v>2004</v>
          </cell>
          <cell r="G121">
            <v>2005</v>
          </cell>
          <cell r="H121">
            <v>2006</v>
          </cell>
          <cell r="I121">
            <v>2007</v>
          </cell>
          <cell r="J121">
            <v>2008</v>
          </cell>
          <cell r="K121">
            <v>2009</v>
          </cell>
          <cell r="L121">
            <v>2010</v>
          </cell>
          <cell r="M121">
            <v>2011</v>
          </cell>
          <cell r="N121">
            <v>2012</v>
          </cell>
          <cell r="O121">
            <v>2013</v>
          </cell>
          <cell r="P121">
            <v>2014</v>
          </cell>
          <cell r="Q121">
            <v>2015</v>
          </cell>
          <cell r="R121">
            <v>2016</v>
          </cell>
          <cell r="S121">
            <v>2017</v>
          </cell>
          <cell r="T121">
            <v>2018</v>
          </cell>
          <cell r="U121">
            <v>2019</v>
          </cell>
          <cell r="V121">
            <v>2020</v>
          </cell>
        </row>
        <row r="160">
          <cell r="B160">
            <v>36083.733866325361</v>
          </cell>
          <cell r="C160">
            <v>34531.733866325361</v>
          </cell>
          <cell r="D160">
            <v>32783.533866325364</v>
          </cell>
          <cell r="E160">
            <v>31035.333866325363</v>
          </cell>
          <cell r="F160">
            <v>29287.133866325363</v>
          </cell>
          <cell r="G160">
            <v>27538.933866325362</v>
          </cell>
          <cell r="H160">
            <v>25790.733866325361</v>
          </cell>
          <cell r="I160">
            <v>25122.733866325361</v>
          </cell>
          <cell r="J160">
            <v>24454.733866325361</v>
          </cell>
          <cell r="K160">
            <v>23786.733866325361</v>
          </cell>
          <cell r="L160">
            <v>23118.733866325361</v>
          </cell>
          <cell r="M160">
            <v>22450.733866325361</v>
          </cell>
          <cell r="N160">
            <v>21782.733866325361</v>
          </cell>
          <cell r="O160">
            <v>21171.533866325361</v>
          </cell>
          <cell r="P160">
            <v>20560.33386632536</v>
          </cell>
          <cell r="Q160">
            <v>19949.133866325359</v>
          </cell>
          <cell r="R160">
            <v>19337.933866325358</v>
          </cell>
          <cell r="S160">
            <v>18726.733866325358</v>
          </cell>
          <cell r="T160">
            <v>18115.533866325357</v>
          </cell>
          <cell r="U160">
            <v>17900.533866325357</v>
          </cell>
          <cell r="V160">
            <v>17685.533866325357</v>
          </cell>
        </row>
        <row r="169">
          <cell r="B169">
            <v>0</v>
          </cell>
          <cell r="C169">
            <v>868.64385708551845</v>
          </cell>
          <cell r="D169">
            <v>1389.564269481376</v>
          </cell>
          <cell r="E169">
            <v>1405.973006098146</v>
          </cell>
          <cell r="F169">
            <v>690.95445944970743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</row>
        <row r="176">
          <cell r="B176">
            <v>1631.4403230005266</v>
          </cell>
          <cell r="C176">
            <v>455.24081688027582</v>
          </cell>
          <cell r="D176">
            <v>585.70424626789713</v>
          </cell>
          <cell r="E176">
            <v>1165.0623915421738</v>
          </cell>
          <cell r="F176">
            <v>1748.320946149184</v>
          </cell>
          <cell r="G176">
            <v>2440.6911676096506</v>
          </cell>
          <cell r="H176">
            <v>2792.6076127543524</v>
          </cell>
          <cell r="I176">
            <v>3325.9373758378015</v>
          </cell>
          <cell r="J176">
            <v>3558.0984966581291</v>
          </cell>
          <cell r="K176">
            <v>4084.904461289691</v>
          </cell>
          <cell r="L176">
            <v>4522.790097039765</v>
          </cell>
          <cell r="M176">
            <v>5031.6729466330062</v>
          </cell>
          <cell r="N176">
            <v>5507.9065186957014</v>
          </cell>
          <cell r="O176">
            <v>5987.5640776444025</v>
          </cell>
          <cell r="P176">
            <v>6348.3201448305681</v>
          </cell>
          <cell r="Q176">
            <v>6502.1943428763989</v>
          </cell>
          <cell r="R176">
            <v>7043.8491860836011</v>
          </cell>
          <cell r="S176">
            <v>6759.0799107658195</v>
          </cell>
          <cell r="T176">
            <v>6857.27511928072</v>
          </cell>
          <cell r="U176">
            <v>7684.5719983319268</v>
          </cell>
          <cell r="V176">
            <v>8142.675271939188</v>
          </cell>
        </row>
        <row r="194">
          <cell r="B194">
            <v>2.9538834515565809E-2</v>
          </cell>
          <cell r="C194">
            <v>3.0649702439012605E-2</v>
          </cell>
          <cell r="D194">
            <v>3.1429263573916372E-2</v>
          </cell>
          <cell r="E194">
            <v>3.2032254443011665E-2</v>
          </cell>
          <cell r="F194">
            <v>3.211973239186789E-2</v>
          </cell>
          <cell r="G194">
            <v>3.243141461141593E-2</v>
          </cell>
          <cell r="H194">
            <v>3.2877312391798197E-2</v>
          </cell>
          <cell r="I194">
            <v>3.3201977558724359E-2</v>
          </cell>
          <cell r="J194">
            <v>3.3487851859481103E-2</v>
          </cell>
          <cell r="K194">
            <v>3.3904029716880175E-2</v>
          </cell>
          <cell r="L194">
            <v>3.4280556316865184E-2</v>
          </cell>
          <cell r="M194">
            <v>3.4746958890097095E-2</v>
          </cell>
          <cell r="N194">
            <v>3.5247596576942292E-2</v>
          </cell>
          <cell r="O194">
            <v>3.5694315583144259E-2</v>
          </cell>
          <cell r="P194">
            <v>3.6212074220826632E-2</v>
          </cell>
          <cell r="Q194">
            <v>3.6619888224579338E-2</v>
          </cell>
          <cell r="R194">
            <v>3.7042572663483986E-2</v>
          </cell>
          <cell r="S194">
            <v>3.7475223003515974E-2</v>
          </cell>
          <cell r="T194">
            <v>3.7903775976498626E-2</v>
          </cell>
          <cell r="U194">
            <v>3.8407029127543818E-2</v>
          </cell>
          <cell r="V194">
            <v>3.8927321256325927E-2</v>
          </cell>
        </row>
        <row r="196">
          <cell r="B196">
            <v>1.336595247460615E-2</v>
          </cell>
          <cell r="C196">
            <v>1.3277377574178011E-2</v>
          </cell>
          <cell r="D196">
            <v>1.3146694724038463E-2</v>
          </cell>
          <cell r="E196">
            <v>1.2876325680870574E-2</v>
          </cell>
          <cell r="F196">
            <v>1.2851547632735483E-2</v>
          </cell>
          <cell r="G196">
            <v>1.2640733602166951E-2</v>
          </cell>
          <cell r="H196">
            <v>1.2284219962866105E-2</v>
          </cell>
          <cell r="I196">
            <v>1.2127489571883468E-2</v>
          </cell>
          <cell r="J196">
            <v>1.1974960041714973E-2</v>
          </cell>
          <cell r="K196">
            <v>1.1824150912708989E-2</v>
          </cell>
          <cell r="L196">
            <v>1.1675046253752971E-2</v>
          </cell>
          <cell r="M196">
            <v>1.1527630232915056E-2</v>
          </cell>
          <cell r="N196">
            <v>1.1381887117064723E-2</v>
          </cell>
          <cell r="O196">
            <v>1.1237801271514112E-2</v>
          </cell>
          <cell r="P196">
            <v>1.1095357159678916E-2</v>
          </cell>
          <cell r="Q196">
            <v>1.0954539342757781E-2</v>
          </cell>
          <cell r="R196">
            <v>1.0815332479429129E-2</v>
          </cell>
          <cell r="S196">
            <v>1.0677721325564448E-2</v>
          </cell>
          <cell r="T196">
            <v>1.0541690733957051E-2</v>
          </cell>
          <cell r="U196">
            <v>1.0407225654065289E-2</v>
          </cell>
          <cell r="V196">
            <v>1.0274311131769371E-2</v>
          </cell>
        </row>
        <row r="197">
          <cell r="B197">
            <v>8.7904786990171957E-2</v>
          </cell>
          <cell r="C197">
            <v>7.6110796252974539E-2</v>
          </cell>
          <cell r="D197">
            <v>7.7174691388769021E-2</v>
          </cell>
          <cell r="E197">
            <v>8.2462743613860232E-2</v>
          </cell>
          <cell r="F197">
            <v>8.7496873012393769E-2</v>
          </cell>
          <cell r="G197">
            <v>9.1898359750846328E-2</v>
          </cell>
          <cell r="H197">
            <v>9.4036095570495151E-2</v>
          </cell>
          <cell r="I197">
            <v>9.4196364909415478E-2</v>
          </cell>
          <cell r="J197">
            <v>9.4786271029127761E-2</v>
          </cell>
          <cell r="K197">
            <v>9.6477642869008104E-2</v>
          </cell>
          <cell r="L197">
            <v>9.7962857989798466E-2</v>
          </cell>
          <cell r="M197">
            <v>0.10038043748335179</v>
          </cell>
          <cell r="N197">
            <v>0.10322787803469247</v>
          </cell>
          <cell r="O197">
            <v>0.10539156624311566</v>
          </cell>
          <cell r="P197">
            <v>0.10827759846092297</v>
          </cell>
          <cell r="Q197">
            <v>0.1099217432954372</v>
          </cell>
          <cell r="R197">
            <v>0.11167897673125293</v>
          </cell>
          <cell r="S197">
            <v>0.11338844612895536</v>
          </cell>
          <cell r="T197">
            <v>0.11492661963864534</v>
          </cell>
          <cell r="U197">
            <v>0.11734330011928636</v>
          </cell>
          <cell r="V197">
            <v>0.11991811197787021</v>
          </cell>
        </row>
        <row r="200">
          <cell r="B200">
            <v>7.0924773050155779E-2</v>
          </cell>
          <cell r="C200">
            <v>5.8529377596710272E-2</v>
          </cell>
          <cell r="D200">
            <v>5.9145153840178342E-2</v>
          </cell>
          <cell r="E200">
            <v>6.3381598783642565E-2</v>
          </cell>
          <cell r="F200">
            <v>6.809956071747085E-2</v>
          </cell>
          <cell r="G200">
            <v>7.2338636179855323E-2</v>
          </cell>
          <cell r="H200">
            <v>7.3773938074812348E-2</v>
          </cell>
          <cell r="I200">
            <v>7.4258279704900357E-2</v>
          </cell>
          <cell r="J200">
            <v>7.5152207353435918E-2</v>
          </cell>
          <cell r="K200">
            <v>7.6427036379341465E-2</v>
          </cell>
          <cell r="L200">
            <v>7.7648174537471221E-2</v>
          </cell>
          <cell r="M200">
            <v>7.9371014783738647E-2</v>
          </cell>
          <cell r="N200">
            <v>8.1091371850963323E-2</v>
          </cell>
          <cell r="O200">
            <v>8.2545308053440458E-2</v>
          </cell>
          <cell r="P200">
            <v>8.4298634142538242E-2</v>
          </cell>
          <cell r="Q200">
            <v>8.5742049093461115E-2</v>
          </cell>
          <cell r="R200">
            <v>8.698214911903604E-2</v>
          </cell>
          <cell r="S200">
            <v>8.866546334160999E-2</v>
          </cell>
          <cell r="T200">
            <v>9.028867979321771E-2</v>
          </cell>
          <cell r="U200">
            <v>9.2214239891188363E-2</v>
          </cell>
          <cell r="V200">
            <v>9.4228067096649978E-2</v>
          </cell>
        </row>
        <row r="202">
          <cell r="B202">
            <v>9.0868253673845628E-2</v>
          </cell>
          <cell r="C202">
            <v>8.1955221589006075E-2</v>
          </cell>
          <cell r="D202">
            <v>8.3113697314041668E-2</v>
          </cell>
          <cell r="E202">
            <v>8.7584192461657578E-2</v>
          </cell>
          <cell r="F202">
            <v>9.1447813043957951E-2</v>
          </cell>
          <cell r="G202">
            <v>9.5024093833937132E-2</v>
          </cell>
          <cell r="H202">
            <v>9.6735492392446346E-2</v>
          </cell>
          <cell r="I202">
            <v>9.7124328072195371E-2</v>
          </cell>
          <cell r="J202">
            <v>9.7617360944840165E-2</v>
          </cell>
          <cell r="K202">
            <v>9.9316501917210115E-2</v>
          </cell>
          <cell r="L202">
            <v>0.10079785773365142</v>
          </cell>
          <cell r="M202">
            <v>0.10329755868332846</v>
          </cell>
          <cell r="N202">
            <v>0.10623230493581465</v>
          </cell>
          <cell r="O202">
            <v>0.10842969590749371</v>
          </cell>
          <cell r="P202">
            <v>0.1114186725210287</v>
          </cell>
          <cell r="Q202">
            <v>0.11303633548714996</v>
          </cell>
          <cell r="R202">
            <v>0.1147727652583217</v>
          </cell>
          <cell r="S202">
            <v>0.11648738115530693</v>
          </cell>
          <cell r="T202">
            <v>0.11803370060509932</v>
          </cell>
          <cell r="U202">
            <v>0.12050398422263578</v>
          </cell>
          <cell r="V202">
            <v>0.12313525863094432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F"/>
    </sheetNames>
    <sheetDataSet>
      <sheetData sheetId="0" refreshError="1">
        <row r="121">
          <cell r="B121">
            <v>2000</v>
          </cell>
          <cell r="C121">
            <v>2001</v>
          </cell>
          <cell r="D121">
            <v>2002</v>
          </cell>
          <cell r="E121">
            <v>2003</v>
          </cell>
          <cell r="F121">
            <v>2004</v>
          </cell>
          <cell r="G121">
            <v>2005</v>
          </cell>
          <cell r="H121">
            <v>2006</v>
          </cell>
          <cell r="I121">
            <v>2007</v>
          </cell>
          <cell r="J121">
            <v>2008</v>
          </cell>
          <cell r="K121">
            <v>2009</v>
          </cell>
          <cell r="L121">
            <v>2010</v>
          </cell>
          <cell r="M121">
            <v>2011</v>
          </cell>
          <cell r="N121">
            <v>2012</v>
          </cell>
          <cell r="O121">
            <v>2013</v>
          </cell>
          <cell r="P121">
            <v>2014</v>
          </cell>
          <cell r="Q121">
            <v>2015</v>
          </cell>
          <cell r="R121">
            <v>2016</v>
          </cell>
          <cell r="S121">
            <v>2017</v>
          </cell>
          <cell r="T121">
            <v>2018</v>
          </cell>
          <cell r="U121">
            <v>2019</v>
          </cell>
          <cell r="V121">
            <v>2020</v>
          </cell>
        </row>
        <row r="160">
          <cell r="B160">
            <v>36083.733866325361</v>
          </cell>
          <cell r="C160">
            <v>34531.733866325361</v>
          </cell>
          <cell r="D160">
            <v>32783.533866325364</v>
          </cell>
          <cell r="E160">
            <v>31035.333866325363</v>
          </cell>
          <cell r="F160">
            <v>29287.133866325363</v>
          </cell>
          <cell r="G160">
            <v>27538.933866325362</v>
          </cell>
          <cell r="H160">
            <v>25790.733866325361</v>
          </cell>
          <cell r="I160">
            <v>25122.733866325361</v>
          </cell>
          <cell r="J160">
            <v>24454.733866325361</v>
          </cell>
          <cell r="K160">
            <v>23786.733866325361</v>
          </cell>
          <cell r="L160">
            <v>23118.733866325361</v>
          </cell>
          <cell r="M160">
            <v>22450.733866325361</v>
          </cell>
          <cell r="N160">
            <v>21782.733866325361</v>
          </cell>
          <cell r="O160">
            <v>21171.533866325361</v>
          </cell>
          <cell r="P160">
            <v>20560.33386632536</v>
          </cell>
          <cell r="Q160">
            <v>19949.133866325359</v>
          </cell>
          <cell r="R160">
            <v>19337.933866325358</v>
          </cell>
          <cell r="S160">
            <v>18726.733866325358</v>
          </cell>
          <cell r="T160">
            <v>18115.533866325357</v>
          </cell>
          <cell r="U160">
            <v>17900.533866325357</v>
          </cell>
          <cell r="V160">
            <v>17685.533866325357</v>
          </cell>
        </row>
        <row r="169">
          <cell r="B169">
            <v>0</v>
          </cell>
          <cell r="C169">
            <v>868.64385708551845</v>
          </cell>
          <cell r="D169">
            <v>1389.564269481376</v>
          </cell>
          <cell r="E169">
            <v>1405.973006098146</v>
          </cell>
          <cell r="F169">
            <v>690.95445944970743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</row>
        <row r="176">
          <cell r="B176">
            <v>1631.4403230005266</v>
          </cell>
          <cell r="C176">
            <v>455.24081688027582</v>
          </cell>
          <cell r="D176">
            <v>585.70424626789713</v>
          </cell>
          <cell r="E176">
            <v>1165.0623915421738</v>
          </cell>
          <cell r="F176">
            <v>1748.320946149184</v>
          </cell>
          <cell r="G176">
            <v>2440.6911676096506</v>
          </cell>
          <cell r="H176">
            <v>2792.6076127543524</v>
          </cell>
          <cell r="I176">
            <v>3325.9373758378015</v>
          </cell>
          <cell r="J176">
            <v>3558.0984966581291</v>
          </cell>
          <cell r="K176">
            <v>4084.904461289691</v>
          </cell>
          <cell r="L176">
            <v>4522.790097039765</v>
          </cell>
          <cell r="M176">
            <v>5031.6729466330062</v>
          </cell>
          <cell r="N176">
            <v>5507.9065186957014</v>
          </cell>
          <cell r="O176">
            <v>5987.5640776444025</v>
          </cell>
          <cell r="P176">
            <v>6348.3201448305681</v>
          </cell>
          <cell r="Q176">
            <v>6502.1943428763989</v>
          </cell>
          <cell r="R176">
            <v>7043.8491860836011</v>
          </cell>
          <cell r="S176">
            <v>6759.0799107658195</v>
          </cell>
          <cell r="T176">
            <v>6857.27511928072</v>
          </cell>
          <cell r="U176">
            <v>7684.5719983319268</v>
          </cell>
          <cell r="V176">
            <v>8142.675271939188</v>
          </cell>
        </row>
        <row r="194">
          <cell r="B194">
            <v>2.9538834515565809E-2</v>
          </cell>
          <cell r="C194">
            <v>3.0649702439012605E-2</v>
          </cell>
          <cell r="D194">
            <v>3.1429263573916372E-2</v>
          </cell>
          <cell r="E194">
            <v>3.2032254443011665E-2</v>
          </cell>
          <cell r="F194">
            <v>3.211973239186789E-2</v>
          </cell>
          <cell r="G194">
            <v>3.243141461141593E-2</v>
          </cell>
          <cell r="H194">
            <v>3.2877312391798197E-2</v>
          </cell>
          <cell r="I194">
            <v>3.3201977558724359E-2</v>
          </cell>
          <cell r="J194">
            <v>3.3487851859481103E-2</v>
          </cell>
          <cell r="K194">
            <v>3.3904029716880175E-2</v>
          </cell>
          <cell r="L194">
            <v>3.4280556316865184E-2</v>
          </cell>
          <cell r="M194">
            <v>3.4746958890097095E-2</v>
          </cell>
          <cell r="N194">
            <v>3.5247596576942292E-2</v>
          </cell>
          <cell r="O194">
            <v>3.5694315583144259E-2</v>
          </cell>
          <cell r="P194">
            <v>3.6212074220826632E-2</v>
          </cell>
          <cell r="Q194">
            <v>3.6619888224579338E-2</v>
          </cell>
          <cell r="R194">
            <v>3.7042572663483986E-2</v>
          </cell>
          <cell r="S194">
            <v>3.7475223003515974E-2</v>
          </cell>
          <cell r="T194">
            <v>3.7903775976498626E-2</v>
          </cell>
          <cell r="U194">
            <v>3.8407029127543818E-2</v>
          </cell>
          <cell r="V194">
            <v>3.8927321256325927E-2</v>
          </cell>
        </row>
        <row r="196">
          <cell r="B196">
            <v>1.336595247460615E-2</v>
          </cell>
          <cell r="C196">
            <v>1.3277377574178011E-2</v>
          </cell>
          <cell r="D196">
            <v>1.3146694724038463E-2</v>
          </cell>
          <cell r="E196">
            <v>1.2876325680870574E-2</v>
          </cell>
          <cell r="F196">
            <v>1.2851547632735483E-2</v>
          </cell>
          <cell r="G196">
            <v>1.2640733602166951E-2</v>
          </cell>
          <cell r="H196">
            <v>1.2284219962866105E-2</v>
          </cell>
          <cell r="I196">
            <v>1.2127489571883468E-2</v>
          </cell>
          <cell r="J196">
            <v>1.1974960041714973E-2</v>
          </cell>
          <cell r="K196">
            <v>1.1824150912708989E-2</v>
          </cell>
          <cell r="L196">
            <v>1.1675046253752971E-2</v>
          </cell>
          <cell r="M196">
            <v>1.1527630232915056E-2</v>
          </cell>
          <cell r="N196">
            <v>1.1381887117064723E-2</v>
          </cell>
          <cell r="O196">
            <v>1.1237801271514112E-2</v>
          </cell>
          <cell r="P196">
            <v>1.1095357159678916E-2</v>
          </cell>
          <cell r="Q196">
            <v>1.0954539342757781E-2</v>
          </cell>
          <cell r="R196">
            <v>1.0815332479429129E-2</v>
          </cell>
          <cell r="S196">
            <v>1.0677721325564448E-2</v>
          </cell>
          <cell r="T196">
            <v>1.0541690733957051E-2</v>
          </cell>
          <cell r="U196">
            <v>1.0407225654065289E-2</v>
          </cell>
          <cell r="V196">
            <v>1.0274311131769371E-2</v>
          </cell>
        </row>
        <row r="197">
          <cell r="B197">
            <v>8.7904786990171957E-2</v>
          </cell>
          <cell r="C197">
            <v>7.6110796252974539E-2</v>
          </cell>
          <cell r="D197">
            <v>7.7174691388769021E-2</v>
          </cell>
          <cell r="E197">
            <v>8.2462743613860232E-2</v>
          </cell>
          <cell r="F197">
            <v>8.7496873012393769E-2</v>
          </cell>
          <cell r="G197">
            <v>9.1898359750846328E-2</v>
          </cell>
          <cell r="H197">
            <v>9.4036095570495151E-2</v>
          </cell>
          <cell r="I197">
            <v>9.4196364909415478E-2</v>
          </cell>
          <cell r="J197">
            <v>9.4786271029127761E-2</v>
          </cell>
          <cell r="K197">
            <v>9.6477642869008104E-2</v>
          </cell>
          <cell r="L197">
            <v>9.7962857989798466E-2</v>
          </cell>
          <cell r="M197">
            <v>0.10038043748335179</v>
          </cell>
          <cell r="N197">
            <v>0.10322787803469247</v>
          </cell>
          <cell r="O197">
            <v>0.10539156624311566</v>
          </cell>
          <cell r="P197">
            <v>0.10827759846092297</v>
          </cell>
          <cell r="Q197">
            <v>0.1099217432954372</v>
          </cell>
          <cell r="R197">
            <v>0.11167897673125293</v>
          </cell>
          <cell r="S197">
            <v>0.11338844612895536</v>
          </cell>
          <cell r="T197">
            <v>0.11492661963864534</v>
          </cell>
          <cell r="U197">
            <v>0.11734330011928636</v>
          </cell>
          <cell r="V197">
            <v>0.11991811197787021</v>
          </cell>
        </row>
        <row r="200">
          <cell r="B200">
            <v>7.0924773050155779E-2</v>
          </cell>
          <cell r="C200">
            <v>5.8529377596710272E-2</v>
          </cell>
          <cell r="D200">
            <v>5.9145153840178342E-2</v>
          </cell>
          <cell r="E200">
            <v>6.3381598783642565E-2</v>
          </cell>
          <cell r="F200">
            <v>6.809956071747085E-2</v>
          </cell>
          <cell r="G200">
            <v>7.2338636179855323E-2</v>
          </cell>
          <cell r="H200">
            <v>7.3773938074812348E-2</v>
          </cell>
          <cell r="I200">
            <v>7.4258279704900357E-2</v>
          </cell>
          <cell r="J200">
            <v>7.5152207353435918E-2</v>
          </cell>
          <cell r="K200">
            <v>7.6427036379341465E-2</v>
          </cell>
          <cell r="L200">
            <v>7.7648174537471221E-2</v>
          </cell>
          <cell r="M200">
            <v>7.9371014783738647E-2</v>
          </cell>
          <cell r="N200">
            <v>8.1091371850963323E-2</v>
          </cell>
          <cell r="O200">
            <v>8.2545308053440458E-2</v>
          </cell>
          <cell r="P200">
            <v>8.4298634142538242E-2</v>
          </cell>
          <cell r="Q200">
            <v>8.5742049093461115E-2</v>
          </cell>
          <cell r="R200">
            <v>8.698214911903604E-2</v>
          </cell>
          <cell r="S200">
            <v>8.866546334160999E-2</v>
          </cell>
          <cell r="T200">
            <v>9.028867979321771E-2</v>
          </cell>
          <cell r="U200">
            <v>9.2214239891188363E-2</v>
          </cell>
          <cell r="V200">
            <v>9.4228067096649978E-2</v>
          </cell>
        </row>
        <row r="202">
          <cell r="B202">
            <v>9.0868253673845628E-2</v>
          </cell>
          <cell r="C202">
            <v>8.1955221589006075E-2</v>
          </cell>
          <cell r="D202">
            <v>8.3113697314041668E-2</v>
          </cell>
          <cell r="E202">
            <v>8.7584192461657578E-2</v>
          </cell>
          <cell r="F202">
            <v>9.1447813043957951E-2</v>
          </cell>
          <cell r="G202">
            <v>9.5024093833937132E-2</v>
          </cell>
          <cell r="H202">
            <v>9.6735492392446346E-2</v>
          </cell>
          <cell r="I202">
            <v>9.7124328072195371E-2</v>
          </cell>
          <cell r="J202">
            <v>9.7617360944840165E-2</v>
          </cell>
          <cell r="K202">
            <v>9.9316501917210115E-2</v>
          </cell>
          <cell r="L202">
            <v>0.10079785773365142</v>
          </cell>
          <cell r="M202">
            <v>0.10329755868332846</v>
          </cell>
          <cell r="N202">
            <v>0.10623230493581465</v>
          </cell>
          <cell r="O202">
            <v>0.10842969590749371</v>
          </cell>
          <cell r="P202">
            <v>0.1114186725210287</v>
          </cell>
          <cell r="Q202">
            <v>0.11303633548714996</v>
          </cell>
          <cell r="R202">
            <v>0.1147727652583217</v>
          </cell>
          <cell r="S202">
            <v>0.11648738115530693</v>
          </cell>
          <cell r="T202">
            <v>0.11803370060509932</v>
          </cell>
          <cell r="U202">
            <v>0.12050398422263578</v>
          </cell>
          <cell r="V202">
            <v>0.12313525863094432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wChart"/>
      <sheetName val="Assumptions"/>
      <sheetName val="CCA"/>
      <sheetName val="Municpal Taxes"/>
      <sheetName val="Debt (2)"/>
      <sheetName val="DCF&amp;Mult. Val"/>
      <sheetName val="Genco Assets"/>
      <sheetName val="Depr"/>
      <sheetName val="GC"/>
      <sheetName val="Servo-Reg Consolidated"/>
      <sheetName val="Genco Consol."/>
      <sheetName val="Servco  Unreg"/>
      <sheetName val="Servco Unreg Assets"/>
      <sheetName val="Fos&amp;Hyd"/>
      <sheetName val="Nuclear"/>
      <sheetName val="Servco ##Consol##"/>
      <sheetName val="Servco ##SUM##"/>
      <sheetName val="Servco-Reg-Assets "/>
      <sheetName val="Transmission"/>
      <sheetName val="Distribution"/>
      <sheetName val="SC"/>
      <sheetName val="MEU"/>
      <sheetName val="P &amp; I"/>
      <sheetName val="Debt"/>
      <sheetName val="Things to do"/>
      <sheetName val="Base Case"/>
      <sheetName val="Mission Control"/>
      <sheetName val="Summary - Drivers"/>
      <sheetName val="Holdco"/>
      <sheetName val="Drivers"/>
      <sheetName val="Scenario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>
        <row r="2">
          <cell r="G2">
            <v>2000</v>
          </cell>
          <cell r="H2">
            <v>2001</v>
          </cell>
          <cell r="I2">
            <v>2002</v>
          </cell>
          <cell r="J2">
            <v>2003</v>
          </cell>
          <cell r="K2">
            <v>2004</v>
          </cell>
          <cell r="L2">
            <v>2005</v>
          </cell>
          <cell r="M2">
            <v>2006</v>
          </cell>
          <cell r="N2">
            <v>2007</v>
          </cell>
          <cell r="O2">
            <v>2008</v>
          </cell>
          <cell r="P2">
            <v>2009</v>
          </cell>
          <cell r="Q2">
            <v>2010</v>
          </cell>
          <cell r="R2">
            <v>2011</v>
          </cell>
          <cell r="S2">
            <v>2012</v>
          </cell>
          <cell r="T2">
            <v>2013</v>
          </cell>
          <cell r="U2">
            <v>2014</v>
          </cell>
          <cell r="V2">
            <v>2015</v>
          </cell>
          <cell r="W2">
            <v>2016</v>
          </cell>
          <cell r="X2">
            <v>2017</v>
          </cell>
          <cell r="Y2">
            <v>2018</v>
          </cell>
          <cell r="Z2">
            <v>2019</v>
          </cell>
          <cell r="AA2">
            <v>2020</v>
          </cell>
        </row>
      </sheetData>
      <sheetData sheetId="3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"/>
      <sheetName val="BS"/>
      <sheetName val="Variance"/>
      <sheetName val="Segment ROCE"/>
      <sheetName val="Capex"/>
      <sheetName val="E&amp;P"/>
      <sheetName val="Relative"/>
      <sheetName val="ROGIC"/>
      <sheetName val="NEPS"/>
      <sheetName val="Hamaca"/>
      <sheetName val="Bohai"/>
      <sheetName val="Bayu Undan"/>
      <sheetName val="R&amp;M"/>
      <sheetName val="GPM"/>
      <sheetName val="ARCO - Alaska"/>
      <sheetName val="RefineryMaint"/>
      <sheetName val="TOSCO"/>
      <sheetName val="Reserves"/>
      <sheetName val="WACC"/>
      <sheetName val="Valuation"/>
      <sheetName val="NAV"/>
      <sheetName val="Chemical JV"/>
      <sheetName val="Chems"/>
      <sheetName val="EKOFISK"/>
      <sheetName val="PUDS"/>
      <sheetName val="GE Data"/>
      <sheetName val="MainCode"/>
      <sheetName val="NY UPLOAD"/>
      <sheetName val="NY UPLOAD shadow"/>
      <sheetName val="Disclaimer"/>
      <sheetName val="Quarterly"/>
      <sheetName val="IndexInformation"/>
      <sheetName val="NORM"/>
      <sheetName val="NY UPLOAD.bak"/>
      <sheetName val="NY UPLOAD Shadow.bak"/>
      <sheetName val="Normalized"/>
      <sheetName val="DDM"/>
      <sheetName val="B Sheet"/>
      <sheetName val="Ratios"/>
      <sheetName val="SOLP"/>
      <sheetName val="Liquids"/>
      <sheetName val="charts"/>
      <sheetName val="Apples-Ratios"/>
      <sheetName val="IS"/>
      <sheetName val="Quarterly Data"/>
      <sheetName val="Debt"/>
      <sheetName val="Sheet1"/>
      <sheetName val="A-Link Sourc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antDisclosures"/>
      <sheetName val="COV"/>
      <sheetName val="Income"/>
      <sheetName val="Margins"/>
      <sheetName val="CashFlow"/>
      <sheetName val="BalSht"/>
      <sheetName val="Prod Sales"/>
      <sheetName val="Q_ProdSales"/>
      <sheetName val="Anrev"/>
      <sheetName val="Scenarios"/>
      <sheetName val="DO NOT PUBLISH PAST THIS"/>
      <sheetName val="IndexInformation"/>
      <sheetName val="ModPubIndexInternal"/>
      <sheetName val="__FDSCACHE__"/>
      <sheetName val="Chart1"/>
      <sheetName val="Chart2"/>
      <sheetName val="Chart3"/>
      <sheetName val="Options"/>
      <sheetName val="Pension"/>
      <sheetName val="Goodwill"/>
      <sheetName val="MainCode"/>
    </sheetNames>
    <sheetDataSet>
      <sheetData sheetId="0"/>
      <sheetData sheetId="1"/>
      <sheetData sheetId="2">
        <row r="1">
          <cell r="A1" t="str">
            <v>Exhibit 2</v>
          </cell>
        </row>
        <row r="2">
          <cell r="A2" t="str">
            <v>Covidien</v>
          </cell>
        </row>
        <row r="3">
          <cell r="A3" t="str">
            <v>Quarterly Income Statement Analysis 2004-2011E</v>
          </cell>
          <cell r="AL3" t="str">
            <v>SUPPLEMENTAL FINANCIAL DATA</v>
          </cell>
        </row>
        <row r="5">
          <cell r="A5" t="str">
            <v>($ Millions Except EPS)</v>
          </cell>
          <cell r="I5" t="str">
            <v>Est.</v>
          </cell>
          <cell r="J5" t="str">
            <v>Est.</v>
          </cell>
          <cell r="K5" t="str">
            <v>Avg</v>
          </cell>
          <cell r="L5" t="str">
            <v>Int.</v>
          </cell>
          <cell r="M5" t="str">
            <v>Est.</v>
          </cell>
          <cell r="N5" t="str">
            <v>Avg Tot</v>
          </cell>
          <cell r="O5" t="str">
            <v>Avg</v>
          </cell>
          <cell r="Q5" t="str">
            <v xml:space="preserve">  Nonoperating Items  </v>
          </cell>
          <cell r="Y5" t="str">
            <v>Net Inc.</v>
          </cell>
          <cell r="Z5" t="str">
            <v>EPS</v>
          </cell>
          <cell r="AL5" t="str">
            <v>TYCO</v>
          </cell>
          <cell r="AM5" t="str">
            <v>Avg.</v>
          </cell>
          <cell r="AN5" t="str">
            <v>Period</v>
          </cell>
          <cell r="AO5" t="str">
            <v xml:space="preserve">Statutory </v>
          </cell>
          <cell r="AP5" t="str">
            <v>IPR&amp;D</v>
          </cell>
          <cell r="AQ5" t="str">
            <v>(Gains)/losses</v>
          </cell>
          <cell r="AR5" t="str">
            <v>(Gains)/losses</v>
          </cell>
          <cell r="AS5" t="str">
            <v>Loss from discontinued ops</v>
          </cell>
          <cell r="AT5" t="str">
            <v>Restructuring</v>
          </cell>
          <cell r="AU5" t="str">
            <v>M&amp;A related</v>
          </cell>
          <cell r="AV5" t="str">
            <v>Other</v>
          </cell>
          <cell r="AW5" t="str">
            <v xml:space="preserve">GAAP </v>
          </cell>
          <cell r="AX5" t="str">
            <v>Total</v>
          </cell>
          <cell r="AZ5" t="str">
            <v>Pension Cost</v>
          </cell>
        </row>
        <row r="6">
          <cell r="D6" t="str">
            <v xml:space="preserve"> Gross</v>
          </cell>
          <cell r="G6" t="str">
            <v xml:space="preserve"> Oper</v>
          </cell>
          <cell r="H6" t="str">
            <v xml:space="preserve"> Net</v>
          </cell>
          <cell r="I6" t="str">
            <v>Net</v>
          </cell>
          <cell r="J6" t="str">
            <v xml:space="preserve">Int </v>
          </cell>
          <cell r="K6" t="str">
            <v>Cash</v>
          </cell>
          <cell r="L6" t="str">
            <v>rate on</v>
          </cell>
          <cell r="M6" t="str">
            <v xml:space="preserve">Int </v>
          </cell>
          <cell r="N6" t="str">
            <v>Debt</v>
          </cell>
          <cell r="O6" t="str">
            <v xml:space="preserve">Rate on </v>
          </cell>
          <cell r="R6" t="str">
            <v xml:space="preserve"> Pretax</v>
          </cell>
          <cell r="T6" t="str">
            <v xml:space="preserve">      Taxes     </v>
          </cell>
          <cell r="U6" t="str">
            <v xml:space="preserve"> Net</v>
          </cell>
          <cell r="V6" t="str">
            <v xml:space="preserve"> Out.</v>
          </cell>
          <cell r="AE6" t="str">
            <v>common</v>
          </cell>
          <cell r="AL6" t="str">
            <v xml:space="preserve">Basic </v>
          </cell>
          <cell r="AM6" t="str">
            <v>Discount</v>
          </cell>
          <cell r="AN6" t="str">
            <v>End</v>
          </cell>
          <cell r="AO6" t="str">
            <v>Tax Rate</v>
          </cell>
          <cell r="AQ6" t="str">
            <v>on asset</v>
          </cell>
          <cell r="AR6" t="str">
            <v>on redemption</v>
          </cell>
          <cell r="AS6" t="str">
            <v>accounting</v>
          </cell>
          <cell r="AT6" t="str">
            <v>charges</v>
          </cell>
          <cell r="AU6" t="str">
            <v>costs</v>
          </cell>
          <cell r="AW6" t="str">
            <v>Net Income</v>
          </cell>
          <cell r="AX6" t="str">
            <v>Extraordinaries</v>
          </cell>
          <cell r="AZ6" t="str">
            <v>Recognized in Income</v>
          </cell>
        </row>
        <row r="7">
          <cell r="B7" t="str">
            <v xml:space="preserve"> Sales</v>
          </cell>
          <cell r="C7" t="str">
            <v xml:space="preserve"> COGS</v>
          </cell>
          <cell r="D7" t="str">
            <v>Gross Profit</v>
          </cell>
          <cell r="E7" t="str">
            <v xml:space="preserve"> R&amp;D</v>
          </cell>
          <cell r="F7" t="str">
            <v xml:space="preserve"> SG&amp;A</v>
          </cell>
          <cell r="G7" t="str">
            <v>Operating Profit</v>
          </cell>
          <cell r="H7" t="str">
            <v>Interest</v>
          </cell>
          <cell r="I7" t="str">
            <v>Int.</v>
          </cell>
          <cell r="J7" t="str">
            <v>Income</v>
          </cell>
          <cell r="K7" t="str">
            <v>Bal.</v>
          </cell>
          <cell r="L7" t="str">
            <v>Cash</v>
          </cell>
          <cell r="M7" t="str">
            <v>Exp.</v>
          </cell>
          <cell r="N7" t="str">
            <v>Bal.</v>
          </cell>
          <cell r="O7" t="str">
            <v>Tot Debt</v>
          </cell>
          <cell r="P7" t="str">
            <v xml:space="preserve">  Other</v>
          </cell>
          <cell r="Q7" t="str">
            <v xml:space="preserve"> Total</v>
          </cell>
          <cell r="R7" t="str">
            <v>Pre- Tax Inc</v>
          </cell>
          <cell r="S7" t="str">
            <v xml:space="preserve"> Tax Rate</v>
          </cell>
          <cell r="T7" t="str">
            <v xml:space="preserve"> Amt</v>
          </cell>
          <cell r="U7" t="str">
            <v>Net Income</v>
          </cell>
          <cell r="V7" t="str">
            <v xml:space="preserve"> Shares (MM)</v>
          </cell>
          <cell r="W7" t="str">
            <v>Diluted EPS</v>
          </cell>
          <cell r="Y7" t="str">
            <v>Excl. FAS 123R</v>
          </cell>
          <cell r="Z7" t="str">
            <v>Excl. FAS 123R</v>
          </cell>
          <cell r="AE7" t="str">
            <v>dividends</v>
          </cell>
          <cell r="AL7" t="str">
            <v xml:space="preserve">Avg. </v>
          </cell>
          <cell r="AM7" t="str">
            <v>to Diluted</v>
          </cell>
          <cell r="AN7" t="str">
            <v>Basic</v>
          </cell>
          <cell r="AQ7" t="str">
            <v>sale</v>
          </cell>
          <cell r="AR7" t="str">
            <v>of debt</v>
          </cell>
        </row>
        <row r="11">
          <cell r="A11" t="str">
            <v>2004A</v>
          </cell>
          <cell r="AI11" t="str">
            <v>2004A</v>
          </cell>
          <cell r="AK11">
            <v>2004</v>
          </cell>
        </row>
        <row r="12">
          <cell r="A12" t="str">
            <v>1QA</v>
          </cell>
          <cell r="AI12" t="str">
            <v>1QA</v>
          </cell>
          <cell r="AJ12" t="str">
            <v>1F</v>
          </cell>
          <cell r="AK12" t="str">
            <v>2004/1F</v>
          </cell>
          <cell r="AL12" t="str">
            <v>NM</v>
          </cell>
          <cell r="AM12" t="str">
            <v>NM</v>
          </cell>
          <cell r="AN12" t="str">
            <v>NM</v>
          </cell>
          <cell r="AO12">
            <v>0.28100000000000003</v>
          </cell>
          <cell r="AW12">
            <v>0</v>
          </cell>
        </row>
        <row r="13">
          <cell r="A13" t="str">
            <v>2QA</v>
          </cell>
          <cell r="AI13" t="str">
            <v>2QA</v>
          </cell>
          <cell r="AJ13" t="str">
            <v>2F</v>
          </cell>
          <cell r="AK13" t="str">
            <v>2004/2F</v>
          </cell>
          <cell r="AL13" t="str">
            <v>NM</v>
          </cell>
          <cell r="AM13" t="str">
            <v>NM</v>
          </cell>
          <cell r="AN13" t="str">
            <v>NM</v>
          </cell>
          <cell r="AO13">
            <v>0.28100000000000003</v>
          </cell>
          <cell r="AW13">
            <v>0</v>
          </cell>
        </row>
        <row r="14">
          <cell r="A14" t="str">
            <v>3QA</v>
          </cell>
          <cell r="AI14" t="str">
            <v>3QA</v>
          </cell>
          <cell r="AJ14" t="str">
            <v>3F</v>
          </cell>
          <cell r="AK14" t="str">
            <v>2004/3F</v>
          </cell>
          <cell r="AL14" t="str">
            <v>NM</v>
          </cell>
          <cell r="AM14" t="str">
            <v>NM</v>
          </cell>
          <cell r="AN14" t="str">
            <v>NM</v>
          </cell>
          <cell r="AO14">
            <v>0.28100000000000003</v>
          </cell>
          <cell r="AW14">
            <v>0</v>
          </cell>
        </row>
        <row r="15">
          <cell r="A15" t="str">
            <v>4QA</v>
          </cell>
          <cell r="AI15" t="str">
            <v>4QA</v>
          </cell>
          <cell r="AJ15" t="str">
            <v>4F</v>
          </cell>
          <cell r="AK15" t="str">
            <v>2004/4F</v>
          </cell>
          <cell r="AL15" t="str">
            <v>NM</v>
          </cell>
          <cell r="AM15" t="str">
            <v>NM</v>
          </cell>
          <cell r="AN15" t="str">
            <v>NM</v>
          </cell>
          <cell r="AO15">
            <v>0.28100000000000003</v>
          </cell>
          <cell r="AP15">
            <v>0</v>
          </cell>
          <cell r="AQ15">
            <v>0</v>
          </cell>
          <cell r="AV15">
            <v>0</v>
          </cell>
          <cell r="AW15">
            <v>0</v>
          </cell>
          <cell r="AX15">
            <v>0</v>
          </cell>
        </row>
        <row r="16">
          <cell r="A16" t="str">
            <v>Year (a)</v>
          </cell>
          <cell r="B16">
            <v>9109</v>
          </cell>
          <cell r="C16">
            <v>4631</v>
          </cell>
          <cell r="D16">
            <v>4478</v>
          </cell>
          <cell r="E16">
            <v>214</v>
          </cell>
          <cell r="F16">
            <v>1969</v>
          </cell>
          <cell r="G16">
            <v>2295</v>
          </cell>
          <cell r="H16">
            <v>-203</v>
          </cell>
          <cell r="I16">
            <v>-203</v>
          </cell>
          <cell r="J16">
            <v>22</v>
          </cell>
          <cell r="K16">
            <v>141</v>
          </cell>
          <cell r="L16">
            <v>0.15602836879432624</v>
          </cell>
          <cell r="M16">
            <v>225</v>
          </cell>
          <cell r="N16">
            <v>2544</v>
          </cell>
          <cell r="O16">
            <v>8.8443396226415089E-2</v>
          </cell>
          <cell r="P16">
            <v>-70</v>
          </cell>
          <cell r="Q16">
            <v>-273</v>
          </cell>
          <cell r="R16">
            <v>2022</v>
          </cell>
          <cell r="S16">
            <v>0.29240850642927796</v>
          </cell>
          <cell r="T16">
            <v>591.25</v>
          </cell>
          <cell r="U16">
            <v>1430.75</v>
          </cell>
          <cell r="V16" t="str">
            <v>NM</v>
          </cell>
          <cell r="W16" t="str">
            <v>NM</v>
          </cell>
          <cell r="Y16" t="str">
            <v>--</v>
          </cell>
          <cell r="Z16" t="str">
            <v>--</v>
          </cell>
          <cell r="AE16">
            <v>0</v>
          </cell>
          <cell r="AI16" t="str">
            <v>Year (a)</v>
          </cell>
          <cell r="AL16" t="str">
            <v>NM</v>
          </cell>
          <cell r="AM16" t="str">
            <v>NM</v>
          </cell>
          <cell r="AN16" t="str">
            <v>NM</v>
          </cell>
          <cell r="AO16">
            <v>0.28100000000000003</v>
          </cell>
          <cell r="AP16">
            <v>0</v>
          </cell>
          <cell r="AQ16">
            <v>4</v>
          </cell>
          <cell r="AR16">
            <v>0</v>
          </cell>
          <cell r="AS16">
            <v>4</v>
          </cell>
          <cell r="AT16">
            <v>0</v>
          </cell>
          <cell r="AU16">
            <v>0</v>
          </cell>
          <cell r="AV16">
            <v>21.75</v>
          </cell>
          <cell r="AW16">
            <v>1401</v>
          </cell>
          <cell r="AX16">
            <v>29.75</v>
          </cell>
        </row>
        <row r="18">
          <cell r="A18" t="str">
            <v>2005A/04A</v>
          </cell>
          <cell r="AI18" t="str">
            <v>2005A/04A</v>
          </cell>
        </row>
        <row r="19">
          <cell r="A19" t="str">
            <v>1QA</v>
          </cell>
          <cell r="AI19" t="str">
            <v>1QA</v>
          </cell>
        </row>
        <row r="20">
          <cell r="A20" t="str">
            <v>2QA</v>
          </cell>
          <cell r="AI20" t="str">
            <v>2QA</v>
          </cell>
        </row>
        <row r="21">
          <cell r="A21" t="str">
            <v>3QA</v>
          </cell>
          <cell r="AI21" t="str">
            <v>3QA</v>
          </cell>
        </row>
        <row r="22">
          <cell r="A22" t="str">
            <v>4QA</v>
          </cell>
          <cell r="AI22" t="str">
            <v>4QA</v>
          </cell>
        </row>
        <row r="23">
          <cell r="A23" t="str">
            <v>Year</v>
          </cell>
          <cell r="B23">
            <v>4.6766933801734467E-2</v>
          </cell>
          <cell r="C23">
            <v>4.4050960915569037E-2</v>
          </cell>
          <cell r="D23">
            <v>4.957570343903539E-2</v>
          </cell>
          <cell r="E23">
            <v>8.4112149532710179E-2</v>
          </cell>
          <cell r="F23">
            <v>4.0121889283900369E-2</v>
          </cell>
          <cell r="G23">
            <v>5.4466230936819127E-2</v>
          </cell>
          <cell r="H23" t="str">
            <v xml:space="preserve">      --</v>
          </cell>
          <cell r="P23" t="str">
            <v xml:space="preserve">      --</v>
          </cell>
          <cell r="Q23" t="str">
            <v xml:space="preserve">      --</v>
          </cell>
          <cell r="R23">
            <v>-7.9129574678535874E-3</v>
          </cell>
          <cell r="S23" t="str">
            <v xml:space="preserve">      --</v>
          </cell>
          <cell r="T23" t="str">
            <v xml:space="preserve">      --</v>
          </cell>
          <cell r="U23">
            <v>-1.7473353136466918E-2</v>
          </cell>
          <cell r="V23" t="str">
            <v xml:space="preserve">      --</v>
          </cell>
          <cell r="W23" t="str">
            <v xml:space="preserve">      --</v>
          </cell>
          <cell r="Y23" t="str">
            <v>--</v>
          </cell>
          <cell r="Z23" t="str">
            <v>--</v>
          </cell>
          <cell r="AI23" t="str">
            <v>Year</v>
          </cell>
        </row>
        <row r="25">
          <cell r="A25" t="str">
            <v>2005A</v>
          </cell>
          <cell r="AI25" t="str">
            <v>2005A</v>
          </cell>
        </row>
        <row r="26">
          <cell r="A26" t="str">
            <v>1QA</v>
          </cell>
          <cell r="AI26" t="str">
            <v>1QA</v>
          </cell>
          <cell r="AL26" t="str">
            <v>NM</v>
          </cell>
          <cell r="AM26" t="str">
            <v>NM</v>
          </cell>
          <cell r="AN26" t="str">
            <v>NM</v>
          </cell>
          <cell r="AO26">
            <v>0.23400000000000001</v>
          </cell>
          <cell r="AW26">
            <v>0</v>
          </cell>
          <cell r="AX26">
            <v>0</v>
          </cell>
        </row>
        <row r="27">
          <cell r="A27" t="str">
            <v>2QA</v>
          </cell>
          <cell r="AI27" t="str">
            <v>2QA</v>
          </cell>
          <cell r="AL27" t="str">
            <v>NM</v>
          </cell>
          <cell r="AM27" t="str">
            <v>NM</v>
          </cell>
          <cell r="AN27" t="str">
            <v>NM</v>
          </cell>
          <cell r="AO27">
            <v>0.23400000000000001</v>
          </cell>
          <cell r="AV27">
            <v>0</v>
          </cell>
          <cell r="AW27">
            <v>0</v>
          </cell>
          <cell r="AX27">
            <v>0</v>
          </cell>
        </row>
        <row r="28">
          <cell r="A28" t="str">
            <v>3QA</v>
          </cell>
          <cell r="AI28" t="str">
            <v>3QA</v>
          </cell>
          <cell r="AL28" t="str">
            <v>NM</v>
          </cell>
          <cell r="AM28" t="str">
            <v>NM</v>
          </cell>
          <cell r="AN28" t="str">
            <v>NM</v>
          </cell>
          <cell r="AO28">
            <v>0.23400000000000001</v>
          </cell>
          <cell r="AW28">
            <v>0</v>
          </cell>
          <cell r="AX28">
            <v>0</v>
          </cell>
        </row>
        <row r="29">
          <cell r="A29" t="str">
            <v>4QA</v>
          </cell>
          <cell r="AI29" t="str">
            <v>4QA</v>
          </cell>
          <cell r="AL29" t="str">
            <v>NM</v>
          </cell>
          <cell r="AM29" t="str">
            <v>NM</v>
          </cell>
          <cell r="AN29" t="str">
            <v>NM</v>
          </cell>
          <cell r="AO29">
            <v>0.23400000000000001</v>
          </cell>
          <cell r="AQ29">
            <v>5</v>
          </cell>
          <cell r="AV29">
            <v>0</v>
          </cell>
          <cell r="AW29">
            <v>-5</v>
          </cell>
          <cell r="AX29">
            <v>5</v>
          </cell>
        </row>
        <row r="30">
          <cell r="A30" t="str">
            <v>Year (b)</v>
          </cell>
          <cell r="B30">
            <v>9535</v>
          </cell>
          <cell r="C30">
            <v>4835</v>
          </cell>
          <cell r="D30">
            <v>4700</v>
          </cell>
          <cell r="E30">
            <v>232</v>
          </cell>
          <cell r="F30">
            <v>2048</v>
          </cell>
          <cell r="G30">
            <v>2420</v>
          </cell>
          <cell r="H30">
            <v>-166</v>
          </cell>
          <cell r="I30">
            <v>-166</v>
          </cell>
          <cell r="J30">
            <v>30</v>
          </cell>
          <cell r="K30">
            <v>141</v>
          </cell>
          <cell r="L30" t="str">
            <v>NM</v>
          </cell>
          <cell r="M30">
            <v>196</v>
          </cell>
          <cell r="N30">
            <v>3007</v>
          </cell>
          <cell r="O30">
            <v>6.5181243764549382E-2</v>
          </cell>
          <cell r="P30">
            <v>-248</v>
          </cell>
          <cell r="Q30">
            <v>-414</v>
          </cell>
          <cell r="R30">
            <v>2006</v>
          </cell>
          <cell r="S30">
            <v>0.29922731804586239</v>
          </cell>
          <cell r="T30">
            <v>600.25</v>
          </cell>
          <cell r="U30">
            <v>1405.75</v>
          </cell>
          <cell r="V30" t="str">
            <v>NM</v>
          </cell>
          <cell r="W30" t="str">
            <v>NM</v>
          </cell>
          <cell r="Y30" t="str">
            <v>--</v>
          </cell>
          <cell r="Z30" t="str">
            <v>--</v>
          </cell>
          <cell r="AE30">
            <v>0</v>
          </cell>
          <cell r="AI30" t="str">
            <v>Year (b)</v>
          </cell>
          <cell r="AL30" t="str">
            <v>NM</v>
          </cell>
          <cell r="AM30" t="str">
            <v>NM</v>
          </cell>
          <cell r="AN30" t="str">
            <v>NM</v>
          </cell>
          <cell r="AO30">
            <v>0.23400000000000001</v>
          </cell>
          <cell r="AP30">
            <v>0</v>
          </cell>
          <cell r="AQ30">
            <v>5</v>
          </cell>
          <cell r="AR30">
            <v>0</v>
          </cell>
          <cell r="AS30">
            <v>158</v>
          </cell>
          <cell r="AT30">
            <v>0</v>
          </cell>
          <cell r="AU30">
            <v>0</v>
          </cell>
          <cell r="AV30">
            <v>207.75</v>
          </cell>
          <cell r="AW30">
            <v>1035</v>
          </cell>
          <cell r="AX30">
            <v>370.75</v>
          </cell>
        </row>
        <row r="32">
          <cell r="A32" t="str">
            <v>2006A/05A</v>
          </cell>
          <cell r="AI32" t="str">
            <v>2006A/05A</v>
          </cell>
        </row>
        <row r="33">
          <cell r="A33" t="str">
            <v>1QA</v>
          </cell>
          <cell r="AI33" t="str">
            <v>1QA</v>
          </cell>
          <cell r="AW33">
            <v>0</v>
          </cell>
          <cell r="AX33">
            <v>0</v>
          </cell>
        </row>
        <row r="34">
          <cell r="A34" t="str">
            <v>2QA</v>
          </cell>
          <cell r="AI34" t="str">
            <v>2QA</v>
          </cell>
          <cell r="AV34">
            <v>0</v>
          </cell>
          <cell r="AW34">
            <v>0</v>
          </cell>
          <cell r="AX34">
            <v>0</v>
          </cell>
        </row>
        <row r="35">
          <cell r="A35" t="str">
            <v>3QA</v>
          </cell>
          <cell r="AI35" t="str">
            <v>3QA</v>
          </cell>
          <cell r="AW35">
            <v>0</v>
          </cell>
          <cell r="AX35">
            <v>0</v>
          </cell>
        </row>
        <row r="36">
          <cell r="A36" t="str">
            <v>4QE</v>
          </cell>
          <cell r="AI36" t="str">
            <v>4QE</v>
          </cell>
          <cell r="AV36">
            <v>0</v>
          </cell>
          <cell r="AW36">
            <v>0</v>
          </cell>
          <cell r="AX36">
            <v>0</v>
          </cell>
        </row>
        <row r="37">
          <cell r="A37" t="str">
            <v>Year</v>
          </cell>
          <cell r="B37">
            <v>1.1746198217094914E-2</v>
          </cell>
          <cell r="C37">
            <v>6.742502585315413E-2</v>
          </cell>
          <cell r="D37">
            <v>-4.553191489361702E-2</v>
          </cell>
          <cell r="E37">
            <v>0.1293103448275863</v>
          </cell>
          <cell r="F37">
            <v>1.611328125E-2</v>
          </cell>
          <cell r="G37">
            <v>-0.11446280991735537</v>
          </cell>
          <cell r="H37" t="str">
            <v xml:space="preserve">      --</v>
          </cell>
          <cell r="P37" t="str">
            <v xml:space="preserve">      --</v>
          </cell>
          <cell r="Q37" t="str">
            <v xml:space="preserve">      --</v>
          </cell>
          <cell r="R37">
            <v>-8.4745762711864406E-3</v>
          </cell>
          <cell r="S37" t="str">
            <v xml:space="preserve">      --</v>
          </cell>
          <cell r="T37" t="str">
            <v xml:space="preserve">      --</v>
          </cell>
          <cell r="U37">
            <v>6.3489240618886722E-2</v>
          </cell>
          <cell r="V37" t="str">
            <v xml:space="preserve">      --</v>
          </cell>
          <cell r="W37" t="str">
            <v xml:space="preserve">      --</v>
          </cell>
          <cell r="Y37" t="str">
            <v>--</v>
          </cell>
          <cell r="AI37" t="str">
            <v>Year</v>
          </cell>
        </row>
        <row r="39">
          <cell r="A39" t="str">
            <v>2006A</v>
          </cell>
          <cell r="U39">
            <v>714</v>
          </cell>
          <cell r="AI39" t="str">
            <v>2006A</v>
          </cell>
        </row>
        <row r="40">
          <cell r="A40" t="str">
            <v>1QA</v>
          </cell>
          <cell r="B40">
            <v>2294</v>
          </cell>
          <cell r="C40">
            <v>1208</v>
          </cell>
          <cell r="D40">
            <v>1086</v>
          </cell>
          <cell r="E40">
            <v>60</v>
          </cell>
          <cell r="F40">
            <v>504</v>
          </cell>
          <cell r="G40">
            <v>522</v>
          </cell>
          <cell r="H40">
            <v>-37</v>
          </cell>
          <cell r="I40">
            <v>-37</v>
          </cell>
          <cell r="J40">
            <v>9</v>
          </cell>
          <cell r="K40">
            <v>153.625</v>
          </cell>
          <cell r="L40">
            <v>5.858421480878763E-2</v>
          </cell>
          <cell r="M40">
            <v>46</v>
          </cell>
          <cell r="N40">
            <v>2936.375</v>
          </cell>
          <cell r="O40">
            <v>6.2662296198544118E-2</v>
          </cell>
          <cell r="P40">
            <v>-3</v>
          </cell>
          <cell r="Q40">
            <v>-40</v>
          </cell>
          <cell r="R40">
            <v>482</v>
          </cell>
          <cell r="S40">
            <v>0.26141078838174275</v>
          </cell>
          <cell r="T40">
            <v>126</v>
          </cell>
          <cell r="U40">
            <v>356</v>
          </cell>
          <cell r="V40">
            <v>507</v>
          </cell>
          <cell r="W40">
            <v>0.70216962524654836</v>
          </cell>
          <cell r="AI40" t="str">
            <v>1QA</v>
          </cell>
          <cell r="AL40" t="str">
            <v>NM</v>
          </cell>
          <cell r="AM40" t="str">
            <v>NM</v>
          </cell>
          <cell r="AN40" t="str">
            <v>NM</v>
          </cell>
          <cell r="AO40">
            <v>0.23599999999999999</v>
          </cell>
          <cell r="AP40">
            <v>2</v>
          </cell>
          <cell r="AS40">
            <v>235</v>
          </cell>
          <cell r="AW40">
            <v>119</v>
          </cell>
          <cell r="AX40">
            <v>237</v>
          </cell>
        </row>
        <row r="41">
          <cell r="A41" t="str">
            <v>2QA</v>
          </cell>
          <cell r="B41">
            <v>2408</v>
          </cell>
          <cell r="C41">
            <v>1306</v>
          </cell>
          <cell r="D41">
            <v>1102</v>
          </cell>
          <cell r="E41">
            <v>70</v>
          </cell>
          <cell r="F41">
            <v>521</v>
          </cell>
          <cell r="G41">
            <v>511</v>
          </cell>
          <cell r="H41">
            <v>-37</v>
          </cell>
          <cell r="I41">
            <v>-37</v>
          </cell>
          <cell r="J41">
            <v>8</v>
          </cell>
          <cell r="K41">
            <v>178.875</v>
          </cell>
          <cell r="L41">
            <v>4.4723969252271137E-2</v>
          </cell>
          <cell r="M41">
            <v>45</v>
          </cell>
          <cell r="N41">
            <v>2795.125</v>
          </cell>
          <cell r="O41">
            <v>6.4397835517195121E-2</v>
          </cell>
          <cell r="P41">
            <v>-2</v>
          </cell>
          <cell r="Q41">
            <v>-39</v>
          </cell>
          <cell r="R41">
            <v>472</v>
          </cell>
          <cell r="S41">
            <v>0.24152542372881355</v>
          </cell>
          <cell r="T41">
            <v>114</v>
          </cell>
          <cell r="U41">
            <v>358</v>
          </cell>
          <cell r="V41">
            <v>507</v>
          </cell>
          <cell r="W41">
            <v>0.70611439842209078</v>
          </cell>
          <cell r="AI41" t="str">
            <v>2QA</v>
          </cell>
          <cell r="AL41" t="str">
            <v>NM</v>
          </cell>
          <cell r="AM41" t="str">
            <v>NM</v>
          </cell>
          <cell r="AN41" t="str">
            <v>NM</v>
          </cell>
          <cell r="AO41">
            <v>0.23599999999999999</v>
          </cell>
          <cell r="AP41">
            <v>1</v>
          </cell>
          <cell r="AQ41">
            <v>-37</v>
          </cell>
          <cell r="AS41">
            <v>59</v>
          </cell>
          <cell r="AW41">
            <v>335</v>
          </cell>
          <cell r="AX41">
            <v>23</v>
          </cell>
        </row>
        <row r="42">
          <cell r="A42" t="str">
            <v>3QA</v>
          </cell>
          <cell r="B42">
            <v>2464</v>
          </cell>
          <cell r="C42">
            <v>1306</v>
          </cell>
          <cell r="D42">
            <v>1158</v>
          </cell>
          <cell r="E42">
            <v>64</v>
          </cell>
          <cell r="F42">
            <v>536</v>
          </cell>
          <cell r="G42">
            <v>558</v>
          </cell>
          <cell r="H42">
            <v>-34</v>
          </cell>
          <cell r="I42">
            <v>-34</v>
          </cell>
          <cell r="J42">
            <v>6</v>
          </cell>
          <cell r="K42">
            <v>204.125</v>
          </cell>
          <cell r="L42">
            <v>2.9393753827311696E-2</v>
          </cell>
          <cell r="M42">
            <v>40</v>
          </cell>
          <cell r="N42">
            <v>2653.875</v>
          </cell>
          <cell r="O42">
            <v>6.0289199755075129E-2</v>
          </cell>
          <cell r="P42">
            <v>-1</v>
          </cell>
          <cell r="Q42">
            <v>-35</v>
          </cell>
          <cell r="R42">
            <v>523</v>
          </cell>
          <cell r="S42">
            <v>0.25812619502868067</v>
          </cell>
          <cell r="T42">
            <v>135</v>
          </cell>
          <cell r="U42">
            <v>388</v>
          </cell>
          <cell r="V42">
            <v>507</v>
          </cell>
          <cell r="W42">
            <v>0.76528599605522685</v>
          </cell>
          <cell r="AI42" t="str">
            <v>3QA</v>
          </cell>
          <cell r="AL42" t="str">
            <v>NM</v>
          </cell>
          <cell r="AM42" t="str">
            <v>NM</v>
          </cell>
          <cell r="AN42" t="str">
            <v>NM</v>
          </cell>
          <cell r="AO42">
            <v>0.23599999999999999</v>
          </cell>
          <cell r="AQ42">
            <v>1</v>
          </cell>
          <cell r="AS42">
            <v>26</v>
          </cell>
          <cell r="AW42">
            <v>361</v>
          </cell>
          <cell r="AX42">
            <v>27</v>
          </cell>
        </row>
        <row r="43">
          <cell r="A43" t="str">
            <v>4QA</v>
          </cell>
          <cell r="B43">
            <v>2481</v>
          </cell>
          <cell r="C43">
            <v>1341</v>
          </cell>
          <cell r="D43">
            <v>1140</v>
          </cell>
          <cell r="E43">
            <v>68</v>
          </cell>
          <cell r="F43">
            <v>520</v>
          </cell>
          <cell r="G43">
            <v>552</v>
          </cell>
          <cell r="H43">
            <v>-31</v>
          </cell>
          <cell r="I43">
            <v>-31</v>
          </cell>
          <cell r="J43">
            <v>9</v>
          </cell>
          <cell r="K43">
            <v>229.375</v>
          </cell>
          <cell r="L43">
            <v>3.923705722070845E-2</v>
          </cell>
          <cell r="M43">
            <v>40</v>
          </cell>
          <cell r="N43">
            <v>2512.625</v>
          </cell>
          <cell r="O43">
            <v>6.3678423959007011E-2</v>
          </cell>
          <cell r="P43">
            <v>-9</v>
          </cell>
          <cell r="Q43">
            <v>-40</v>
          </cell>
          <cell r="R43">
            <v>512</v>
          </cell>
          <cell r="S43">
            <v>0.232421875</v>
          </cell>
          <cell r="T43">
            <v>119</v>
          </cell>
          <cell r="U43">
            <v>393</v>
          </cell>
          <cell r="V43">
            <v>507</v>
          </cell>
          <cell r="W43">
            <v>0.7751479289940828</v>
          </cell>
          <cell r="AI43" t="str">
            <v>4QA</v>
          </cell>
          <cell r="AL43" t="str">
            <v>NM</v>
          </cell>
          <cell r="AM43" t="str">
            <v>NM</v>
          </cell>
          <cell r="AN43" t="str">
            <v>NM</v>
          </cell>
          <cell r="AO43">
            <v>0.23599999999999999</v>
          </cell>
          <cell r="AP43">
            <v>60</v>
          </cell>
          <cell r="AQ43">
            <v>-2</v>
          </cell>
          <cell r="AS43">
            <v>-5</v>
          </cell>
          <cell r="AW43">
            <v>340</v>
          </cell>
          <cell r="AX43">
            <v>53</v>
          </cell>
        </row>
        <row r="44">
          <cell r="A44" t="str">
            <v>Year (d)</v>
          </cell>
          <cell r="B44">
            <v>9647</v>
          </cell>
          <cell r="C44">
            <v>5161</v>
          </cell>
          <cell r="D44">
            <v>4486</v>
          </cell>
          <cell r="E44">
            <v>262</v>
          </cell>
          <cell r="F44">
            <v>2081</v>
          </cell>
          <cell r="G44">
            <v>2143</v>
          </cell>
          <cell r="H44">
            <v>-139</v>
          </cell>
          <cell r="I44">
            <v>-139</v>
          </cell>
          <cell r="J44">
            <v>32</v>
          </cell>
          <cell r="K44">
            <v>191.5</v>
          </cell>
          <cell r="L44">
            <v>4.2984748777269724E-2</v>
          </cell>
          <cell r="M44">
            <v>171</v>
          </cell>
          <cell r="N44">
            <v>2724.5</v>
          </cell>
          <cell r="O44">
            <v>6.2763809873371254E-2</v>
          </cell>
          <cell r="P44">
            <v>-15</v>
          </cell>
          <cell r="Q44">
            <v>-154</v>
          </cell>
          <cell r="R44">
            <v>1989</v>
          </cell>
          <cell r="S44">
            <v>0.24836601307189543</v>
          </cell>
          <cell r="T44">
            <v>494</v>
          </cell>
          <cell r="U44">
            <v>1495</v>
          </cell>
          <cell r="V44">
            <v>507</v>
          </cell>
          <cell r="W44">
            <v>2.9487179487179489</v>
          </cell>
          <cell r="Y44" t="str">
            <v>--</v>
          </cell>
          <cell r="Z44" t="str">
            <v>--</v>
          </cell>
          <cell r="AE44">
            <v>0</v>
          </cell>
          <cell r="AI44" t="str">
            <v>Year (d)</v>
          </cell>
          <cell r="AL44" t="str">
            <v>NM</v>
          </cell>
          <cell r="AM44" t="str">
            <v>NM</v>
          </cell>
          <cell r="AN44" t="str">
            <v>NM</v>
          </cell>
          <cell r="AO44">
            <v>0.23599999999999999</v>
          </cell>
          <cell r="AP44">
            <v>63</v>
          </cell>
          <cell r="AQ44">
            <v>-38</v>
          </cell>
          <cell r="AR44">
            <v>0</v>
          </cell>
          <cell r="AS44">
            <v>315</v>
          </cell>
          <cell r="AT44">
            <v>0</v>
          </cell>
          <cell r="AU44">
            <v>0</v>
          </cell>
          <cell r="AV44">
            <v>0</v>
          </cell>
          <cell r="AW44">
            <v>1155</v>
          </cell>
          <cell r="AX44">
            <v>340</v>
          </cell>
        </row>
        <row r="46">
          <cell r="A46" t="str">
            <v>2007E/06A</v>
          </cell>
          <cell r="AI46" t="str">
            <v>2007E/06A</v>
          </cell>
        </row>
        <row r="47">
          <cell r="A47" t="str">
            <v>1QA</v>
          </cell>
          <cell r="B47">
            <v>6.8439407149084572E-2</v>
          </cell>
          <cell r="C47">
            <v>6.4569536423841056E-2</v>
          </cell>
          <cell r="D47">
            <v>7.2744014732965004E-2</v>
          </cell>
          <cell r="E47">
            <v>0.05</v>
          </cell>
          <cell r="F47">
            <v>0.15079365079365079</v>
          </cell>
          <cell r="G47">
            <v>0</v>
          </cell>
          <cell r="H47" t="str">
            <v xml:space="preserve">      --</v>
          </cell>
          <cell r="P47" t="str">
            <v xml:space="preserve">      --</v>
          </cell>
          <cell r="Q47" t="str">
            <v xml:space="preserve">      --</v>
          </cell>
          <cell r="R47">
            <v>1.8672199170124481E-2</v>
          </cell>
          <cell r="S47" t="str">
            <v xml:space="preserve">      --</v>
          </cell>
          <cell r="T47" t="str">
            <v xml:space="preserve">      --</v>
          </cell>
          <cell r="U47">
            <v>1.4044943820224719E-2</v>
          </cell>
          <cell r="V47" t="str">
            <v xml:space="preserve">      --</v>
          </cell>
          <cell r="W47">
            <v>2.8241573033707782E-2</v>
          </cell>
          <cell r="Y47" t="str">
            <v>--</v>
          </cell>
          <cell r="Z47" t="str">
            <v>--</v>
          </cell>
          <cell r="AI47" t="str">
            <v>1QA</v>
          </cell>
        </row>
        <row r="48">
          <cell r="A48" t="str">
            <v>2QA</v>
          </cell>
          <cell r="B48">
            <v>5.440199335548173E-2</v>
          </cell>
          <cell r="C48">
            <v>3.8284839203675342E-2</v>
          </cell>
          <cell r="D48">
            <v>7.3502722323048997E-2</v>
          </cell>
          <cell r="E48">
            <v>-5.7142857142857141E-2</v>
          </cell>
          <cell r="F48">
            <v>0.14779270633397312</v>
          </cell>
          <cell r="G48">
            <v>1.5655577299412915E-2</v>
          </cell>
          <cell r="H48" t="str">
            <v xml:space="preserve">      --</v>
          </cell>
          <cell r="P48" t="str">
            <v xml:space="preserve">      --</v>
          </cell>
          <cell r="Q48" t="str">
            <v xml:space="preserve">      --</v>
          </cell>
          <cell r="R48">
            <v>5.0847457627118647E-2</v>
          </cell>
          <cell r="S48" t="str">
            <v xml:space="preserve">      --</v>
          </cell>
          <cell r="T48" t="str">
            <v xml:space="preserve">      --</v>
          </cell>
          <cell r="U48">
            <v>0.10893854748603352</v>
          </cell>
          <cell r="V48" t="str">
            <v xml:space="preserve">      --</v>
          </cell>
          <cell r="W48">
            <v>0.12446368715083796</v>
          </cell>
          <cell r="Y48" t="str">
            <v>--</v>
          </cell>
          <cell r="Z48" t="str">
            <v>--</v>
          </cell>
          <cell r="AI48" t="str">
            <v>2QA</v>
          </cell>
        </row>
        <row r="49">
          <cell r="A49" t="str">
            <v>3QE</v>
          </cell>
          <cell r="B49">
            <v>3.4090909090909088E-2</v>
          </cell>
          <cell r="C49">
            <v>2.6033690658499236E-2</v>
          </cell>
          <cell r="D49">
            <v>4.317789291882556E-2</v>
          </cell>
          <cell r="E49">
            <v>0.171875</v>
          </cell>
          <cell r="F49">
            <v>0.18470149253731344</v>
          </cell>
          <cell r="G49">
            <v>-0.10752688172043011</v>
          </cell>
          <cell r="H49" t="str">
            <v xml:space="preserve">      --</v>
          </cell>
          <cell r="P49" t="str">
            <v xml:space="preserve">      --</v>
          </cell>
          <cell r="Q49" t="str">
            <v xml:space="preserve">      --</v>
          </cell>
          <cell r="R49">
            <v>-0.14907338805685491</v>
          </cell>
          <cell r="S49" t="str">
            <v xml:space="preserve">      --</v>
          </cell>
          <cell r="T49" t="str">
            <v xml:space="preserve">      --</v>
          </cell>
          <cell r="U49">
            <v>-0.15695761787627657</v>
          </cell>
          <cell r="V49" t="str">
            <v xml:space="preserve">      --</v>
          </cell>
          <cell r="W49">
            <v>-0.14515502452654444</v>
          </cell>
          <cell r="Y49" t="str">
            <v>--</v>
          </cell>
          <cell r="Z49" t="str">
            <v>--</v>
          </cell>
          <cell r="AI49" t="str">
            <v>3QE</v>
          </cell>
        </row>
        <row r="50">
          <cell r="A50" t="str">
            <v>4QE</v>
          </cell>
          <cell r="B50">
            <v>5.078597339782346E-2</v>
          </cell>
          <cell r="C50">
            <v>2.1625652498135719E-2</v>
          </cell>
          <cell r="D50">
            <v>8.5087719298245615E-2</v>
          </cell>
          <cell r="E50">
            <v>0.13235294117647059</v>
          </cell>
          <cell r="F50">
            <v>0.26923076923076922</v>
          </cell>
          <cell r="G50">
            <v>-9.420289855072464E-2</v>
          </cell>
          <cell r="H50" t="str">
            <v xml:space="preserve">      --</v>
          </cell>
          <cell r="P50" t="str">
            <v xml:space="preserve">      --</v>
          </cell>
          <cell r="Q50" t="str">
            <v xml:space="preserve">      --</v>
          </cell>
          <cell r="R50">
            <v>-0.16506891549849456</v>
          </cell>
          <cell r="S50" t="str">
            <v xml:space="preserve">      --</v>
          </cell>
          <cell r="T50" t="str">
            <v xml:space="preserve">      --</v>
          </cell>
          <cell r="U50">
            <v>-0.26033179038156717</v>
          </cell>
          <cell r="V50" t="str">
            <v xml:space="preserve">      --</v>
          </cell>
          <cell r="W50">
            <v>-0.24997643544690909</v>
          </cell>
          <cell r="Y50" t="str">
            <v>--</v>
          </cell>
          <cell r="Z50" t="str">
            <v>--</v>
          </cell>
          <cell r="AI50" t="str">
            <v>4QE</v>
          </cell>
        </row>
        <row r="51">
          <cell r="A51" t="str">
            <v>Year</v>
          </cell>
          <cell r="B51">
            <v>5.1622265989426763E-2</v>
          </cell>
          <cell r="C51">
            <v>3.7008331718659172E-2</v>
          </cell>
          <cell r="D51">
            <v>6.8435131520285339E-2</v>
          </cell>
          <cell r="E51">
            <v>7.2519083969465645E-2</v>
          </cell>
          <cell r="F51">
            <v>0.18837097549255166</v>
          </cell>
          <cell r="G51">
            <v>-4.8530097993467101E-2</v>
          </cell>
          <cell r="H51" t="str">
            <v xml:space="preserve">      --</v>
          </cell>
          <cell r="P51" t="str">
            <v xml:space="preserve">      --</v>
          </cell>
          <cell r="Q51" t="str">
            <v xml:space="preserve">      --</v>
          </cell>
          <cell r="R51">
            <v>-6.5098374403702586E-2</v>
          </cell>
          <cell r="S51" t="str">
            <v xml:space="preserve">      --</v>
          </cell>
          <cell r="T51" t="str">
            <v xml:space="preserve">      --</v>
          </cell>
          <cell r="U51">
            <v>-7.9739096559164724E-2</v>
          </cell>
          <cell r="V51" t="str">
            <v xml:space="preserve">      --</v>
          </cell>
          <cell r="W51">
            <v>-6.6855443910993045E-2</v>
          </cell>
          <cell r="Y51" t="str">
            <v>--</v>
          </cell>
          <cell r="Z51" t="str">
            <v>--</v>
          </cell>
          <cell r="AI51" t="str">
            <v>Year</v>
          </cell>
        </row>
        <row r="53">
          <cell r="A53" t="str">
            <v>2007E</v>
          </cell>
          <cell r="AI53" t="str">
            <v>2007E</v>
          </cell>
        </row>
        <row r="54">
          <cell r="A54" t="str">
            <v>1QA</v>
          </cell>
          <cell r="B54">
            <v>2451</v>
          </cell>
          <cell r="C54">
            <v>1286</v>
          </cell>
          <cell r="D54">
            <v>1165</v>
          </cell>
          <cell r="E54">
            <v>63</v>
          </cell>
          <cell r="F54">
            <v>580</v>
          </cell>
          <cell r="G54">
            <v>522</v>
          </cell>
          <cell r="H54">
            <v>-31</v>
          </cell>
          <cell r="I54">
            <v>-31</v>
          </cell>
          <cell r="J54">
            <v>9</v>
          </cell>
          <cell r="K54">
            <v>342.36269820033988</v>
          </cell>
          <cell r="L54">
            <v>2.6287910591046584E-2</v>
          </cell>
          <cell r="M54">
            <v>40</v>
          </cell>
          <cell r="N54">
            <v>2693.25</v>
          </cell>
          <cell r="O54">
            <v>5.9407778706024317E-2</v>
          </cell>
          <cell r="P54">
            <v>0</v>
          </cell>
          <cell r="Q54">
            <v>-31</v>
          </cell>
          <cell r="R54">
            <v>491</v>
          </cell>
          <cell r="S54">
            <v>0.26476578411405294</v>
          </cell>
          <cell r="T54">
            <v>130</v>
          </cell>
          <cell r="U54">
            <v>361</v>
          </cell>
          <cell r="V54">
            <v>500</v>
          </cell>
          <cell r="W54">
            <v>0.72199999999999998</v>
          </cell>
          <cell r="AI54" t="str">
            <v>1QA</v>
          </cell>
          <cell r="AL54">
            <v>500</v>
          </cell>
          <cell r="AM54">
            <v>1</v>
          </cell>
          <cell r="AN54">
            <v>500.16617791958629</v>
          </cell>
          <cell r="AO54">
            <v>0.26600000000000001</v>
          </cell>
          <cell r="AP54">
            <v>8</v>
          </cell>
          <cell r="AS54">
            <v>4</v>
          </cell>
          <cell r="AT54">
            <v>11</v>
          </cell>
          <cell r="AU54">
            <v>0</v>
          </cell>
          <cell r="AW54">
            <v>338</v>
          </cell>
          <cell r="AX54">
            <v>23</v>
          </cell>
        </row>
        <row r="55">
          <cell r="A55" t="str">
            <v>2QA</v>
          </cell>
          <cell r="B55">
            <v>2539</v>
          </cell>
          <cell r="C55">
            <v>1356</v>
          </cell>
          <cell r="D55">
            <v>1183</v>
          </cell>
          <cell r="E55">
            <v>66</v>
          </cell>
          <cell r="F55">
            <v>598</v>
          </cell>
          <cell r="G55">
            <v>519</v>
          </cell>
          <cell r="H55">
            <v>-29</v>
          </cell>
          <cell r="I55">
            <v>-29</v>
          </cell>
          <cell r="J55">
            <v>10</v>
          </cell>
          <cell r="K55">
            <v>543.08809460101975</v>
          </cell>
          <cell r="L55">
            <v>1.8413218959157096E-2</v>
          </cell>
          <cell r="M55">
            <v>39</v>
          </cell>
          <cell r="N55">
            <v>3195.75</v>
          </cell>
          <cell r="O55">
            <v>4.8814832199014314E-2</v>
          </cell>
          <cell r="P55">
            <v>6</v>
          </cell>
          <cell r="Q55">
            <v>-23</v>
          </cell>
          <cell r="R55">
            <v>496</v>
          </cell>
          <cell r="S55">
            <v>0.19959677419354838</v>
          </cell>
          <cell r="T55">
            <v>99</v>
          </cell>
          <cell r="U55">
            <v>397</v>
          </cell>
          <cell r="V55">
            <v>500</v>
          </cell>
          <cell r="W55">
            <v>0.79400000000000004</v>
          </cell>
          <cell r="AI55" t="str">
            <v>2QA</v>
          </cell>
          <cell r="AL55">
            <v>500.16617791958629</v>
          </cell>
          <cell r="AM55">
            <v>1.0003323558391726</v>
          </cell>
          <cell r="AN55">
            <v>500.16617791958629</v>
          </cell>
          <cell r="AO55">
            <v>0.19900000000000001</v>
          </cell>
          <cell r="AP55">
            <v>0</v>
          </cell>
          <cell r="AT55">
            <v>3</v>
          </cell>
          <cell r="AW55">
            <v>394</v>
          </cell>
          <cell r="AX55">
            <v>3</v>
          </cell>
        </row>
        <row r="56">
          <cell r="A56" t="str">
            <v>3QE</v>
          </cell>
          <cell r="B56">
            <v>2548</v>
          </cell>
          <cell r="C56">
            <v>1340</v>
          </cell>
          <cell r="D56">
            <v>1208</v>
          </cell>
          <cell r="E56">
            <v>75</v>
          </cell>
          <cell r="F56">
            <v>635</v>
          </cell>
          <cell r="G56">
            <v>498</v>
          </cell>
          <cell r="H56">
            <v>-48.965381953735125</v>
          </cell>
          <cell r="I56">
            <v>-48.965381953735125</v>
          </cell>
          <cell r="J56">
            <v>6.508368046264871</v>
          </cell>
          <cell r="K56">
            <v>743.8134910016995</v>
          </cell>
          <cell r="L56">
            <v>3.5000000000000003E-2</v>
          </cell>
          <cell r="M56">
            <v>55.473750000000003</v>
          </cell>
          <cell r="N56">
            <v>3698.25</v>
          </cell>
          <cell r="O56">
            <v>0.06</v>
          </cell>
          <cell r="P56">
            <v>-4</v>
          </cell>
          <cell r="Q56">
            <v>-52.965381953735125</v>
          </cell>
          <cell r="R56">
            <v>445.03461804626488</v>
          </cell>
          <cell r="S56">
            <v>0.26500000000000001</v>
          </cell>
          <cell r="T56">
            <v>117.9341737822602</v>
          </cell>
          <cell r="U56">
            <v>327.10044426400469</v>
          </cell>
          <cell r="V56">
            <v>500</v>
          </cell>
          <cell r="W56">
            <v>0.65420088852800939</v>
          </cell>
          <cell r="AI56" t="str">
            <v>3QE</v>
          </cell>
          <cell r="AL56">
            <v>500.24926687937943</v>
          </cell>
          <cell r="AM56">
            <v>1.0004985337587589</v>
          </cell>
          <cell r="AN56">
            <v>500.33235583917258</v>
          </cell>
          <cell r="AO56">
            <v>0.26500000000000001</v>
          </cell>
          <cell r="AV56">
            <v>1249</v>
          </cell>
          <cell r="AW56">
            <v>-921.89955573599536</v>
          </cell>
          <cell r="AX56">
            <v>1249</v>
          </cell>
        </row>
        <row r="57">
          <cell r="A57" t="str">
            <v>4QE</v>
          </cell>
          <cell r="B57">
            <v>2607</v>
          </cell>
          <cell r="C57">
            <v>1370</v>
          </cell>
          <cell r="D57">
            <v>1237</v>
          </cell>
          <cell r="E57">
            <v>77</v>
          </cell>
          <cell r="F57">
            <v>660</v>
          </cell>
          <cell r="G57">
            <v>500</v>
          </cell>
          <cell r="H57">
            <v>-58.51528473522918</v>
          </cell>
          <cell r="I57">
            <v>-58.51528473522918</v>
          </cell>
          <cell r="J57">
            <v>8.2647152647708193</v>
          </cell>
          <cell r="K57">
            <v>944.53888740237926</v>
          </cell>
          <cell r="L57">
            <v>3.5000000000000003E-2</v>
          </cell>
          <cell r="M57">
            <v>66.78</v>
          </cell>
          <cell r="N57">
            <v>4452</v>
          </cell>
          <cell r="O57">
            <v>0.06</v>
          </cell>
          <cell r="P57">
            <v>-14</v>
          </cell>
          <cell r="Q57">
            <v>-72.515284735229187</v>
          </cell>
          <cell r="R57">
            <v>427.48471526477078</v>
          </cell>
          <cell r="S57">
            <v>0.32</v>
          </cell>
          <cell r="T57">
            <v>136.79510888472666</v>
          </cell>
          <cell r="U57">
            <v>290.6896063800441</v>
          </cell>
          <cell r="V57">
            <v>500</v>
          </cell>
          <cell r="W57">
            <v>0.58137921276008819</v>
          </cell>
          <cell r="AI57" t="str">
            <v>4QE</v>
          </cell>
          <cell r="AL57">
            <v>500.37390031906915</v>
          </cell>
          <cell r="AM57">
            <v>1.0007478006381383</v>
          </cell>
          <cell r="AN57">
            <v>500.41544479896572</v>
          </cell>
          <cell r="AO57">
            <v>0.32</v>
          </cell>
          <cell r="AW57">
            <v>290.6896063800441</v>
          </cell>
          <cell r="AX57">
            <v>0</v>
          </cell>
        </row>
        <row r="58">
          <cell r="A58" t="str">
            <v>Year</v>
          </cell>
          <cell r="B58">
            <v>10145</v>
          </cell>
          <cell r="C58">
            <v>5352</v>
          </cell>
          <cell r="D58">
            <v>4793</v>
          </cell>
          <cell r="E58">
            <v>281</v>
          </cell>
          <cell r="F58">
            <v>2473</v>
          </cell>
          <cell r="G58">
            <v>2039</v>
          </cell>
          <cell r="H58">
            <v>-167.48066668896431</v>
          </cell>
          <cell r="I58">
            <v>-167.48066668896431</v>
          </cell>
          <cell r="J58">
            <v>33.773083311035691</v>
          </cell>
          <cell r="K58">
            <v>643.45079280135963</v>
          </cell>
          <cell r="L58">
            <v>2.8675282387550922E-2</v>
          </cell>
          <cell r="M58">
            <v>201.25375</v>
          </cell>
          <cell r="N58">
            <v>3509.8125</v>
          </cell>
          <cell r="O58">
            <v>5.7055652726259655E-2</v>
          </cell>
          <cell r="P58">
            <v>-12</v>
          </cell>
          <cell r="Q58">
            <v>-179.48066668896431</v>
          </cell>
          <cell r="R58">
            <v>1859.5193333110356</v>
          </cell>
          <cell r="S58">
            <v>0.26013673211219851</v>
          </cell>
          <cell r="T58">
            <v>483.72928266698682</v>
          </cell>
          <cell r="U58">
            <v>1375.7900506440487</v>
          </cell>
          <cell r="V58">
            <v>500</v>
          </cell>
          <cell r="W58">
            <v>2.7515801012880976</v>
          </cell>
          <cell r="Y58">
            <v>0</v>
          </cell>
          <cell r="Z58">
            <v>0</v>
          </cell>
          <cell r="AA58">
            <v>2.6296712890825176</v>
          </cell>
          <cell r="AE58">
            <v>75</v>
          </cell>
          <cell r="AI58" t="str">
            <v>Year</v>
          </cell>
          <cell r="AL58">
            <v>500.19733627950876</v>
          </cell>
          <cell r="AM58">
            <v>1.0003946725590176</v>
          </cell>
          <cell r="AN58">
            <v>500.41544479896572</v>
          </cell>
          <cell r="AO58">
            <v>0.26013673211219851</v>
          </cell>
          <cell r="AP58">
            <v>8</v>
          </cell>
          <cell r="AQ58">
            <v>0</v>
          </cell>
          <cell r="AR58">
            <v>0</v>
          </cell>
          <cell r="AS58">
            <v>4</v>
          </cell>
          <cell r="AT58">
            <v>14</v>
          </cell>
          <cell r="AU58">
            <v>0</v>
          </cell>
          <cell r="AV58">
            <v>1249</v>
          </cell>
          <cell r="AW58">
            <v>100.79005064404873</v>
          </cell>
          <cell r="AX58">
            <v>1275</v>
          </cell>
        </row>
        <row r="60">
          <cell r="A60" t="str">
            <v>2008E/07E</v>
          </cell>
          <cell r="AI60" t="str">
            <v>2008E/07E</v>
          </cell>
        </row>
        <row r="61">
          <cell r="A61" t="str">
            <v>1QE</v>
          </cell>
          <cell r="B61">
            <v>4.7802937576499373E-2</v>
          </cell>
          <cell r="C61">
            <v>0.04</v>
          </cell>
          <cell r="D61">
            <v>5.6416309012875532E-2</v>
          </cell>
          <cell r="E61">
            <v>0.2</v>
          </cell>
          <cell r="F61">
            <v>0.12</v>
          </cell>
          <cell r="G61">
            <v>-3.156130268199242E-2</v>
          </cell>
          <cell r="H61" t="str">
            <v xml:space="preserve">      --</v>
          </cell>
          <cell r="P61" t="str">
            <v xml:space="preserve">      --</v>
          </cell>
          <cell r="Q61" t="str">
            <v xml:space="preserve">      --</v>
          </cell>
          <cell r="R61">
            <v>-0.10133702558640845</v>
          </cell>
          <cell r="S61" t="str">
            <v xml:space="preserve">      --</v>
          </cell>
          <cell r="T61" t="str">
            <v xml:space="preserve">      --</v>
          </cell>
          <cell r="U61">
            <v>-0.16884877036783941</v>
          </cell>
          <cell r="V61" t="str">
            <v xml:space="preserve">      --</v>
          </cell>
          <cell r="W61">
            <v>-0.16884877036783941</v>
          </cell>
          <cell r="Y61" t="str">
            <v>--</v>
          </cell>
          <cell r="Z61" t="str">
            <v>--</v>
          </cell>
          <cell r="AI61" t="str">
            <v>1QE</v>
          </cell>
        </row>
        <row r="62">
          <cell r="A62" t="str">
            <v>2QE</v>
          </cell>
          <cell r="B62">
            <v>4.7122883024813093E-2</v>
          </cell>
          <cell r="C62">
            <v>0.04</v>
          </cell>
          <cell r="D62">
            <v>5.5287404902789827E-2</v>
          </cell>
          <cell r="E62">
            <v>0.18</v>
          </cell>
          <cell r="F62">
            <v>0.08</v>
          </cell>
          <cell r="G62">
            <v>1.0953757225434568E-2</v>
          </cell>
          <cell r="H62" t="str">
            <v xml:space="preserve">      --</v>
          </cell>
          <cell r="P62" t="str">
            <v xml:space="preserve">      --</v>
          </cell>
          <cell r="Q62" t="str">
            <v xml:space="preserve">      --</v>
          </cell>
          <cell r="R62">
            <v>-6.6300839590376359E-2</v>
          </cell>
          <cell r="S62" t="str">
            <v xml:space="preserve">      --</v>
          </cell>
          <cell r="T62" t="str">
            <v xml:space="preserve">      --</v>
          </cell>
          <cell r="U62">
            <v>-0.20383919450411636</v>
          </cell>
          <cell r="V62" t="str">
            <v xml:space="preserve">      --</v>
          </cell>
          <cell r="W62">
            <v>-0.20383919450411636</v>
          </cell>
          <cell r="Y62" t="str">
            <v>--</v>
          </cell>
          <cell r="Z62" t="str">
            <v>--</v>
          </cell>
          <cell r="AI62" t="str">
            <v>2QE</v>
          </cell>
        </row>
        <row r="63">
          <cell r="A63" t="str">
            <v>3QE</v>
          </cell>
          <cell r="B63">
            <v>4.3718602825745675E-2</v>
          </cell>
          <cell r="C63">
            <v>0.03</v>
          </cell>
          <cell r="D63">
            <v>5.8936258278145637E-2</v>
          </cell>
          <cell r="E63">
            <v>0.15</v>
          </cell>
          <cell r="F63">
            <v>0.04</v>
          </cell>
          <cell r="G63">
            <v>6.9367469879517918E-2</v>
          </cell>
          <cell r="H63" t="str">
            <v xml:space="preserve">      --</v>
          </cell>
          <cell r="P63" t="str">
            <v xml:space="preserve">      --</v>
          </cell>
          <cell r="Q63" t="str">
            <v xml:space="preserve">      --</v>
          </cell>
          <cell r="R63">
            <v>6.6627240759784323E-2</v>
          </cell>
          <cell r="S63" t="str">
            <v xml:space="preserve">      --</v>
          </cell>
          <cell r="T63" t="str">
            <v xml:space="preserve">      --</v>
          </cell>
          <cell r="U63">
            <v>-5.9324354823777625E-3</v>
          </cell>
          <cell r="V63" t="str">
            <v xml:space="preserve">      --</v>
          </cell>
          <cell r="W63">
            <v>-5.9324354823777625E-3</v>
          </cell>
          <cell r="Y63" t="str">
            <v>--</v>
          </cell>
          <cell r="Z63" t="str">
            <v>--</v>
          </cell>
          <cell r="AI63" t="str">
            <v>3QE</v>
          </cell>
        </row>
        <row r="64">
          <cell r="A64" t="str">
            <v>4QE</v>
          </cell>
          <cell r="B64">
            <v>4.625393172228609E-2</v>
          </cell>
          <cell r="C64">
            <v>0.03</v>
          </cell>
          <cell r="D64">
            <v>6.4255456750201834E-2</v>
          </cell>
          <cell r="E64">
            <v>0.16</v>
          </cell>
          <cell r="F64">
            <v>0.04</v>
          </cell>
          <cell r="G64">
            <v>8.1527999999999601E-2</v>
          </cell>
          <cell r="H64" t="str">
            <v xml:space="preserve">      --</v>
          </cell>
          <cell r="P64" t="str">
            <v xml:space="preserve">      --</v>
          </cell>
          <cell r="Q64" t="str">
            <v xml:space="preserve">      --</v>
          </cell>
          <cell r="R64">
            <v>0.13598520011316806</v>
          </cell>
          <cell r="S64" t="str">
            <v xml:space="preserve">      --</v>
          </cell>
          <cell r="T64" t="str">
            <v xml:space="preserve">      --</v>
          </cell>
          <cell r="U64">
            <v>0.15269086482071459</v>
          </cell>
          <cell r="V64" t="str">
            <v xml:space="preserve">      --</v>
          </cell>
          <cell r="W64">
            <v>0.15269086482071459</v>
          </cell>
          <cell r="Y64" t="str">
            <v>--</v>
          </cell>
          <cell r="Z64" t="str">
            <v>--</v>
          </cell>
          <cell r="AI64" t="str">
            <v>4QE</v>
          </cell>
        </row>
        <row r="65">
          <cell r="A65" t="str">
            <v>Year</v>
          </cell>
          <cell r="B65">
            <v>4.6208871365204601E-2</v>
          </cell>
          <cell r="C65">
            <v>3.4936472346786339E-2</v>
          </cell>
          <cell r="D65">
            <v>5.8795952430627851E-2</v>
          </cell>
          <cell r="E65">
            <v>0.17099644128113864</v>
          </cell>
          <cell r="F65">
            <v>6.843509906995561E-2</v>
          </cell>
          <cell r="G65">
            <v>3.1642471799901359E-2</v>
          </cell>
          <cell r="H65" t="str">
            <v xml:space="preserve">      --</v>
          </cell>
          <cell r="P65" t="str">
            <v xml:space="preserve">      --</v>
          </cell>
          <cell r="Q65" t="str">
            <v xml:space="preserve">      --</v>
          </cell>
          <cell r="R65">
            <v>2.7648689108814859E-3</v>
          </cell>
          <cell r="S65" t="str">
            <v xml:space="preserve">      --</v>
          </cell>
          <cell r="T65" t="str">
            <v xml:space="preserve">      --</v>
          </cell>
          <cell r="U65">
            <v>-7.2273688244559958E-2</v>
          </cell>
          <cell r="V65" t="str">
            <v xml:space="preserve">      --</v>
          </cell>
          <cell r="W65">
            <v>-7.2273688244560055E-2</v>
          </cell>
          <cell r="Y65" t="str">
            <v>--</v>
          </cell>
          <cell r="Z65" t="str">
            <v>--</v>
          </cell>
          <cell r="AI65" t="str">
            <v>Year</v>
          </cell>
        </row>
        <row r="67">
          <cell r="A67" t="str">
            <v>2008E</v>
          </cell>
          <cell r="AI67" t="str">
            <v>2008E</v>
          </cell>
        </row>
        <row r="68">
          <cell r="A68" t="str">
            <v>1QE</v>
          </cell>
          <cell r="B68">
            <v>2568.165</v>
          </cell>
          <cell r="C68">
            <v>1337.44</v>
          </cell>
          <cell r="D68">
            <v>1230.7249999999999</v>
          </cell>
          <cell r="E68">
            <v>75.599999999999994</v>
          </cell>
          <cell r="F68">
            <v>649.6</v>
          </cell>
          <cell r="G68">
            <v>505.52499999999998</v>
          </cell>
          <cell r="H68">
            <v>-56.281479562926542</v>
          </cell>
          <cell r="I68">
            <v>-56.281479562926542</v>
          </cell>
          <cell r="J68">
            <v>9.5610204370734611</v>
          </cell>
          <cell r="K68">
            <v>1092.6880499512527</v>
          </cell>
          <cell r="L68">
            <v>3.5000000000000003E-2</v>
          </cell>
          <cell r="M68">
            <v>65.842500000000001</v>
          </cell>
          <cell r="N68">
            <v>4389.5</v>
          </cell>
          <cell r="O68">
            <v>0.06</v>
          </cell>
          <cell r="P68">
            <v>-8</v>
          </cell>
          <cell r="Q68">
            <v>-64.281479562926535</v>
          </cell>
          <cell r="R68">
            <v>441.24352043707347</v>
          </cell>
          <cell r="S68">
            <v>0.32</v>
          </cell>
          <cell r="T68">
            <v>141.19792653986352</v>
          </cell>
          <cell r="U68">
            <v>300.04559389720998</v>
          </cell>
          <cell r="V68">
            <v>500</v>
          </cell>
          <cell r="W68">
            <v>0.60009118779441994</v>
          </cell>
          <cell r="AE68">
            <v>75</v>
          </cell>
          <cell r="AI68" t="str">
            <v>1QE</v>
          </cell>
          <cell r="AL68">
            <v>500</v>
          </cell>
          <cell r="AM68">
            <v>1</v>
          </cell>
          <cell r="AN68">
            <v>500.16617791958629</v>
          </cell>
          <cell r="AO68">
            <v>0.32</v>
          </cell>
          <cell r="AP68">
            <v>0</v>
          </cell>
          <cell r="AS68">
            <v>0</v>
          </cell>
          <cell r="AT68">
            <v>0</v>
          </cell>
          <cell r="AU68">
            <v>0</v>
          </cell>
          <cell r="AW68">
            <v>300.04559389720998</v>
          </cell>
          <cell r="AX68">
            <v>0</v>
          </cell>
        </row>
        <row r="69">
          <cell r="A69" t="str">
            <v>2QE</v>
          </cell>
          <cell r="B69">
            <v>2658.6450000000004</v>
          </cell>
          <cell r="C69">
            <v>1410.24</v>
          </cell>
          <cell r="D69">
            <v>1248.405</v>
          </cell>
          <cell r="E69">
            <v>77.88</v>
          </cell>
          <cell r="F69">
            <v>645.84</v>
          </cell>
          <cell r="G69">
            <v>524.68500000000051</v>
          </cell>
          <cell r="H69">
            <v>-53.570216436827202</v>
          </cell>
          <cell r="I69">
            <v>-53.570216436827202</v>
          </cell>
          <cell r="J69">
            <v>10.397283563172799</v>
          </cell>
          <cell r="K69">
            <v>1188.2609786483197</v>
          </cell>
          <cell r="L69">
            <v>3.5000000000000003E-2</v>
          </cell>
          <cell r="M69">
            <v>63.967500000000001</v>
          </cell>
          <cell r="N69">
            <v>4264.5</v>
          </cell>
          <cell r="O69">
            <v>0.06</v>
          </cell>
          <cell r="P69">
            <v>-8</v>
          </cell>
          <cell r="Q69">
            <v>-61.570216436827202</v>
          </cell>
          <cell r="R69">
            <v>463.11478356317332</v>
          </cell>
          <cell r="S69">
            <v>0.3175</v>
          </cell>
          <cell r="T69">
            <v>147.03894378130752</v>
          </cell>
          <cell r="U69">
            <v>316.0758397818658</v>
          </cell>
          <cell r="V69">
            <v>500</v>
          </cell>
          <cell r="W69">
            <v>0.63215167956373164</v>
          </cell>
          <cell r="AE69">
            <v>75</v>
          </cell>
          <cell r="AI69" t="str">
            <v>2QE</v>
          </cell>
          <cell r="AL69">
            <v>500.16617791958629</v>
          </cell>
          <cell r="AM69">
            <v>1.0003323558391726</v>
          </cell>
          <cell r="AN69">
            <v>500.16617791958629</v>
          </cell>
          <cell r="AO69">
            <v>0.3175</v>
          </cell>
          <cell r="AP69">
            <v>0</v>
          </cell>
          <cell r="AT69">
            <v>0</v>
          </cell>
          <cell r="AW69">
            <v>316.0758397818658</v>
          </cell>
          <cell r="AX69">
            <v>0</v>
          </cell>
        </row>
        <row r="70">
          <cell r="A70" t="str">
            <v>3QE</v>
          </cell>
          <cell r="B70">
            <v>2659.395</v>
          </cell>
          <cell r="C70">
            <v>1380.2</v>
          </cell>
          <cell r="D70">
            <v>1279.1949999999999</v>
          </cell>
          <cell r="E70">
            <v>86.25</v>
          </cell>
          <cell r="F70">
            <v>660.4</v>
          </cell>
          <cell r="G70">
            <v>532.54499999999996</v>
          </cell>
          <cell r="H70">
            <v>-50.85895331072787</v>
          </cell>
          <cell r="I70">
            <v>-50.85895331072787</v>
          </cell>
          <cell r="J70">
            <v>11.233546689272135</v>
          </cell>
          <cell r="K70">
            <v>1283.8339073453867</v>
          </cell>
          <cell r="L70">
            <v>3.5000000000000003E-2</v>
          </cell>
          <cell r="M70">
            <v>62.092500000000001</v>
          </cell>
          <cell r="N70">
            <v>4139.5</v>
          </cell>
          <cell r="O70">
            <v>0.06</v>
          </cell>
          <cell r="P70">
            <v>-7</v>
          </cell>
          <cell r="Q70">
            <v>-57.85895331072787</v>
          </cell>
          <cell r="R70">
            <v>474.68604668927208</v>
          </cell>
          <cell r="S70">
            <v>0.315</v>
          </cell>
          <cell r="T70">
            <v>149.52610470712071</v>
          </cell>
          <cell r="U70">
            <v>325.15994198215139</v>
          </cell>
          <cell r="V70">
            <v>500</v>
          </cell>
          <cell r="W70">
            <v>0.65031988396430274</v>
          </cell>
          <cell r="AE70">
            <v>75</v>
          </cell>
          <cell r="AI70" t="str">
            <v>3QE</v>
          </cell>
          <cell r="AL70">
            <v>500.24926687937943</v>
          </cell>
          <cell r="AM70">
            <v>1.0004985337587589</v>
          </cell>
          <cell r="AN70">
            <v>500.33235583917258</v>
          </cell>
          <cell r="AO70">
            <v>0.315</v>
          </cell>
          <cell r="AV70">
            <v>0</v>
          </cell>
          <cell r="AW70">
            <v>325.15994198215139</v>
          </cell>
          <cell r="AX70">
            <v>0</v>
          </cell>
        </row>
        <row r="71">
          <cell r="A71" t="str">
            <v>4QE</v>
          </cell>
          <cell r="B71">
            <v>2727.5839999999998</v>
          </cell>
          <cell r="C71">
            <v>1411.1</v>
          </cell>
          <cell r="D71">
            <v>1316.4839999999997</v>
          </cell>
          <cell r="E71">
            <v>89.32</v>
          </cell>
          <cell r="F71">
            <v>686.4</v>
          </cell>
          <cell r="G71">
            <v>540.76399999999978</v>
          </cell>
          <cell r="H71">
            <v>-48.14769018462853</v>
          </cell>
          <cell r="I71">
            <v>-48.14769018462853</v>
          </cell>
          <cell r="J71">
            <v>12.069809815371471</v>
          </cell>
          <cell r="K71">
            <v>1379.4068360424537</v>
          </cell>
          <cell r="L71">
            <v>3.5000000000000003E-2</v>
          </cell>
          <cell r="M71">
            <v>60.217500000000001</v>
          </cell>
          <cell r="N71">
            <v>4014.5</v>
          </cell>
          <cell r="O71">
            <v>0.06</v>
          </cell>
          <cell r="P71">
            <v>-7</v>
          </cell>
          <cell r="Q71">
            <v>-55.14769018462853</v>
          </cell>
          <cell r="R71">
            <v>485.61630981537127</v>
          </cell>
          <cell r="S71">
            <v>0.31</v>
          </cell>
          <cell r="T71">
            <v>150.54105604276509</v>
          </cell>
          <cell r="U71">
            <v>335.07525377260617</v>
          </cell>
          <cell r="V71">
            <v>500</v>
          </cell>
          <cell r="W71">
            <v>0.67015050754521233</v>
          </cell>
          <cell r="AE71">
            <v>75</v>
          </cell>
          <cell r="AI71" t="str">
            <v>4QE</v>
          </cell>
          <cell r="AL71">
            <v>500.37390031906915</v>
          </cell>
          <cell r="AM71">
            <v>1.0007478006381383</v>
          </cell>
          <cell r="AN71">
            <v>500.41544479896572</v>
          </cell>
          <cell r="AO71">
            <v>0.31</v>
          </cell>
          <cell r="AW71">
            <v>335.07525377260617</v>
          </cell>
          <cell r="AX71">
            <v>0</v>
          </cell>
        </row>
        <row r="72">
          <cell r="A72" t="str">
            <v>Year</v>
          </cell>
          <cell r="B72">
            <v>10613.789000000001</v>
          </cell>
          <cell r="C72">
            <v>5538.98</v>
          </cell>
          <cell r="D72">
            <v>5074.8089999999993</v>
          </cell>
          <cell r="E72">
            <v>329.05</v>
          </cell>
          <cell r="F72">
            <v>2642.24</v>
          </cell>
          <cell r="G72">
            <v>2103.5189999999989</v>
          </cell>
          <cell r="H72">
            <v>-208.85833949511016</v>
          </cell>
          <cell r="I72">
            <v>-208.85833949511016</v>
          </cell>
          <cell r="J72">
            <v>43.261660504889861</v>
          </cell>
          <cell r="K72">
            <v>1236.0474429968533</v>
          </cell>
          <cell r="L72">
            <v>3.5000000000000003E-2</v>
          </cell>
          <cell r="M72">
            <v>252.12</v>
          </cell>
          <cell r="N72">
            <v>4202</v>
          </cell>
          <cell r="O72">
            <v>0.06</v>
          </cell>
          <cell r="P72">
            <v>-30</v>
          </cell>
          <cell r="Q72">
            <v>-238.8583394951101</v>
          </cell>
          <cell r="R72">
            <v>1864.6606605048903</v>
          </cell>
          <cell r="S72">
            <v>0.31550192672148886</v>
          </cell>
          <cell r="T72">
            <v>588.3040310710569</v>
          </cell>
          <cell r="U72">
            <v>1276.3566294338334</v>
          </cell>
          <cell r="V72">
            <v>500</v>
          </cell>
          <cell r="W72">
            <v>2.5527132588676666</v>
          </cell>
          <cell r="Y72">
            <v>0</v>
          </cell>
          <cell r="Z72">
            <v>0</v>
          </cell>
          <cell r="AA72">
            <v>2.6723830385306888</v>
          </cell>
          <cell r="AC72">
            <v>2.5499999999999998</v>
          </cell>
          <cell r="AD72">
            <v>2.6324999999999998</v>
          </cell>
          <cell r="AE72">
            <v>300</v>
          </cell>
          <cell r="AI72" t="str">
            <v>Year</v>
          </cell>
          <cell r="AL72">
            <v>500.19733627950876</v>
          </cell>
          <cell r="AM72">
            <v>1.0003946725590176</v>
          </cell>
          <cell r="AN72">
            <v>500.41544479896572</v>
          </cell>
          <cell r="AO72">
            <v>0.31550192672148886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1276.3566294338334</v>
          </cell>
          <cell r="AX72">
            <v>0</v>
          </cell>
        </row>
        <row r="73">
          <cell r="AC73">
            <v>2.88</v>
          </cell>
        </row>
        <row r="75">
          <cell r="Y75" t="str">
            <v>--</v>
          </cell>
          <cell r="Z75" t="str">
            <v>--</v>
          </cell>
        </row>
        <row r="76">
          <cell r="A76" t="str">
            <v>2009E/08E</v>
          </cell>
          <cell r="B76">
            <v>3.0261778616476942E-2</v>
          </cell>
          <cell r="C76">
            <v>1.2E-2</v>
          </cell>
          <cell r="D76">
            <v>5.0193883750107471E-2</v>
          </cell>
          <cell r="E76">
            <v>0.125</v>
          </cell>
          <cell r="F76">
            <v>3.6999999999999998E-2</v>
          </cell>
          <cell r="G76">
            <v>5.5064985388769916E-2</v>
          </cell>
          <cell r="H76" t="str">
            <v xml:space="preserve">      --</v>
          </cell>
          <cell r="P76" t="str">
            <v xml:space="preserve">      --</v>
          </cell>
          <cell r="Q76" t="str">
            <v xml:space="preserve">      --</v>
          </cell>
          <cell r="R76">
            <v>8.732689326417642E-2</v>
          </cell>
          <cell r="S76" t="str">
            <v xml:space="preserve">      --</v>
          </cell>
          <cell r="T76" t="str">
            <v xml:space="preserve">      --</v>
          </cell>
          <cell r="U76">
            <v>0.12783676734097993</v>
          </cell>
          <cell r="V76" t="str">
            <v xml:space="preserve">      --</v>
          </cell>
          <cell r="W76">
            <v>0.12783676734098015</v>
          </cell>
          <cell r="Y76" t="str">
            <v>--</v>
          </cell>
          <cell r="Z76" t="str">
            <v>--</v>
          </cell>
          <cell r="AI76" t="str">
            <v>2009E/08E</v>
          </cell>
        </row>
        <row r="77">
          <cell r="A77" t="str">
            <v>2010E/09E</v>
          </cell>
          <cell r="B77">
            <v>3.138653879102251E-2</v>
          </cell>
          <cell r="C77">
            <v>7.4999999999999997E-3</v>
          </cell>
          <cell r="D77">
            <v>5.6509703614159891E-2</v>
          </cell>
          <cell r="E77">
            <v>0.1</v>
          </cell>
          <cell r="F77">
            <v>0.04</v>
          </cell>
          <cell r="G77">
            <v>6.9638481459136189E-2</v>
          </cell>
          <cell r="H77" t="str">
            <v xml:space="preserve">      --</v>
          </cell>
          <cell r="P77" t="str">
            <v xml:space="preserve">      --</v>
          </cell>
          <cell r="Q77" t="str">
            <v xml:space="preserve">      --</v>
          </cell>
          <cell r="R77">
            <v>0.10778620103146022</v>
          </cell>
          <cell r="S77" t="str">
            <v xml:space="preserve">      --</v>
          </cell>
          <cell r="T77" t="str">
            <v xml:space="preserve">      --</v>
          </cell>
          <cell r="U77">
            <v>0.12338882358119919</v>
          </cell>
          <cell r="V77" t="str">
            <v xml:space="preserve">      --</v>
          </cell>
          <cell r="W77">
            <v>0.12338882358119921</v>
          </cell>
          <cell r="Y77" t="str">
            <v>--</v>
          </cell>
          <cell r="Z77" t="str">
            <v>--</v>
          </cell>
          <cell r="AI77" t="str">
            <v>2010E/09E</v>
          </cell>
        </row>
        <row r="78">
          <cell r="A78" t="str">
            <v>2011E/10E</v>
          </cell>
          <cell r="B78">
            <v>3.4621095888400157E-2</v>
          </cell>
          <cell r="C78">
            <v>7.0000000000000001E-3</v>
          </cell>
          <cell r="D78">
            <v>6.2324529116200768E-2</v>
          </cell>
          <cell r="E78">
            <v>0.08</v>
          </cell>
          <cell r="F78">
            <v>0.04</v>
          </cell>
          <cell r="G78">
            <v>8.6090724894118481E-2</v>
          </cell>
          <cell r="H78" t="str">
            <v xml:space="preserve">      --</v>
          </cell>
          <cell r="P78" t="str">
            <v xml:space="preserve">      --</v>
          </cell>
          <cell r="Q78" t="str">
            <v xml:space="preserve">      --</v>
          </cell>
          <cell r="R78">
            <v>0.12265299178508077</v>
          </cell>
          <cell r="S78" t="str">
            <v xml:space="preserve">      --</v>
          </cell>
          <cell r="T78" t="str">
            <v xml:space="preserve">      --</v>
          </cell>
          <cell r="U78">
            <v>0.15383779711244414</v>
          </cell>
          <cell r="V78" t="str">
            <v xml:space="preserve">      --</v>
          </cell>
          <cell r="W78">
            <v>0.15383779711244408</v>
          </cell>
          <cell r="Y78" t="str">
            <v>--</v>
          </cell>
          <cell r="Z78" t="str">
            <v>--</v>
          </cell>
        </row>
        <row r="79">
          <cell r="A79" t="str">
            <v>2012E/11E</v>
          </cell>
          <cell r="B79">
            <v>0.03</v>
          </cell>
          <cell r="C79">
            <v>0.01</v>
          </cell>
          <cell r="D79">
            <v>4.9014939361462596E-2</v>
          </cell>
          <cell r="E79">
            <v>7.0000000000000007E-2</v>
          </cell>
          <cell r="F79">
            <v>0.03</v>
          </cell>
          <cell r="G79">
            <v>6.7292185900761428E-2</v>
          </cell>
          <cell r="H79" t="str">
            <v xml:space="preserve">      --</v>
          </cell>
          <cell r="P79" t="str">
            <v xml:space="preserve">      --</v>
          </cell>
          <cell r="Q79" t="str">
            <v xml:space="preserve">      --</v>
          </cell>
          <cell r="R79">
            <v>0.14393153628653874</v>
          </cell>
          <cell r="S79" t="str">
            <v xml:space="preserve">      --</v>
          </cell>
          <cell r="T79" t="str">
            <v xml:space="preserve">      --</v>
          </cell>
          <cell r="U79">
            <v>0.15</v>
          </cell>
          <cell r="V79" t="str">
            <v xml:space="preserve">      --</v>
          </cell>
          <cell r="W79">
            <v>0.15</v>
          </cell>
        </row>
        <row r="81">
          <cell r="AM81" t="e">
            <v>#DIV/0!</v>
          </cell>
        </row>
        <row r="82">
          <cell r="A82" t="str">
            <v>2009E</v>
          </cell>
          <cell r="B82">
            <v>10934.981132999999</v>
          </cell>
          <cell r="C82">
            <v>5605.4477600000009</v>
          </cell>
          <cell r="D82">
            <v>5329.5333729999984</v>
          </cell>
          <cell r="E82">
            <v>370.18124999999998</v>
          </cell>
          <cell r="F82">
            <v>2740.00288</v>
          </cell>
          <cell r="G82">
            <v>2219.3492429999988</v>
          </cell>
          <cell r="H82">
            <v>-161.85356002128907</v>
          </cell>
          <cell r="I82">
            <v>-161.85356002128907</v>
          </cell>
          <cell r="J82">
            <v>60.266439978710928</v>
          </cell>
          <cell r="K82">
            <v>1721.8982851060264</v>
          </cell>
          <cell r="L82">
            <v>3.5000000000000003E-2</v>
          </cell>
          <cell r="M82">
            <v>222.12</v>
          </cell>
          <cell r="N82">
            <v>3702</v>
          </cell>
          <cell r="O82">
            <v>0.06</v>
          </cell>
          <cell r="P82">
            <v>-30</v>
          </cell>
          <cell r="Q82">
            <v>-191.85356002128907</v>
          </cell>
          <cell r="R82">
            <v>2027.4956829787097</v>
          </cell>
          <cell r="S82">
            <v>0.28999999999999998</v>
          </cell>
          <cell r="T82">
            <v>587.97374806382584</v>
          </cell>
          <cell r="U82">
            <v>1439.5219349148838</v>
          </cell>
          <cell r="V82">
            <v>500</v>
          </cell>
          <cell r="W82">
            <v>2.8790438698297676</v>
          </cell>
          <cell r="AA82">
            <v>2.9678543288640071</v>
          </cell>
          <cell r="AE82">
            <v>300</v>
          </cell>
          <cell r="AI82" t="str">
            <v>2009E</v>
          </cell>
          <cell r="AL82">
            <v>500.41544479896572</v>
          </cell>
          <cell r="AM82">
            <v>1.0008308895979314</v>
          </cell>
          <cell r="AN82">
            <v>498.58621988771137</v>
          </cell>
          <cell r="AO82">
            <v>0.28999999999999998</v>
          </cell>
          <cell r="AW82">
            <v>1439.5219349148838</v>
          </cell>
        </row>
        <row r="83">
          <cell r="A83" t="str">
            <v>2010E</v>
          </cell>
          <cell r="B83">
            <v>11278.192342510003</v>
          </cell>
          <cell r="C83">
            <v>5647.4886182000009</v>
          </cell>
          <cell r="D83">
            <v>5630.7037243100021</v>
          </cell>
          <cell r="E83">
            <v>407.19937499999997</v>
          </cell>
          <cell r="F83">
            <v>2849.6029951999999</v>
          </cell>
          <cell r="G83">
            <v>2373.9013541100021</v>
          </cell>
          <cell r="H83">
            <v>-107.86961385533124</v>
          </cell>
          <cell r="I83">
            <v>-107.86961385533124</v>
          </cell>
          <cell r="J83">
            <v>84.250386144668767</v>
          </cell>
          <cell r="K83">
            <v>2407.1538898476788</v>
          </cell>
          <cell r="L83">
            <v>3.5000000000000003E-2</v>
          </cell>
          <cell r="M83">
            <v>192.12</v>
          </cell>
          <cell r="N83">
            <v>3202</v>
          </cell>
          <cell r="O83">
            <v>0.06</v>
          </cell>
          <cell r="P83">
            <v>-20</v>
          </cell>
          <cell r="Q83">
            <v>-127.86961385533124</v>
          </cell>
          <cell r="R83">
            <v>2246.0317402546707</v>
          </cell>
          <cell r="S83">
            <v>0.28000000000000003</v>
          </cell>
          <cell r="T83">
            <v>628.88888727130791</v>
          </cell>
          <cell r="U83">
            <v>1617.1428529833629</v>
          </cell>
          <cell r="V83">
            <v>500</v>
          </cell>
          <cell r="W83">
            <v>3.2342857059667258</v>
          </cell>
          <cell r="AA83">
            <v>3.3586745530262725</v>
          </cell>
          <cell r="AE83">
            <v>300</v>
          </cell>
          <cell r="AI83" t="str">
            <v>2010E</v>
          </cell>
          <cell r="AL83">
            <v>498.58621988771137</v>
          </cell>
          <cell r="AM83">
            <v>0.99717243977542269</v>
          </cell>
          <cell r="AN83">
            <v>496.95930468867141</v>
          </cell>
          <cell r="AO83">
            <v>0.28000000000000003</v>
          </cell>
          <cell r="AW83">
            <v>1617.1428529833629</v>
          </cell>
        </row>
        <row r="84">
          <cell r="A84" t="str">
            <v>2011E</v>
          </cell>
          <cell r="B84">
            <v>11668.655721047862</v>
          </cell>
          <cell r="C84">
            <v>5687.0210385274013</v>
          </cell>
          <cell r="D84">
            <v>5981.634682520461</v>
          </cell>
          <cell r="E84">
            <v>439.77532499999995</v>
          </cell>
          <cell r="F84">
            <v>2963.5871150079997</v>
          </cell>
          <cell r="G84">
            <v>2578.2722425124616</v>
          </cell>
          <cell r="H84">
            <v>-44.757989671304159</v>
          </cell>
          <cell r="I84">
            <v>-44.757989671304159</v>
          </cell>
          <cell r="J84">
            <v>114.36201032869585</v>
          </cell>
          <cell r="K84">
            <v>3267.4860093913094</v>
          </cell>
          <cell r="L84">
            <v>3.5000000000000003E-2</v>
          </cell>
          <cell r="M84">
            <v>159.12</v>
          </cell>
          <cell r="N84">
            <v>2652</v>
          </cell>
          <cell r="O84">
            <v>0.06</v>
          </cell>
          <cell r="P84">
            <v>-12</v>
          </cell>
          <cell r="Q84">
            <v>-56.757989671304159</v>
          </cell>
          <cell r="R84">
            <v>2521.5142528411575</v>
          </cell>
          <cell r="S84">
            <v>0.26</v>
          </cell>
          <cell r="T84">
            <v>655.59370573870092</v>
          </cell>
          <cell r="U84">
            <v>1865.9205471024566</v>
          </cell>
          <cell r="V84">
            <v>500</v>
          </cell>
          <cell r="W84">
            <v>3.7318410942049129</v>
          </cell>
          <cell r="AA84">
            <v>3.8717851352375972</v>
          </cell>
          <cell r="AE84">
            <v>300</v>
          </cell>
          <cell r="AI84" t="str">
            <v>2011E</v>
          </cell>
          <cell r="AL84">
            <v>496.95930468867141</v>
          </cell>
          <cell r="AM84">
            <v>0.99391860937734278</v>
          </cell>
          <cell r="AN84">
            <v>495.51232403113585</v>
          </cell>
          <cell r="AO84">
            <v>0.26</v>
          </cell>
          <cell r="AW84">
            <v>1865.9205471024566</v>
          </cell>
        </row>
        <row r="85">
          <cell r="A85" t="str">
            <v>2012E</v>
          </cell>
          <cell r="B85">
            <v>12018.715392679298</v>
          </cell>
          <cell r="C85">
            <v>5743.8912489126751</v>
          </cell>
          <cell r="D85">
            <v>6274.8241437666229</v>
          </cell>
          <cell r="E85">
            <v>470.55959774999997</v>
          </cell>
          <cell r="F85">
            <v>3052.4947284582399</v>
          </cell>
          <cell r="G85">
            <v>2751.7698175583832</v>
          </cell>
          <cell r="H85">
            <v>147.66985546260599</v>
          </cell>
          <cell r="I85">
            <v>147.66985546260599</v>
          </cell>
          <cell r="J85">
            <v>147.54985546260599</v>
          </cell>
          <cell r="K85">
            <v>4215.7101560744568</v>
          </cell>
          <cell r="L85">
            <v>3.5000000000000003E-2</v>
          </cell>
          <cell r="M85">
            <v>-0.12</v>
          </cell>
          <cell r="N85">
            <v>-2</v>
          </cell>
          <cell r="O85">
            <v>0.06</v>
          </cell>
          <cell r="P85">
            <v>-15</v>
          </cell>
          <cell r="Q85">
            <v>132.66985546260599</v>
          </cell>
          <cell r="R85">
            <v>2884.4396730209892</v>
          </cell>
          <cell r="S85">
            <v>0.26</v>
          </cell>
          <cell r="T85">
            <v>749.95431498545724</v>
          </cell>
          <cell r="U85">
            <v>2145.8086291678251</v>
          </cell>
          <cell r="V85">
            <v>500</v>
          </cell>
          <cell r="W85">
            <v>4.2916172583356502</v>
          </cell>
          <cell r="AI85" t="str">
            <v>2012E</v>
          </cell>
          <cell r="AL85">
            <v>495.51232403113585</v>
          </cell>
          <cell r="AM85">
            <v>0.99102464806227164</v>
          </cell>
          <cell r="AN85">
            <v>494.22537740692491</v>
          </cell>
          <cell r="AO85">
            <v>0.26</v>
          </cell>
          <cell r="AW85">
            <v>2145.8086291678251</v>
          </cell>
        </row>
        <row r="87">
          <cell r="A87" t="str">
            <v>E = Morgan Stanley Research Estimates            A = Actual          Source: Company data, Morgan Stanley Research</v>
          </cell>
        </row>
      </sheetData>
      <sheetData sheetId="3">
        <row r="1">
          <cell r="A1" t="str">
            <v>Exhibit 3</v>
          </cell>
        </row>
        <row r="2">
          <cell r="A2" t="str">
            <v>Covidien</v>
          </cell>
        </row>
        <row r="3">
          <cell r="A3" t="str">
            <v>Quarterly Margin Analysis 2004-2011E</v>
          </cell>
        </row>
        <row r="4">
          <cell r="J4" t="str">
            <v xml:space="preserve">         Nonoperating Items         </v>
          </cell>
        </row>
        <row r="5">
          <cell r="D5" t="str">
            <v xml:space="preserve"> Gross</v>
          </cell>
          <cell r="G5" t="str">
            <v xml:space="preserve"> Oper</v>
          </cell>
          <cell r="H5" t="str">
            <v xml:space="preserve"> Net   </v>
          </cell>
          <cell r="K5" t="str">
            <v xml:space="preserve"> Pretax</v>
          </cell>
          <cell r="L5" t="str">
            <v xml:space="preserve"> Net</v>
          </cell>
        </row>
        <row r="6">
          <cell r="B6" t="str">
            <v>Sales</v>
          </cell>
          <cell r="C6" t="str">
            <v xml:space="preserve"> COGS</v>
          </cell>
          <cell r="D6" t="str">
            <v xml:space="preserve"> Profit</v>
          </cell>
          <cell r="E6" t="str">
            <v xml:space="preserve"> R&amp;D</v>
          </cell>
          <cell r="F6" t="str">
            <v xml:space="preserve"> SG&amp;A</v>
          </cell>
          <cell r="G6" t="str">
            <v xml:space="preserve"> Profit</v>
          </cell>
          <cell r="H6" t="str">
            <v xml:space="preserve"> Interest</v>
          </cell>
          <cell r="I6" t="str">
            <v xml:space="preserve"> Other</v>
          </cell>
          <cell r="J6" t="str">
            <v xml:space="preserve"> Total</v>
          </cell>
          <cell r="K6" t="str">
            <v xml:space="preserve"> Income</v>
          </cell>
          <cell r="L6" t="str">
            <v>Income</v>
          </cell>
        </row>
        <row r="8">
          <cell r="A8" t="str">
            <v>2004A</v>
          </cell>
        </row>
        <row r="9">
          <cell r="A9" t="str">
            <v>Year</v>
          </cell>
          <cell r="B9">
            <v>1</v>
          </cell>
          <cell r="C9">
            <v>0.50839828740805793</v>
          </cell>
          <cell r="D9">
            <v>0.49160171259194207</v>
          </cell>
          <cell r="E9">
            <v>2.349324843561313E-2</v>
          </cell>
          <cell r="F9">
            <v>0.21615984191458998</v>
          </cell>
          <cell r="G9">
            <v>0.25194862224173897</v>
          </cell>
          <cell r="H9">
            <v>-2.2285651553408718E-2</v>
          </cell>
          <cell r="I9">
            <v>-7.6847074322099022E-3</v>
          </cell>
          <cell r="J9">
            <v>-2.997035898561862E-2</v>
          </cell>
          <cell r="K9">
            <v>0.22197826325612036</v>
          </cell>
          <cell r="L9">
            <v>0.1570699308376331</v>
          </cell>
        </row>
        <row r="11">
          <cell r="A11" t="str">
            <v>2005A</v>
          </cell>
        </row>
        <row r="12">
          <cell r="A12" t="str">
            <v>Year</v>
          </cell>
          <cell r="B12">
            <v>1</v>
          </cell>
          <cell r="C12">
            <v>0.50707918196119561</v>
          </cell>
          <cell r="D12">
            <v>0.49292081803880439</v>
          </cell>
          <cell r="E12">
            <v>2.433141059255375E-2</v>
          </cell>
          <cell r="F12">
            <v>0.21478762454116412</v>
          </cell>
          <cell r="G12">
            <v>0.25380178290508654</v>
          </cell>
          <cell r="H12">
            <v>-1.740954378605139E-2</v>
          </cell>
          <cell r="I12">
            <v>-2.6009438909281594E-2</v>
          </cell>
          <cell r="J12">
            <v>-4.341898269533298E-2</v>
          </cell>
          <cell r="K12">
            <v>0.21038280020975353</v>
          </cell>
          <cell r="L12">
            <v>0.14743051914001049</v>
          </cell>
        </row>
        <row r="14">
          <cell r="A14" t="str">
            <v>2006A</v>
          </cell>
        </row>
        <row r="15">
          <cell r="A15" t="str">
            <v>1QA</v>
          </cell>
          <cell r="B15">
            <v>1</v>
          </cell>
          <cell r="C15">
            <v>0.52659110723626856</v>
          </cell>
          <cell r="D15">
            <v>0.47340889276373149</v>
          </cell>
          <cell r="E15">
            <v>2.6155187445510025E-2</v>
          </cell>
          <cell r="F15">
            <v>0.21970357454228423</v>
          </cell>
          <cell r="G15">
            <v>0.22755013077593722</v>
          </cell>
          <cell r="H15">
            <v>-1.6129032258064516E-2</v>
          </cell>
          <cell r="I15">
            <v>-1.6129032258064516E-2</v>
          </cell>
          <cell r="J15">
            <v>3.9232781168265039E-3</v>
          </cell>
          <cell r="K15">
            <v>0.21011333914559721</v>
          </cell>
          <cell r="L15">
            <v>0.15518744551002617</v>
          </cell>
        </row>
        <row r="16">
          <cell r="A16" t="str">
            <v>2QA</v>
          </cell>
          <cell r="B16">
            <v>1</v>
          </cell>
          <cell r="C16">
            <v>0.54235880398671099</v>
          </cell>
          <cell r="D16">
            <v>0.45764119601328901</v>
          </cell>
          <cell r="E16">
            <v>2.9069767441860465E-2</v>
          </cell>
          <cell r="F16">
            <v>0.21636212624584716</v>
          </cell>
          <cell r="G16">
            <v>0.21220930232558138</v>
          </cell>
          <cell r="H16">
            <v>-1.5365448504983389E-2</v>
          </cell>
          <cell r="I16">
            <v>-1.5365448504983389E-2</v>
          </cell>
          <cell r="J16">
            <v>3.3222591362126247E-3</v>
          </cell>
          <cell r="K16">
            <v>0.19601328903654486</v>
          </cell>
          <cell r="L16">
            <v>0.14867109634551495</v>
          </cell>
        </row>
        <row r="17">
          <cell r="A17" t="str">
            <v>3QA</v>
          </cell>
          <cell r="B17">
            <v>1</v>
          </cell>
          <cell r="C17">
            <v>0.53003246753246758</v>
          </cell>
          <cell r="D17">
            <v>0.46996753246753248</v>
          </cell>
          <cell r="E17">
            <v>2.5974025974025976E-2</v>
          </cell>
          <cell r="F17">
            <v>0.21753246753246752</v>
          </cell>
          <cell r="G17">
            <v>0.22646103896103897</v>
          </cell>
          <cell r="H17">
            <v>-1.3798701298701298E-2</v>
          </cell>
          <cell r="I17">
            <v>-1.3798701298701298E-2</v>
          </cell>
          <cell r="J17">
            <v>2.435064935064935E-3</v>
          </cell>
          <cell r="K17">
            <v>0.2122564935064935</v>
          </cell>
          <cell r="L17">
            <v>0.15746753246753248</v>
          </cell>
        </row>
        <row r="18">
          <cell r="A18" t="str">
            <v>4QA</v>
          </cell>
          <cell r="B18">
            <v>1</v>
          </cell>
          <cell r="C18">
            <v>0.54050785973397819</v>
          </cell>
          <cell r="D18">
            <v>0.45949214026602175</v>
          </cell>
          <cell r="E18">
            <v>2.7408303103587262E-2</v>
          </cell>
          <cell r="F18">
            <v>0.20959290608625555</v>
          </cell>
          <cell r="G18">
            <v>0.22249093107617895</v>
          </cell>
          <cell r="H18">
            <v>-1.2494961708988311E-2</v>
          </cell>
          <cell r="I18">
            <v>-1.2494961708988311E-2</v>
          </cell>
          <cell r="J18">
            <v>3.6275695284159614E-3</v>
          </cell>
          <cell r="K18">
            <v>0.2063683998387747</v>
          </cell>
          <cell r="L18">
            <v>0.15840386940749698</v>
          </cell>
        </row>
        <row r="19">
          <cell r="A19" t="str">
            <v>Year</v>
          </cell>
          <cell r="B19">
            <v>1</v>
          </cell>
          <cell r="C19">
            <v>0.5349849694205453</v>
          </cell>
          <cell r="D19">
            <v>0.46501503057945476</v>
          </cell>
          <cell r="E19">
            <v>2.7158702187208457E-2</v>
          </cell>
          <cell r="F19">
            <v>0.21571472996786567</v>
          </cell>
          <cell r="G19">
            <v>0.22214159842438064</v>
          </cell>
          <cell r="H19">
            <v>-1.4408624442831969E-2</v>
          </cell>
          <cell r="I19">
            <v>-1.4408624442831969E-2</v>
          </cell>
          <cell r="J19">
            <v>3.3170933969109569E-3</v>
          </cell>
          <cell r="K19">
            <v>0.20617808645174665</v>
          </cell>
          <cell r="L19">
            <v>0.15497045713693375</v>
          </cell>
        </row>
        <row r="21">
          <cell r="A21" t="str">
            <v>2007E</v>
          </cell>
        </row>
        <row r="22">
          <cell r="A22" t="str">
            <v>1QA</v>
          </cell>
          <cell r="B22">
            <v>1</v>
          </cell>
          <cell r="C22">
            <v>0.5246838025295798</v>
          </cell>
          <cell r="D22">
            <v>0.47531619747042025</v>
          </cell>
          <cell r="E22">
            <v>2.5703794369645042E-2</v>
          </cell>
          <cell r="F22">
            <v>0.23663810689514483</v>
          </cell>
          <cell r="G22">
            <v>0.21297429620563035</v>
          </cell>
          <cell r="H22">
            <v>-1.2647898816809465E-2</v>
          </cell>
          <cell r="I22">
            <v>-1.2647898816809465E-2</v>
          </cell>
          <cell r="J22">
            <v>3.6719706242350062E-3</v>
          </cell>
          <cell r="K22">
            <v>0.20032639738882088</v>
          </cell>
          <cell r="L22">
            <v>0.14728682170542637</v>
          </cell>
        </row>
        <row r="23">
          <cell r="A23" t="str">
            <v>2QA</v>
          </cell>
          <cell r="B23">
            <v>1</v>
          </cell>
          <cell r="C23">
            <v>0.53406853091768414</v>
          </cell>
          <cell r="D23">
            <v>0.46593146908231586</v>
          </cell>
          <cell r="E23">
            <v>2.5994486018117369E-2</v>
          </cell>
          <cell r="F23">
            <v>0.23552579755809375</v>
          </cell>
          <cell r="G23">
            <v>0.20441118550610476</v>
          </cell>
          <cell r="H23">
            <v>-1.1421819614021268E-2</v>
          </cell>
          <cell r="I23">
            <v>-1.1421819614021268E-2</v>
          </cell>
          <cell r="J23">
            <v>3.9385584875935411E-3</v>
          </cell>
          <cell r="K23">
            <v>0.19535250098463963</v>
          </cell>
          <cell r="L23">
            <v>0.15636077195746356</v>
          </cell>
        </row>
        <row r="24">
          <cell r="A24" t="str">
            <v>3QE</v>
          </cell>
          <cell r="B24">
            <v>1</v>
          </cell>
          <cell r="C24">
            <v>0.52590266875981162</v>
          </cell>
          <cell r="D24">
            <v>0.47409733124018838</v>
          </cell>
          <cell r="E24">
            <v>2.9434850863422291E-2</v>
          </cell>
          <cell r="F24">
            <v>0.24921507064364207</v>
          </cell>
          <cell r="G24">
            <v>0.19544740973312402</v>
          </cell>
          <cell r="H24">
            <v>-1.9217182870382703E-2</v>
          </cell>
          <cell r="I24">
            <v>-1.9217182870382703E-2</v>
          </cell>
          <cell r="J24">
            <v>2.5543045707475944E-3</v>
          </cell>
          <cell r="K24">
            <v>0.17466036815002547</v>
          </cell>
          <cell r="L24">
            <v>0.12837537059026871</v>
          </cell>
        </row>
        <row r="25">
          <cell r="A25" t="str">
            <v>4QE</v>
          </cell>
          <cell r="B25">
            <v>1</v>
          </cell>
          <cell r="C25">
            <v>0.52550824702723442</v>
          </cell>
          <cell r="D25">
            <v>0.47449175297276563</v>
          </cell>
          <cell r="E25">
            <v>2.9535864978902954E-2</v>
          </cell>
          <cell r="F25">
            <v>0.25316455696202533</v>
          </cell>
          <cell r="G25">
            <v>0.19179133103183735</v>
          </cell>
          <cell r="H25">
            <v>-2.2445448690153118E-2</v>
          </cell>
          <cell r="I25">
            <v>-2.2445448690153118E-2</v>
          </cell>
          <cell r="J25">
            <v>3.1702014824590793E-3</v>
          </cell>
          <cell r="K25">
            <v>0.16397572507279279</v>
          </cell>
          <cell r="L25">
            <v>0.11150349304949908</v>
          </cell>
        </row>
        <row r="26">
          <cell r="A26" t="str">
            <v>Year</v>
          </cell>
          <cell r="B26">
            <v>1</v>
          </cell>
          <cell r="C26">
            <v>0.52755051749630355</v>
          </cell>
          <cell r="D26">
            <v>0.47244948250369639</v>
          </cell>
          <cell r="E26">
            <v>2.7698373583045836E-2</v>
          </cell>
          <cell r="F26">
            <v>0.24376540167570232</v>
          </cell>
          <cell r="G26">
            <v>0.20098570724494824</v>
          </cell>
          <cell r="H26">
            <v>-1.6508690654407521E-2</v>
          </cell>
          <cell r="I26">
            <v>-1.6508690654407521E-2</v>
          </cell>
          <cell r="J26">
            <v>3.3290372903928725E-3</v>
          </cell>
          <cell r="K26">
            <v>0.18329416789660283</v>
          </cell>
          <cell r="L26">
            <v>0.13561262204475591</v>
          </cell>
        </row>
        <row r="28">
          <cell r="A28" t="str">
            <v>2008E</v>
          </cell>
        </row>
        <row r="29">
          <cell r="A29" t="str">
            <v>1QE</v>
          </cell>
          <cell r="B29">
            <v>1</v>
          </cell>
          <cell r="C29">
            <v>0.5207765077399622</v>
          </cell>
          <cell r="D29">
            <v>0.4792234922600378</v>
          </cell>
          <cell r="E29">
            <v>2.9437360917230784E-2</v>
          </cell>
          <cell r="F29">
            <v>0.25294324936287194</v>
          </cell>
          <cell r="G29">
            <v>0.19684288197993507</v>
          </cell>
          <cell r="H29">
            <v>-2.1915055910709219E-2</v>
          </cell>
          <cell r="I29">
            <v>-2.1915055910709219E-2</v>
          </cell>
          <cell r="J29">
            <v>3.7228995944861257E-3</v>
          </cell>
          <cell r="K29">
            <v>0.17181276142189986</v>
          </cell>
          <cell r="L29">
            <v>0.11683267776689192</v>
          </cell>
        </row>
        <row r="30">
          <cell r="A30" t="str">
            <v>2QE</v>
          </cell>
          <cell r="B30">
            <v>1</v>
          </cell>
          <cell r="C30">
            <v>0.53043561663930305</v>
          </cell>
          <cell r="D30">
            <v>0.46956438336069684</v>
          </cell>
          <cell r="E30">
            <v>2.9293117358654495E-2</v>
          </cell>
          <cell r="F30">
            <v>0.24292073593879587</v>
          </cell>
          <cell r="G30">
            <v>0.19735053006324665</v>
          </cell>
          <cell r="H30">
            <v>-2.0149443207659237E-2</v>
          </cell>
          <cell r="I30">
            <v>-2.0149443207659237E-2</v>
          </cell>
          <cell r="J30">
            <v>3.9107453470368543E-3</v>
          </cell>
          <cell r="K30">
            <v>0.17419203525223309</v>
          </cell>
          <cell r="L30">
            <v>0.11888606405964909</v>
          </cell>
        </row>
        <row r="31">
          <cell r="A31" t="str">
            <v>3QE</v>
          </cell>
          <cell r="B31">
            <v>1</v>
          </cell>
          <cell r="C31">
            <v>0.51899022146014417</v>
          </cell>
          <cell r="D31">
            <v>0.48100977853985583</v>
          </cell>
          <cell r="E31">
            <v>3.2432188524081605E-2</v>
          </cell>
          <cell r="F31">
            <v>0.24832715711656222</v>
          </cell>
          <cell r="G31">
            <v>0.20025043289921202</v>
          </cell>
          <cell r="H31">
            <v>-1.9124256949692643E-2</v>
          </cell>
          <cell r="I31">
            <v>-1.9124256949692643E-2</v>
          </cell>
          <cell r="J31">
            <v>4.2240985973396716E-3</v>
          </cell>
          <cell r="K31">
            <v>0.17849399833017363</v>
          </cell>
          <cell r="L31">
            <v>0.12226838885616893</v>
          </cell>
        </row>
        <row r="32">
          <cell r="A32" t="str">
            <v>4QE</v>
          </cell>
          <cell r="B32">
            <v>1</v>
          </cell>
          <cell r="C32">
            <v>0.51734428710536506</v>
          </cell>
          <cell r="D32">
            <v>0.48265571289463488</v>
          </cell>
          <cell r="E32">
            <v>3.2746929150486291E-2</v>
          </cell>
          <cell r="F32">
            <v>0.25165127820078137</v>
          </cell>
          <cell r="G32">
            <v>0.19825750554336724</v>
          </cell>
          <cell r="H32">
            <v>-1.7652138370304465E-2</v>
          </cell>
          <cell r="I32">
            <v>-1.7652138370304465E-2</v>
          </cell>
          <cell r="J32">
            <v>4.4250918818160949E-3</v>
          </cell>
          <cell r="K32">
            <v>0.1780389934151877</v>
          </cell>
          <cell r="L32">
            <v>0.1228469054564795</v>
          </cell>
        </row>
        <row r="33">
          <cell r="A33" t="str">
            <v>Year</v>
          </cell>
          <cell r="B33">
            <v>1</v>
          </cell>
          <cell r="C33">
            <v>0.52186641358707986</v>
          </cell>
          <cell r="D33">
            <v>0.47813358641291992</v>
          </cell>
          <cell r="E33">
            <v>3.1002123746759994E-2</v>
          </cell>
          <cell r="F33">
            <v>0.24894408584907798</v>
          </cell>
          <cell r="G33">
            <v>0.19818737681708187</v>
          </cell>
          <cell r="H33">
            <v>-1.9678018801307446E-2</v>
          </cell>
          <cell r="I33">
            <v>-2.8265118140185373E-3</v>
          </cell>
          <cell r="J33">
            <v>-2.2504530615325976E-2</v>
          </cell>
          <cell r="K33">
            <v>0.17568284620175606</v>
          </cell>
          <cell r="L33">
            <v>0.12025456973318702</v>
          </cell>
        </row>
        <row r="35">
          <cell r="A35" t="str">
            <v>2009E</v>
          </cell>
          <cell r="B35">
            <v>1</v>
          </cell>
          <cell r="C35">
            <v>0.5126161345705178</v>
          </cell>
          <cell r="D35">
            <v>0.4873838654294822</v>
          </cell>
          <cell r="E35">
            <v>3.3852939067526421E-2</v>
          </cell>
          <cell r="F35">
            <v>0.25057225491968299</v>
          </cell>
          <cell r="G35">
            <v>0.20295867144227278</v>
          </cell>
          <cell r="H35">
            <v>-1.480144849384708E-2</v>
          </cell>
          <cell r="I35">
            <v>-2.7434889585190841E-3</v>
          </cell>
          <cell r="J35">
            <v>-1.7544937452366162E-2</v>
          </cell>
          <cell r="K35">
            <v>0.18541373398990663</v>
          </cell>
          <cell r="L35">
            <v>0.13164375113283369</v>
          </cell>
        </row>
        <row r="36">
          <cell r="A36" t="str">
            <v>2010E</v>
          </cell>
          <cell r="B36">
            <v>1</v>
          </cell>
          <cell r="C36">
            <v>0.50074413050337563</v>
          </cell>
          <cell r="D36">
            <v>0.49925586949662437</v>
          </cell>
          <cell r="E36">
            <v>3.610502132200525E-2</v>
          </cell>
          <cell r="F36">
            <v>0.25266486939216454</v>
          </cell>
          <cell r="G36">
            <v>0.21048597878245456</v>
          </cell>
          <cell r="H36">
            <v>-9.5644417633087165E-3</v>
          </cell>
          <cell r="I36">
            <v>-1.7733338280298318E-3</v>
          </cell>
          <cell r="J36">
            <v>-1.1337775591338549E-2</v>
          </cell>
          <cell r="K36">
            <v>0.19914820319111601</v>
          </cell>
          <cell r="L36">
            <v>0.14338670629760353</v>
          </cell>
        </row>
        <row r="37">
          <cell r="A37" t="str">
            <v>2011E</v>
          </cell>
          <cell r="B37">
            <v>1</v>
          </cell>
          <cell r="C37">
            <v>0.48737585326724325</v>
          </cell>
          <cell r="D37">
            <v>0.5126241467327568</v>
          </cell>
          <cell r="E37">
            <v>3.7688602313181239E-2</v>
          </cell>
          <cell r="F37">
            <v>0.25397845183334156</v>
          </cell>
          <cell r="G37">
            <v>0.220957092586234</v>
          </cell>
          <cell r="H37">
            <v>-3.8357451570509467E-3</v>
          </cell>
          <cell r="I37">
            <v>-1.0283960969346675E-3</v>
          </cell>
          <cell r="J37">
            <v>-4.8641412539856144E-3</v>
          </cell>
          <cell r="K37">
            <v>0.2160929513322484</v>
          </cell>
          <cell r="L37">
            <v>0.15990878398586381</v>
          </cell>
        </row>
        <row r="40">
          <cell r="A40" t="str">
            <v>E = Morgan Stanley Research Estimates           A = Actual          Source: Company data, Morgan Stanley Research</v>
          </cell>
        </row>
        <row r="49">
          <cell r="N49" t="str">
            <v>Tyco Healthcare, Quarterly Margin Analysis and Outlook</v>
          </cell>
        </row>
        <row r="50">
          <cell r="N50" t="str">
            <v>($MM)</v>
          </cell>
        </row>
        <row r="51">
          <cell r="O51" t="str">
            <v>Actuals</v>
          </cell>
          <cell r="Q51" t="str">
            <v>Change</v>
          </cell>
          <cell r="S51" t="str">
            <v>Var.</v>
          </cell>
          <cell r="T51">
            <v>2006</v>
          </cell>
          <cell r="V51" t="str">
            <v>2004 Prior</v>
          </cell>
          <cell r="AA51" t="str">
            <v>z_is_2c03</v>
          </cell>
          <cell r="AC51">
            <v>2005</v>
          </cell>
          <cell r="AF51">
            <v>2002</v>
          </cell>
        </row>
        <row r="52">
          <cell r="O52" t="str">
            <v>4Q05</v>
          </cell>
          <cell r="P52" t="str">
            <v>4Q06</v>
          </cell>
          <cell r="Q52" t="str">
            <v>Y/Y</v>
          </cell>
          <cell r="R52" t="str">
            <v>4Q06 Est.</v>
          </cell>
          <cell r="S52" t="str">
            <v xml:space="preserve">From Est. </v>
          </cell>
          <cell r="T52" t="str">
            <v>Est.</v>
          </cell>
          <cell r="U52" t="str">
            <v>Y/Y Chg.</v>
          </cell>
          <cell r="V52" t="str">
            <v>Est.</v>
          </cell>
          <cell r="W52" t="str">
            <v>Y/Y Chg.</v>
          </cell>
          <cell r="X52" t="str">
            <v>Delta</v>
          </cell>
          <cell r="AC52" t="str">
            <v>Act.</v>
          </cell>
          <cell r="AD52" t="str">
            <v>Y/Y Chg.</v>
          </cell>
          <cell r="AF52" t="str">
            <v>Act.</v>
          </cell>
          <cell r="AG52" t="str">
            <v>Y/Y Chg.</v>
          </cell>
        </row>
        <row r="54">
          <cell r="N54" t="str">
            <v>Sales</v>
          </cell>
          <cell r="O54">
            <v>0</v>
          </cell>
          <cell r="P54">
            <v>2481</v>
          </cell>
          <cell r="Q54" t="e">
            <v>#DIV/0!</v>
          </cell>
          <cell r="R54" t="e">
            <v>#REF!</v>
          </cell>
          <cell r="S54" t="e">
            <v>#REF!</v>
          </cell>
          <cell r="T54">
            <v>9647</v>
          </cell>
          <cell r="U54">
            <v>1.1746198217094914E-2</v>
          </cell>
          <cell r="V54" t="e">
            <v>#REF!</v>
          </cell>
          <cell r="W54" t="e">
            <v>#REF!</v>
          </cell>
          <cell r="X54" t="e">
            <v>#REF!</v>
          </cell>
          <cell r="AA54" t="str">
            <v>z_sales_tot</v>
          </cell>
          <cell r="AC54">
            <v>9535</v>
          </cell>
          <cell r="AD54">
            <v>4.6766933801734467E-2</v>
          </cell>
          <cell r="AF54" t="e">
            <v>#REF!</v>
          </cell>
        </row>
        <row r="56">
          <cell r="N56" t="str">
            <v>COGS</v>
          </cell>
          <cell r="O56">
            <v>0</v>
          </cell>
          <cell r="P56">
            <v>1341</v>
          </cell>
          <cell r="Q56" t="e">
            <v>#DIV/0!</v>
          </cell>
          <cell r="R56" t="e">
            <v>#REF!</v>
          </cell>
          <cell r="S56" t="e">
            <v>#REF!</v>
          </cell>
          <cell r="T56">
            <v>5161</v>
          </cell>
          <cell r="U56">
            <v>6.742502585315413E-2</v>
          </cell>
          <cell r="V56" t="e">
            <v>#REF!</v>
          </cell>
          <cell r="W56" t="e">
            <v>#REF!</v>
          </cell>
          <cell r="X56" t="e">
            <v>#REF!</v>
          </cell>
          <cell r="AA56" t="str">
            <v>z_cogs</v>
          </cell>
          <cell r="AC56">
            <v>4835</v>
          </cell>
          <cell r="AD56">
            <v>4.4050960915569037E-2</v>
          </cell>
          <cell r="AF56" t="e">
            <v>#REF!</v>
          </cell>
        </row>
        <row r="57">
          <cell r="N57" t="str">
            <v>Gross Margin</v>
          </cell>
          <cell r="O57" t="e">
            <v>#DIV/0!</v>
          </cell>
          <cell r="P57">
            <v>0.45949214026602181</v>
          </cell>
          <cell r="Q57" t="e">
            <v>#DIV/0!</v>
          </cell>
          <cell r="R57" t="e">
            <v>#REF!</v>
          </cell>
          <cell r="S57" t="e">
            <v>#REF!</v>
          </cell>
          <cell r="T57">
            <v>0.4650150305794547</v>
          </cell>
          <cell r="U57" t="str">
            <v>-280 bp</v>
          </cell>
          <cell r="V57" t="e">
            <v>#REF!</v>
          </cell>
          <cell r="W57" t="e">
            <v>#REF!</v>
          </cell>
          <cell r="AC57">
            <v>0.49292081803880439</v>
          </cell>
          <cell r="AD57" t="e">
            <v>#REF!</v>
          </cell>
          <cell r="AF57" t="e">
            <v>#REF!</v>
          </cell>
        </row>
        <row r="58">
          <cell r="N58" t="str">
            <v>R&amp;D</v>
          </cell>
          <cell r="O58">
            <v>0</v>
          </cell>
          <cell r="P58">
            <v>68</v>
          </cell>
          <cell r="Q58" t="e">
            <v>#DIV/0!</v>
          </cell>
          <cell r="R58" t="e">
            <v>#REF!</v>
          </cell>
          <cell r="S58" t="e">
            <v>#REF!</v>
          </cell>
          <cell r="T58">
            <v>262</v>
          </cell>
          <cell r="U58">
            <v>0.1293103448275863</v>
          </cell>
          <cell r="V58" t="e">
            <v>#REF!</v>
          </cell>
          <cell r="W58" t="e">
            <v>#REF!</v>
          </cell>
          <cell r="X58" t="e">
            <v>#REF!</v>
          </cell>
          <cell r="AA58" t="str">
            <v>z_rnd</v>
          </cell>
          <cell r="AC58">
            <v>232</v>
          </cell>
          <cell r="AD58">
            <v>8.4112149532710179E-2</v>
          </cell>
          <cell r="AF58" t="e">
            <v>#REF!</v>
          </cell>
        </row>
        <row r="59">
          <cell r="N59" t="str">
            <v>% of Sales</v>
          </cell>
          <cell r="O59" t="e">
            <v>#DIV/0!</v>
          </cell>
          <cell r="P59">
            <v>2.7408303103587262E-2</v>
          </cell>
          <cell r="Q59" t="e">
            <v>#DIV/0!</v>
          </cell>
          <cell r="R59" t="e">
            <v>#REF!</v>
          </cell>
          <cell r="S59" t="e">
            <v>#REF!</v>
          </cell>
          <cell r="T59">
            <v>2.7158702187208457E-2</v>
          </cell>
          <cell r="U59" t="str">
            <v>+30 bp</v>
          </cell>
          <cell r="V59" t="e">
            <v>#REF!</v>
          </cell>
          <cell r="W59" t="e">
            <v>#REF!</v>
          </cell>
          <cell r="AC59">
            <v>2.433141059255375E-2</v>
          </cell>
          <cell r="AD59" t="e">
            <v>#REF!</v>
          </cell>
          <cell r="AF59" t="e">
            <v>#REF!</v>
          </cell>
        </row>
        <row r="60">
          <cell r="N60" t="str">
            <v>SG&amp;A</v>
          </cell>
          <cell r="O60">
            <v>0</v>
          </cell>
          <cell r="P60">
            <v>520</v>
          </cell>
          <cell r="Q60" t="e">
            <v>#DIV/0!</v>
          </cell>
          <cell r="R60" t="e">
            <v>#REF!</v>
          </cell>
          <cell r="S60" t="e">
            <v>#REF!</v>
          </cell>
          <cell r="T60">
            <v>2081</v>
          </cell>
          <cell r="U60">
            <v>1.611328125E-2</v>
          </cell>
          <cell r="V60" t="e">
            <v>#REF!</v>
          </cell>
          <cell r="W60" t="e">
            <v>#REF!</v>
          </cell>
          <cell r="X60" t="e">
            <v>#REF!</v>
          </cell>
          <cell r="AA60" t="str">
            <v>z_sga</v>
          </cell>
          <cell r="AC60">
            <v>2048</v>
          </cell>
          <cell r="AD60">
            <v>4.0121889283900369E-2</v>
          </cell>
          <cell r="AF60" t="e">
            <v>#REF!</v>
          </cell>
        </row>
        <row r="61">
          <cell r="N61" t="str">
            <v>% of Sales</v>
          </cell>
          <cell r="O61" t="e">
            <v>#DIV/0!</v>
          </cell>
          <cell r="P61">
            <v>0.20959290608625555</v>
          </cell>
          <cell r="Q61" t="e">
            <v>#DIV/0!</v>
          </cell>
          <cell r="R61" t="e">
            <v>#REF!</v>
          </cell>
          <cell r="S61" t="e">
            <v>#REF!</v>
          </cell>
          <cell r="T61">
            <v>0.21571472996786567</v>
          </cell>
          <cell r="U61" t="str">
            <v>+10 bp</v>
          </cell>
          <cell r="V61" t="e">
            <v>#REF!</v>
          </cell>
          <cell r="W61" t="e">
            <v>#REF!</v>
          </cell>
          <cell r="AC61">
            <v>0.21478762454116412</v>
          </cell>
          <cell r="AD61" t="e">
            <v>#REF!</v>
          </cell>
          <cell r="AF61" t="e">
            <v>#REF!</v>
          </cell>
        </row>
        <row r="62">
          <cell r="N62" t="str">
            <v>Op. Income</v>
          </cell>
          <cell r="O62">
            <v>0</v>
          </cell>
          <cell r="P62">
            <v>552</v>
          </cell>
          <cell r="Q62" t="e">
            <v>#DIV/0!</v>
          </cell>
          <cell r="R62" t="e">
            <v>#REF!</v>
          </cell>
          <cell r="S62" t="e">
            <v>#REF!</v>
          </cell>
          <cell r="T62">
            <v>2143</v>
          </cell>
          <cell r="U62">
            <v>-0.11446280991735537</v>
          </cell>
          <cell r="V62" t="e">
            <v>#REF!</v>
          </cell>
          <cell r="W62" t="e">
            <v>#REF!</v>
          </cell>
          <cell r="X62" t="e">
            <v>#REF!</v>
          </cell>
          <cell r="AA62" t="str">
            <v>z_op</v>
          </cell>
          <cell r="AC62">
            <v>2420</v>
          </cell>
          <cell r="AD62">
            <v>5.4466230936819127E-2</v>
          </cell>
          <cell r="AF62" t="e">
            <v>#REF!</v>
          </cell>
        </row>
        <row r="63">
          <cell r="N63" t="str">
            <v>Op. Margin</v>
          </cell>
          <cell r="O63" t="e">
            <v>#DIV/0!</v>
          </cell>
          <cell r="P63">
            <v>0.22249093107617895</v>
          </cell>
          <cell r="Q63" t="e">
            <v>#DIV/0!</v>
          </cell>
          <cell r="R63" t="e">
            <v>#REF!</v>
          </cell>
          <cell r="S63" t="e">
            <v>#REF!</v>
          </cell>
          <cell r="T63">
            <v>0.22214159842438064</v>
          </cell>
          <cell r="U63" t="str">
            <v>-320 bp</v>
          </cell>
          <cell r="V63" t="e">
            <v>#REF!</v>
          </cell>
          <cell r="W63" t="e">
            <v>#REF!</v>
          </cell>
          <cell r="AC63">
            <v>0.25380178290508654</v>
          </cell>
          <cell r="AD63" t="e">
            <v>#REF!</v>
          </cell>
          <cell r="AF63" t="e">
            <v>#REF!</v>
          </cell>
        </row>
        <row r="64">
          <cell r="N64" t="str">
            <v>Net Interest</v>
          </cell>
          <cell r="O64">
            <v>0</v>
          </cell>
          <cell r="P64">
            <v>-31</v>
          </cell>
          <cell r="Q64" t="e">
            <v>#DIV/0!</v>
          </cell>
          <cell r="R64" t="e">
            <v>#REF!</v>
          </cell>
          <cell r="S64" t="e">
            <v>#REF!</v>
          </cell>
          <cell r="T64">
            <v>-139</v>
          </cell>
          <cell r="U64" t="str">
            <v xml:space="preserve">      --</v>
          </cell>
          <cell r="V64" t="e">
            <v>#REF!</v>
          </cell>
          <cell r="W64" t="e">
            <v>#REF!</v>
          </cell>
          <cell r="X64" t="e">
            <v>#REF!</v>
          </cell>
          <cell r="AA64" t="str">
            <v>z_int</v>
          </cell>
          <cell r="AC64">
            <v>-166</v>
          </cell>
          <cell r="AD64" t="str">
            <v xml:space="preserve">      --</v>
          </cell>
          <cell r="AF64" t="e">
            <v>#REF!</v>
          </cell>
        </row>
        <row r="65">
          <cell r="N65" t="str">
            <v>% of Sales</v>
          </cell>
          <cell r="O65" t="e">
            <v>#DIV/0!</v>
          </cell>
          <cell r="P65">
            <v>-1.2494961708988311E-2</v>
          </cell>
          <cell r="Q65" t="e">
            <v>#DIV/0!</v>
          </cell>
          <cell r="R65" t="e">
            <v>#REF!</v>
          </cell>
          <cell r="S65" t="e">
            <v>#REF!</v>
          </cell>
          <cell r="T65">
            <v>-1.4408624442831969E-2</v>
          </cell>
          <cell r="U65" t="str">
            <v>+30 bp</v>
          </cell>
          <cell r="V65" t="e">
            <v>#REF!</v>
          </cell>
          <cell r="W65" t="e">
            <v>#REF!</v>
          </cell>
          <cell r="AC65">
            <v>-1.740954378605139E-2</v>
          </cell>
          <cell r="AD65" t="e">
            <v>#REF!</v>
          </cell>
          <cell r="AF65" t="e">
            <v>#REF!</v>
          </cell>
        </row>
        <row r="66">
          <cell r="N66" t="str">
            <v>Other</v>
          </cell>
          <cell r="O66">
            <v>0</v>
          </cell>
          <cell r="P66">
            <v>-9</v>
          </cell>
          <cell r="Q66" t="e">
            <v>#DIV/0!</v>
          </cell>
          <cell r="R66" t="e">
            <v>#REF!</v>
          </cell>
          <cell r="S66" t="e">
            <v>#REF!</v>
          </cell>
          <cell r="T66">
            <v>-15</v>
          </cell>
          <cell r="U66" t="str">
            <v xml:space="preserve">      --</v>
          </cell>
          <cell r="V66" t="e">
            <v>#REF!</v>
          </cell>
          <cell r="W66" t="e">
            <v>#REF!</v>
          </cell>
          <cell r="X66" t="e">
            <v>#REF!</v>
          </cell>
          <cell r="AA66" t="str">
            <v>z_other</v>
          </cell>
          <cell r="AC66">
            <v>-248</v>
          </cell>
          <cell r="AD66" t="str">
            <v xml:space="preserve">      --</v>
          </cell>
          <cell r="AF66" t="e">
            <v>#REF!</v>
          </cell>
        </row>
        <row r="67">
          <cell r="N67" t="str">
            <v>% of Sales</v>
          </cell>
          <cell r="O67" t="e">
            <v>#DIV/0!</v>
          </cell>
          <cell r="P67">
            <v>-3.6275695284159614E-3</v>
          </cell>
          <cell r="Q67" t="e">
            <v>#DIV/0!</v>
          </cell>
          <cell r="R67" t="e">
            <v>#REF!</v>
          </cell>
          <cell r="S67" t="e">
            <v>#REF!</v>
          </cell>
          <cell r="T67">
            <v>-1.5548875298020111E-3</v>
          </cell>
          <cell r="U67" t="str">
            <v>+240 bp</v>
          </cell>
          <cell r="V67" t="e">
            <v>#REF!</v>
          </cell>
          <cell r="W67" t="e">
            <v>#REF!</v>
          </cell>
          <cell r="AC67">
            <v>-2.6009438909281594E-2</v>
          </cell>
          <cell r="AD67" t="e">
            <v>#REF!</v>
          </cell>
          <cell r="AF67" t="e">
            <v>#REF!</v>
          </cell>
        </row>
        <row r="68">
          <cell r="N68" t="str">
            <v>Non-op. Income</v>
          </cell>
          <cell r="O68">
            <v>0</v>
          </cell>
          <cell r="P68">
            <v>-40</v>
          </cell>
          <cell r="Q68" t="e">
            <v>#DIV/0!</v>
          </cell>
          <cell r="R68" t="e">
            <v>#REF!</v>
          </cell>
          <cell r="S68" t="e">
            <v>#REF!</v>
          </cell>
          <cell r="T68">
            <v>-154</v>
          </cell>
          <cell r="U68" t="str">
            <v xml:space="preserve">      --</v>
          </cell>
          <cell r="V68" t="e">
            <v>#REF!</v>
          </cell>
          <cell r="W68" t="e">
            <v>#REF!</v>
          </cell>
          <cell r="X68" t="e">
            <v>#REF!</v>
          </cell>
          <cell r="AA68" t="str">
            <v>z_tot_nonop</v>
          </cell>
          <cell r="AC68">
            <v>-414</v>
          </cell>
          <cell r="AD68" t="str">
            <v xml:space="preserve">      --</v>
          </cell>
          <cell r="AF68" t="e">
            <v>#REF!</v>
          </cell>
        </row>
        <row r="69">
          <cell r="N69" t="str">
            <v>% of Sales</v>
          </cell>
          <cell r="O69" t="e">
            <v>#DIV/0!</v>
          </cell>
          <cell r="P69">
            <v>-1.6122531237404272E-2</v>
          </cell>
          <cell r="Q69" t="e">
            <v>#DIV/0!</v>
          </cell>
          <cell r="R69" t="e">
            <v>#REF!</v>
          </cell>
          <cell r="S69" t="e">
            <v>#REF!</v>
          </cell>
          <cell r="T69">
            <v>-1.596351197263398E-2</v>
          </cell>
          <cell r="U69" t="str">
            <v>+270 bp</v>
          </cell>
          <cell r="V69" t="e">
            <v>#REF!</v>
          </cell>
          <cell r="W69" t="e">
            <v>#REF!</v>
          </cell>
          <cell r="AC69">
            <v>-4.341898269533298E-2</v>
          </cell>
          <cell r="AD69" t="e">
            <v>#REF!</v>
          </cell>
          <cell r="AF69" t="e">
            <v>#REF!</v>
          </cell>
        </row>
        <row r="70">
          <cell r="N70" t="str">
            <v>Pretax Income</v>
          </cell>
          <cell r="O70">
            <v>0</v>
          </cell>
          <cell r="P70">
            <v>512</v>
          </cell>
          <cell r="Q70" t="e">
            <v>#DIV/0!</v>
          </cell>
          <cell r="R70" t="e">
            <v>#REF!</v>
          </cell>
          <cell r="S70" t="e">
            <v>#REF!</v>
          </cell>
          <cell r="T70">
            <v>1989</v>
          </cell>
          <cell r="U70">
            <v>-8.4745762711864406E-3</v>
          </cell>
          <cell r="V70" t="e">
            <v>#REF!</v>
          </cell>
          <cell r="W70" t="e">
            <v>#REF!</v>
          </cell>
          <cell r="X70" t="e">
            <v>#REF!</v>
          </cell>
          <cell r="AA70" t="str">
            <v>z_pretax</v>
          </cell>
          <cell r="AC70">
            <v>2006</v>
          </cell>
          <cell r="AD70">
            <v>-7.9129574678535874E-3</v>
          </cell>
          <cell r="AF70" t="e">
            <v>#REF!</v>
          </cell>
        </row>
        <row r="71">
          <cell r="N71" t="str">
            <v>% of Sales</v>
          </cell>
          <cell r="O71" t="e">
            <v>#DIV/0!</v>
          </cell>
          <cell r="P71">
            <v>0.2063683998387747</v>
          </cell>
          <cell r="Q71" t="e">
            <v>#DIV/0!</v>
          </cell>
          <cell r="R71" t="e">
            <v>#REF!</v>
          </cell>
          <cell r="S71" t="e">
            <v>#REF!</v>
          </cell>
          <cell r="T71">
            <v>0.20617808645174665</v>
          </cell>
          <cell r="U71" t="str">
            <v>-40 bp</v>
          </cell>
          <cell r="V71" t="e">
            <v>#REF!</v>
          </cell>
          <cell r="W71" t="e">
            <v>#REF!</v>
          </cell>
          <cell r="AC71">
            <v>0.21038280020975353</v>
          </cell>
          <cell r="AD71" t="e">
            <v>#REF!</v>
          </cell>
          <cell r="AF71" t="e">
            <v>#REF!</v>
          </cell>
        </row>
        <row r="72">
          <cell r="N72" t="str">
            <v>Net Income</v>
          </cell>
          <cell r="O72">
            <v>0</v>
          </cell>
          <cell r="P72">
            <v>393</v>
          </cell>
          <cell r="Q72" t="e">
            <v>#DIV/0!</v>
          </cell>
          <cell r="R72" t="e">
            <v>#REF!</v>
          </cell>
          <cell r="S72" t="e">
            <v>#REF!</v>
          </cell>
          <cell r="T72">
            <v>1495</v>
          </cell>
          <cell r="U72">
            <v>6.3489240618886722E-2</v>
          </cell>
          <cell r="V72" t="e">
            <v>#REF!</v>
          </cell>
          <cell r="W72" t="e">
            <v>#REF!</v>
          </cell>
          <cell r="X72" t="e">
            <v>#REF!</v>
          </cell>
          <cell r="AA72" t="str">
            <v>z_netinc</v>
          </cell>
          <cell r="AC72">
            <v>1405.75</v>
          </cell>
          <cell r="AD72">
            <v>-1.7473353136466918E-2</v>
          </cell>
          <cell r="AF72" t="e">
            <v>#REF!</v>
          </cell>
        </row>
        <row r="73">
          <cell r="N73" t="str">
            <v>% of Sales</v>
          </cell>
          <cell r="O73" t="e">
            <v>#DIV/0!</v>
          </cell>
          <cell r="P73">
            <v>0.15840386940749698</v>
          </cell>
          <cell r="Q73" t="e">
            <v>#DIV/0!</v>
          </cell>
          <cell r="R73" t="e">
            <v>#REF!</v>
          </cell>
          <cell r="S73" t="e">
            <v>#REF!</v>
          </cell>
          <cell r="T73">
            <v>0.15497045713693375</v>
          </cell>
          <cell r="U73" t="str">
            <v>+80 bp</v>
          </cell>
          <cell r="V73" t="e">
            <v>#REF!</v>
          </cell>
          <cell r="W73" t="e">
            <v>#REF!</v>
          </cell>
          <cell r="AC73">
            <v>0.14743051914001049</v>
          </cell>
          <cell r="AD73" t="e">
            <v>#REF!</v>
          </cell>
          <cell r="AF73" t="e">
            <v>#REF!</v>
          </cell>
        </row>
        <row r="74">
          <cell r="N74" t="str">
            <v>EPS</v>
          </cell>
          <cell r="O74">
            <v>0</v>
          </cell>
          <cell r="P74">
            <v>0.7751479289940828</v>
          </cell>
          <cell r="Q74" t="e">
            <v>#DIV/0!</v>
          </cell>
          <cell r="R74" t="e">
            <v>#REF!</v>
          </cell>
          <cell r="S74" t="e">
            <v>#REF!</v>
          </cell>
          <cell r="T74">
            <v>2.9487179487179489</v>
          </cell>
          <cell r="U74" t="str">
            <v xml:space="preserve">      --</v>
          </cell>
          <cell r="V74" t="e">
            <v>#REF!</v>
          </cell>
          <cell r="W74" t="e">
            <v>#REF!</v>
          </cell>
          <cell r="X74" t="e">
            <v>#REF!</v>
          </cell>
          <cell r="AA74" t="str">
            <v>z_eps</v>
          </cell>
          <cell r="AC74" t="str">
            <v>NM</v>
          </cell>
          <cell r="AD74" t="str">
            <v xml:space="preserve">      --</v>
          </cell>
          <cell r="AF74" t="e">
            <v>#REF!</v>
          </cell>
        </row>
        <row r="75">
          <cell r="N75" t="str">
            <v>FD Shares</v>
          </cell>
          <cell r="O75">
            <v>0</v>
          </cell>
          <cell r="P75">
            <v>507</v>
          </cell>
          <cell r="Q75" t="e">
            <v>#DIV/0!</v>
          </cell>
          <cell r="R75" t="e">
            <v>#REF!</v>
          </cell>
          <cell r="S75" t="e">
            <v>#REF!</v>
          </cell>
          <cell r="T75">
            <v>507</v>
          </cell>
          <cell r="U75" t="str">
            <v xml:space="preserve">      --</v>
          </cell>
          <cell r="V75" t="e">
            <v>#REF!</v>
          </cell>
          <cell r="W75" t="e">
            <v>#REF!</v>
          </cell>
          <cell r="X75" t="e">
            <v>#REF!</v>
          </cell>
          <cell r="AA75" t="str">
            <v>z_fdshares</v>
          </cell>
          <cell r="AC75" t="str">
            <v>NM</v>
          </cell>
          <cell r="AD75" t="str">
            <v xml:space="preserve">      --</v>
          </cell>
          <cell r="AF75" t="e">
            <v>#REF!</v>
          </cell>
        </row>
        <row r="76">
          <cell r="N76" t="str">
            <v>bp = basis points</v>
          </cell>
        </row>
        <row r="77">
          <cell r="N77" t="str">
            <v>Source: Company reports, Morgan Stanley Equity Research</v>
          </cell>
        </row>
      </sheetData>
      <sheetData sheetId="4">
        <row r="1">
          <cell r="B1" t="str">
            <v>Exhibit 5</v>
          </cell>
        </row>
        <row r="2">
          <cell r="B2" t="str">
            <v>Covidien</v>
          </cell>
        </row>
        <row r="3">
          <cell r="B3" t="str">
            <v>Cash Flow Analysis 2004-2011E</v>
          </cell>
        </row>
        <row r="4">
          <cell r="C4" t="str">
            <v>z_cf_fy04</v>
          </cell>
          <cell r="D4" t="str">
            <v>z_cf_fy05</v>
          </cell>
          <cell r="E4" t="str">
            <v>z_cf_fy06</v>
          </cell>
          <cell r="F4" t="str">
            <v>z_cf_fy07</v>
          </cell>
          <cell r="G4" t="str">
            <v>z_cf_fy08</v>
          </cell>
          <cell r="H4" t="str">
            <v>z_cf_fy09</v>
          </cell>
          <cell r="I4" t="str">
            <v>z_cf_fy10</v>
          </cell>
          <cell r="J4" t="str">
            <v>z_cf_fy11</v>
          </cell>
          <cell r="K4" t="str">
            <v>z_cf_fy12</v>
          </cell>
        </row>
        <row r="5">
          <cell r="C5">
            <v>38352</v>
          </cell>
          <cell r="D5">
            <v>38717</v>
          </cell>
          <cell r="E5">
            <v>39082</v>
          </cell>
          <cell r="F5">
            <v>39447</v>
          </cell>
          <cell r="G5">
            <v>39813</v>
          </cell>
          <cell r="H5">
            <v>40178</v>
          </cell>
          <cell r="I5">
            <v>40543</v>
          </cell>
          <cell r="J5">
            <v>40908</v>
          </cell>
          <cell r="K5">
            <v>40908</v>
          </cell>
        </row>
        <row r="6">
          <cell r="B6" t="str">
            <v>($ Millions Except Per Share)</v>
          </cell>
        </row>
        <row r="7">
          <cell r="C7" t="str">
            <v xml:space="preserve"> 2004</v>
          </cell>
          <cell r="D7" t="str">
            <v xml:space="preserve"> 2005</v>
          </cell>
          <cell r="E7" t="str">
            <v xml:space="preserve"> 2006A</v>
          </cell>
          <cell r="F7" t="str">
            <v xml:space="preserve"> 2007E</v>
          </cell>
          <cell r="G7" t="str">
            <v>2008E</v>
          </cell>
          <cell r="H7" t="str">
            <v>2009E</v>
          </cell>
          <cell r="I7" t="str">
            <v>2010E</v>
          </cell>
          <cell r="J7" t="str">
            <v>2011E</v>
          </cell>
          <cell r="K7" t="str">
            <v>2012E</v>
          </cell>
        </row>
        <row r="9">
          <cell r="B9" t="str">
            <v>From Operating Activity</v>
          </cell>
        </row>
        <row r="10">
          <cell r="A10" t="str">
            <v>z_cf_net_income</v>
          </cell>
          <cell r="B10" t="str">
            <v>GAAP Net Income</v>
          </cell>
          <cell r="C10">
            <v>1401</v>
          </cell>
          <cell r="D10">
            <v>1035</v>
          </cell>
          <cell r="E10">
            <v>1155</v>
          </cell>
          <cell r="F10">
            <v>100.79005064404873</v>
          </cell>
          <cell r="G10">
            <v>1276.3566294338334</v>
          </cell>
          <cell r="H10">
            <v>1439.5219349148838</v>
          </cell>
          <cell r="I10">
            <v>1617.1428529833629</v>
          </cell>
          <cell r="J10">
            <v>1865.9205471024566</v>
          </cell>
          <cell r="K10">
            <v>1865.9205471024566</v>
          </cell>
        </row>
        <row r="11">
          <cell r="B11" t="str">
            <v>Loss from discontinued operations, net of taxes</v>
          </cell>
          <cell r="C11">
            <v>4</v>
          </cell>
          <cell r="D11">
            <v>158</v>
          </cell>
          <cell r="E11">
            <v>315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B12" t="str">
            <v>Purchased IPR&amp;D</v>
          </cell>
          <cell r="C12">
            <v>0</v>
          </cell>
          <cell r="D12">
            <v>0</v>
          </cell>
          <cell r="E12">
            <v>63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</row>
        <row r="13">
          <cell r="B13" t="str">
            <v>(Gain) loss on divestitures, net</v>
          </cell>
          <cell r="C13">
            <v>4</v>
          </cell>
          <cell r="D13">
            <v>5</v>
          </cell>
          <cell r="E13">
            <v>-48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A14" t="str">
            <v>z_cf_dna</v>
          </cell>
          <cell r="B14" t="str">
            <v>Depreciation and Amortization</v>
          </cell>
          <cell r="C14">
            <v>318</v>
          </cell>
          <cell r="D14">
            <v>320</v>
          </cell>
          <cell r="E14">
            <v>333</v>
          </cell>
          <cell r="F14">
            <v>370.80399999999997</v>
          </cell>
          <cell r="G14">
            <v>388.15</v>
          </cell>
          <cell r="H14">
            <v>437.57100000000003</v>
          </cell>
          <cell r="I14">
            <v>491.93400000000003</v>
          </cell>
          <cell r="J14">
            <v>551.73299999999995</v>
          </cell>
          <cell r="K14">
            <v>617.51199999999994</v>
          </cell>
        </row>
        <row r="15">
          <cell r="A15" t="str">
            <v>z_cf_depr</v>
          </cell>
          <cell r="B15" t="str">
            <v>Depreciation</v>
          </cell>
          <cell r="C15">
            <v>260</v>
          </cell>
          <cell r="D15">
            <v>263</v>
          </cell>
          <cell r="E15">
            <v>269</v>
          </cell>
          <cell r="F15">
            <v>306.80399999999997</v>
          </cell>
          <cell r="G15">
            <v>324.14999999999998</v>
          </cell>
          <cell r="H15">
            <v>373.57100000000003</v>
          </cell>
          <cell r="I15">
            <v>427.93400000000003</v>
          </cell>
          <cell r="J15">
            <v>487.733</v>
          </cell>
          <cell r="K15">
            <v>553.51199999999994</v>
          </cell>
        </row>
        <row r="16">
          <cell r="A16" t="str">
            <v>z_cf_amort</v>
          </cell>
          <cell r="B16" t="str">
            <v>Amortization</v>
          </cell>
          <cell r="C16">
            <v>58</v>
          </cell>
          <cell r="D16">
            <v>57</v>
          </cell>
          <cell r="E16">
            <v>64</v>
          </cell>
          <cell r="F16">
            <v>64</v>
          </cell>
          <cell r="G16">
            <v>64</v>
          </cell>
          <cell r="H16">
            <v>64</v>
          </cell>
          <cell r="I16">
            <v>64</v>
          </cell>
          <cell r="J16">
            <v>64</v>
          </cell>
          <cell r="K16">
            <v>64</v>
          </cell>
        </row>
        <row r="17">
          <cell r="B17" t="str">
            <v>Stock Based Compensation</v>
          </cell>
          <cell r="C17">
            <v>20</v>
          </cell>
          <cell r="D17">
            <v>23</v>
          </cell>
          <cell r="E17">
            <v>60</v>
          </cell>
          <cell r="F17">
            <v>66</v>
          </cell>
          <cell r="G17">
            <v>72.599999999999994</v>
          </cell>
          <cell r="H17">
            <v>79.86</v>
          </cell>
          <cell r="I17">
            <v>87.846000000000018</v>
          </cell>
          <cell r="J17">
            <v>96.63060000000003</v>
          </cell>
          <cell r="K17">
            <v>106.29366000000005</v>
          </cell>
        </row>
        <row r="18">
          <cell r="B18" t="str">
            <v>Deferred income taxes</v>
          </cell>
          <cell r="C18">
            <v>256</v>
          </cell>
          <cell r="D18">
            <v>60</v>
          </cell>
          <cell r="E18">
            <v>321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</row>
        <row r="19">
          <cell r="B19" t="str">
            <v>Provision for losses on A/R and inventory</v>
          </cell>
          <cell r="C19">
            <v>62</v>
          </cell>
          <cell r="D19">
            <v>41</v>
          </cell>
          <cell r="E19">
            <v>48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0">
          <cell r="B20" t="str">
            <v>Allocated loss on retirement of debt</v>
          </cell>
          <cell r="C20">
            <v>68</v>
          </cell>
          <cell r="D20">
            <v>243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</row>
        <row r="21">
          <cell r="B21" t="str">
            <v>Other non-cash items</v>
          </cell>
          <cell r="C21">
            <v>4</v>
          </cell>
          <cell r="D21">
            <v>22</v>
          </cell>
          <cell r="E21">
            <v>33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</row>
        <row r="22">
          <cell r="B22" t="str">
            <v>Class action lawsuit - add back of deferred litigation fees</v>
          </cell>
          <cell r="C22">
            <v>0</v>
          </cell>
          <cell r="D22">
            <v>0</v>
          </cell>
          <cell r="E22">
            <v>0</v>
          </cell>
          <cell r="F22">
            <v>1249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B23" t="str">
            <v>Class action lawsuit - payment of litigation fees to escrow</v>
          </cell>
          <cell r="C23">
            <v>0</v>
          </cell>
          <cell r="D23">
            <v>0</v>
          </cell>
          <cell r="E23">
            <v>0</v>
          </cell>
          <cell r="F23">
            <v>-1249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</row>
        <row r="24">
          <cell r="A24" t="str">
            <v>z_cf_wc</v>
          </cell>
          <cell r="B24" t="str">
            <v>Chg. in Working Cap.</v>
          </cell>
          <cell r="C24">
            <v>-480</v>
          </cell>
          <cell r="D24">
            <v>305</v>
          </cell>
          <cell r="E24">
            <v>-945</v>
          </cell>
          <cell r="F24">
            <v>-127.37029649977535</v>
          </cell>
          <cell r="G24">
            <v>-74.75669708199429</v>
          </cell>
          <cell r="H24">
            <v>-42.456964706376937</v>
          </cell>
          <cell r="I24">
            <v>-41.247421558243644</v>
          </cell>
          <cell r="J24">
            <v>-45.747184624892043</v>
          </cell>
          <cell r="K24">
            <v>-44.059581741501404</v>
          </cell>
        </row>
        <row r="25">
          <cell r="B25" t="str">
            <v>accounts receivable</v>
          </cell>
          <cell r="C25">
            <v>-246</v>
          </cell>
          <cell r="D25">
            <v>-29</v>
          </cell>
          <cell r="E25">
            <v>10</v>
          </cell>
          <cell r="F25">
            <v>-102.12377768563624</v>
          </cell>
          <cell r="G25">
            <v>-75.973104151549705</v>
          </cell>
          <cell r="H25">
            <v>-52.053191037049373</v>
          </cell>
          <cell r="I25">
            <v>-55.621657005780662</v>
          </cell>
          <cell r="J25">
            <v>-63.27946032228283</v>
          </cell>
          <cell r="K25">
            <v>-56.731535706069053</v>
          </cell>
        </row>
        <row r="26">
          <cell r="B26" t="str">
            <v>decrease in sale of A/R</v>
          </cell>
          <cell r="C26">
            <v>-112</v>
          </cell>
          <cell r="D26">
            <v>-9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</row>
        <row r="27">
          <cell r="B27" t="str">
            <v>inventories</v>
          </cell>
          <cell r="C27">
            <v>-89</v>
          </cell>
          <cell r="D27">
            <v>-51</v>
          </cell>
          <cell r="E27">
            <v>-212</v>
          </cell>
          <cell r="F27">
            <v>-83</v>
          </cell>
          <cell r="G27">
            <v>-46.744999999999891</v>
          </cell>
          <cell r="H27">
            <v>-16.616940000000341</v>
          </cell>
          <cell r="I27">
            <v>-10.510214550000001</v>
          </cell>
          <cell r="J27">
            <v>-9.8831050818500898</v>
          </cell>
          <cell r="K27">
            <v>-14.217552596318455</v>
          </cell>
        </row>
        <row r="28">
          <cell r="B28" t="str">
            <v xml:space="preserve">accounts payable </v>
          </cell>
          <cell r="C28">
            <v>42</v>
          </cell>
          <cell r="D28">
            <v>7</v>
          </cell>
          <cell r="E28">
            <v>-25</v>
          </cell>
          <cell r="F28">
            <v>28.225000000000001</v>
          </cell>
          <cell r="G28">
            <v>20.16599999999994</v>
          </cell>
          <cell r="H28">
            <v>7.1689999999999827</v>
          </cell>
          <cell r="I28">
            <v>4.5340000000001055</v>
          </cell>
          <cell r="J28">
            <v>4.2639999999998963</v>
          </cell>
          <cell r="K28">
            <v>6.1330000000000382</v>
          </cell>
        </row>
        <row r="29">
          <cell r="B29" t="str">
            <v>income taxes payable</v>
          </cell>
          <cell r="C29">
            <v>48</v>
          </cell>
          <cell r="D29">
            <v>95</v>
          </cell>
          <cell r="E29">
            <v>-263</v>
          </cell>
          <cell r="F29">
            <v>4.8010000000000019</v>
          </cell>
          <cell r="G29">
            <v>4.5189999999999912</v>
          </cell>
          <cell r="H29">
            <v>3.0960000000000036</v>
          </cell>
          <cell r="I29">
            <v>3.3089999999999975</v>
          </cell>
          <cell r="J29">
            <v>3.76400000000001</v>
          </cell>
          <cell r="K29">
            <v>3.375</v>
          </cell>
        </row>
        <row r="30">
          <cell r="B30" t="str">
            <v>accrued and other liabilities</v>
          </cell>
          <cell r="C30">
            <v>-123</v>
          </cell>
          <cell r="D30">
            <v>256</v>
          </cell>
          <cell r="E30">
            <v>-376</v>
          </cell>
          <cell r="F30">
            <v>41.86607349435053</v>
          </cell>
          <cell r="G30">
            <v>39.409707370166984</v>
          </cell>
          <cell r="H30">
            <v>27.001943479630995</v>
          </cell>
          <cell r="I30">
            <v>28.853010229455776</v>
          </cell>
          <cell r="J30">
            <v>32.825117036582014</v>
          </cell>
          <cell r="K30">
            <v>29.428755548305617</v>
          </cell>
        </row>
        <row r="31">
          <cell r="B31" t="str">
            <v>other</v>
          </cell>
          <cell r="C31">
            <v>0</v>
          </cell>
          <cell r="D31">
            <v>36</v>
          </cell>
          <cell r="E31">
            <v>-79</v>
          </cell>
          <cell r="F31">
            <v>-17.138592308489649</v>
          </cell>
          <cell r="G31">
            <v>-16.133300300611609</v>
          </cell>
          <cell r="H31">
            <v>-11.053777148958204</v>
          </cell>
          <cell r="I31">
            <v>-11.811560231918861</v>
          </cell>
          <cell r="J31">
            <v>-13.437736257341044</v>
          </cell>
          <cell r="K31">
            <v>-12.04724898741955</v>
          </cell>
        </row>
        <row r="32">
          <cell r="A32" t="str">
            <v>z_cf_ocf</v>
          </cell>
          <cell r="B32" t="str">
            <v xml:space="preserve"> Net From Operations</v>
          </cell>
          <cell r="C32">
            <v>1657</v>
          </cell>
          <cell r="D32">
            <v>2212</v>
          </cell>
          <cell r="E32">
            <v>1335</v>
          </cell>
          <cell r="F32">
            <v>410.22375414427336</v>
          </cell>
          <cell r="G32">
            <v>1662.3499323518392</v>
          </cell>
          <cell r="H32">
            <v>1914.4959702085068</v>
          </cell>
          <cell r="I32">
            <v>2155.6754314251193</v>
          </cell>
          <cell r="J32">
            <v>2468.5369624775644</v>
          </cell>
          <cell r="K32">
            <v>2545.6666253609555</v>
          </cell>
        </row>
        <row r="33">
          <cell r="L33">
            <v>3.1245091345919906E-2</v>
          </cell>
        </row>
        <row r="34">
          <cell r="B34" t="str">
            <v>Net cash (used in) provided by discontinued operating activities</v>
          </cell>
          <cell r="C34">
            <v>109</v>
          </cell>
          <cell r="D34">
            <v>172</v>
          </cell>
          <cell r="E34">
            <v>-131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</row>
        <row r="36">
          <cell r="B36" t="str">
            <v>From Investing Activity</v>
          </cell>
        </row>
        <row r="37">
          <cell r="A37" t="str">
            <v>z_cf_capex</v>
          </cell>
          <cell r="B37" t="str">
            <v>Capital Expenditures</v>
          </cell>
          <cell r="C37">
            <v>-251</v>
          </cell>
          <cell r="D37">
            <v>-331</v>
          </cell>
          <cell r="E37">
            <v>-432</v>
          </cell>
          <cell r="F37">
            <v>-449.28</v>
          </cell>
          <cell r="G37">
            <v>-449.28</v>
          </cell>
          <cell r="H37">
            <v>-494.20800000000008</v>
          </cell>
          <cell r="I37">
            <v>-543.62880000000018</v>
          </cell>
          <cell r="J37">
            <v>-597.9916800000002</v>
          </cell>
          <cell r="K37">
            <v>-657.79084800000032</v>
          </cell>
        </row>
        <row r="38">
          <cell r="B38" t="str">
            <v>Acquisitions, net of cash</v>
          </cell>
          <cell r="C38">
            <v>0</v>
          </cell>
          <cell r="D38">
            <v>-66</v>
          </cell>
          <cell r="E38">
            <v>-382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</row>
        <row r="39">
          <cell r="B39" t="str">
            <v>Divestitures, net of cash</v>
          </cell>
          <cell r="C39">
            <v>3</v>
          </cell>
          <cell r="D39">
            <v>4</v>
          </cell>
          <cell r="E39">
            <v>74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</row>
        <row r="40">
          <cell r="B40" t="str">
            <v>Increases in restricted cash</v>
          </cell>
          <cell r="C40">
            <v>-8</v>
          </cell>
          <cell r="D40">
            <v>0</v>
          </cell>
          <cell r="E40">
            <v>-32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</row>
        <row r="41">
          <cell r="B41" t="str">
            <v>Other</v>
          </cell>
          <cell r="C41">
            <v>2</v>
          </cell>
          <cell r="D41">
            <v>14</v>
          </cell>
          <cell r="E41">
            <v>-8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</row>
        <row r="42">
          <cell r="A42" t="str">
            <v>z_cf_icf</v>
          </cell>
          <cell r="B42" t="str">
            <v xml:space="preserve"> Net from Investing</v>
          </cell>
          <cell r="C42">
            <v>-254</v>
          </cell>
          <cell r="D42">
            <v>-379</v>
          </cell>
          <cell r="E42">
            <v>-780</v>
          </cell>
          <cell r="F42">
            <v>-449.28</v>
          </cell>
          <cell r="G42">
            <v>-449.28</v>
          </cell>
          <cell r="H42">
            <v>-494.20800000000008</v>
          </cell>
          <cell r="I42">
            <v>-543.62880000000018</v>
          </cell>
          <cell r="J42">
            <v>-597.9916800000002</v>
          </cell>
          <cell r="K42">
            <v>-657.79084800000032</v>
          </cell>
        </row>
        <row r="44">
          <cell r="B44" t="str">
            <v>Net cash (used in) provided by discontinued investing activities</v>
          </cell>
          <cell r="C44">
            <v>-30</v>
          </cell>
          <cell r="D44">
            <v>-29</v>
          </cell>
          <cell r="E44">
            <v>856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</row>
        <row r="46">
          <cell r="B46" t="str">
            <v>From Financing Activity</v>
          </cell>
        </row>
        <row r="47">
          <cell r="B47" t="str">
            <v>Change in Total Debt (c )</v>
          </cell>
          <cell r="C47">
            <v>-1137</v>
          </cell>
          <cell r="D47">
            <v>-1385</v>
          </cell>
          <cell r="E47">
            <v>-581</v>
          </cell>
          <cell r="F47">
            <v>2010</v>
          </cell>
          <cell r="G47">
            <v>-500</v>
          </cell>
          <cell r="H47">
            <v>-500</v>
          </cell>
          <cell r="I47">
            <v>-500</v>
          </cell>
          <cell r="J47">
            <v>-600</v>
          </cell>
          <cell r="K47">
            <v>-600</v>
          </cell>
        </row>
        <row r="48">
          <cell r="B48" t="str">
            <v>Proceeds from short-term debt</v>
          </cell>
          <cell r="C48">
            <v>0</v>
          </cell>
          <cell r="D48">
            <v>0</v>
          </cell>
          <cell r="E48">
            <v>0</v>
          </cell>
          <cell r="F48">
            <v>4250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B49" t="str">
            <v>Retirement of short-term debt</v>
          </cell>
          <cell r="C49">
            <v>0</v>
          </cell>
          <cell r="D49">
            <v>0</v>
          </cell>
          <cell r="E49">
            <v>0</v>
          </cell>
          <cell r="F49">
            <v>-140</v>
          </cell>
          <cell r="G49">
            <v>-500</v>
          </cell>
          <cell r="H49">
            <v>-500</v>
          </cell>
          <cell r="I49">
            <v>-500</v>
          </cell>
          <cell r="J49">
            <v>-500</v>
          </cell>
          <cell r="K49">
            <v>-500</v>
          </cell>
        </row>
        <row r="50">
          <cell r="B50" t="str">
            <v>Net change in short-term debt</v>
          </cell>
          <cell r="C50">
            <v>0</v>
          </cell>
          <cell r="D50">
            <v>0</v>
          </cell>
          <cell r="E50">
            <v>0</v>
          </cell>
          <cell r="F50">
            <v>4110</v>
          </cell>
          <cell r="G50">
            <v>-500</v>
          </cell>
          <cell r="H50">
            <v>-500</v>
          </cell>
          <cell r="I50">
            <v>-500</v>
          </cell>
          <cell r="J50">
            <v>-500</v>
          </cell>
          <cell r="K50">
            <v>-500</v>
          </cell>
        </row>
        <row r="51">
          <cell r="B51" t="str">
            <v>Proceeds from long-term debt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</row>
        <row r="52">
          <cell r="B52" t="str">
            <v>Retirement of long-term debt</v>
          </cell>
          <cell r="C52">
            <v>-114</v>
          </cell>
          <cell r="D52">
            <v>-244</v>
          </cell>
          <cell r="E52">
            <v>-33</v>
          </cell>
          <cell r="F52">
            <v>-2100</v>
          </cell>
          <cell r="G52">
            <v>0</v>
          </cell>
          <cell r="H52">
            <v>0</v>
          </cell>
          <cell r="I52">
            <v>0</v>
          </cell>
          <cell r="J52">
            <v>-100</v>
          </cell>
          <cell r="K52">
            <v>-100</v>
          </cell>
        </row>
        <row r="53">
          <cell r="B53" t="str">
            <v>Net change in long-term debt</v>
          </cell>
          <cell r="C53">
            <v>-114</v>
          </cell>
          <cell r="D53">
            <v>-244</v>
          </cell>
          <cell r="E53">
            <v>-33</v>
          </cell>
          <cell r="F53">
            <v>-2100</v>
          </cell>
          <cell r="G53">
            <v>0</v>
          </cell>
          <cell r="H53">
            <v>0</v>
          </cell>
          <cell r="I53">
            <v>0</v>
          </cell>
          <cell r="J53">
            <v>-100</v>
          </cell>
          <cell r="K53">
            <v>-100</v>
          </cell>
        </row>
        <row r="54">
          <cell r="B54" t="str">
            <v>Allocated debt activity</v>
          </cell>
          <cell r="C54">
            <v>-1023</v>
          </cell>
          <cell r="D54">
            <v>-1141</v>
          </cell>
          <cell r="E54">
            <v>-548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B55" t="str">
            <v>Change in Equity, Net of Tax Benefit</v>
          </cell>
          <cell r="C55">
            <v>0</v>
          </cell>
          <cell r="D55">
            <v>0</v>
          </cell>
          <cell r="E55">
            <v>0</v>
          </cell>
          <cell r="F55">
            <v>66.957831458445924</v>
          </cell>
          <cell r="G55">
            <v>-30.778217563571019</v>
          </cell>
          <cell r="H55">
            <v>-30.878000778428401</v>
          </cell>
          <cell r="I55">
            <v>-30.945391371892633</v>
          </cell>
          <cell r="J55">
            <v>-30.982283443529802</v>
          </cell>
          <cell r="K55">
            <v>-30.99048302869479</v>
          </cell>
        </row>
        <row r="56">
          <cell r="B56" t="str">
            <v xml:space="preserve">   Repurchase of common stock</v>
          </cell>
          <cell r="C56">
            <v>0</v>
          </cell>
          <cell r="D56">
            <v>0</v>
          </cell>
          <cell r="E56">
            <v>0</v>
          </cell>
          <cell r="F56">
            <v>-76.89620961765003</v>
          </cell>
          <cell r="G56">
            <v>-73.862924301040664</v>
          </cell>
          <cell r="H56">
            <v>-72.263167200881128</v>
          </cell>
          <cell r="I56">
            <v>-70.698058373907756</v>
          </cell>
          <cell r="J56">
            <v>-69.166847391924478</v>
          </cell>
          <cell r="K56">
            <v>-67.668800079853412</v>
          </cell>
        </row>
        <row r="57">
          <cell r="B57" t="str">
            <v xml:space="preserve">   Proceeds from the exercise of stock options</v>
          </cell>
          <cell r="C57">
            <v>0</v>
          </cell>
          <cell r="D57">
            <v>0</v>
          </cell>
          <cell r="E57">
            <v>0</v>
          </cell>
          <cell r="F57">
            <v>44.85404107609596</v>
          </cell>
          <cell r="G57">
            <v>43.084706737469645</v>
          </cell>
          <cell r="H57">
            <v>41.385166422452727</v>
          </cell>
          <cell r="I57">
            <v>39.752667002015123</v>
          </cell>
          <cell r="J57">
            <v>38.184563948394675</v>
          </cell>
          <cell r="K57">
            <v>36.678317051158622</v>
          </cell>
        </row>
        <row r="58">
          <cell r="B58" t="str">
            <v xml:space="preserve">   Proceeds from issuance of common stock</v>
          </cell>
          <cell r="C58">
            <v>0</v>
          </cell>
          <cell r="D58">
            <v>0</v>
          </cell>
          <cell r="E58">
            <v>0</v>
          </cell>
          <cell r="F58">
            <v>99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B59" t="str">
            <v>Tax benefit from options exercise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</row>
        <row r="60">
          <cell r="B60" t="str">
            <v>Change in parent company investment</v>
          </cell>
          <cell r="C60">
            <v>-379</v>
          </cell>
          <cell r="D60">
            <v>-508</v>
          </cell>
          <cell r="E60">
            <v>-601</v>
          </cell>
          <cell r="F60">
            <v>-1350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</row>
        <row r="61">
          <cell r="B61" t="str">
            <v>Transfers from discontinued operations</v>
          </cell>
          <cell r="C61">
            <v>71</v>
          </cell>
          <cell r="D61">
            <v>49</v>
          </cell>
          <cell r="E61">
            <v>634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</row>
        <row r="62">
          <cell r="B62" t="str">
            <v>Other</v>
          </cell>
          <cell r="C62">
            <v>64</v>
          </cell>
          <cell r="D62">
            <v>-20</v>
          </cell>
          <cell r="E62">
            <v>87</v>
          </cell>
          <cell r="F62">
            <v>190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</row>
        <row r="63">
          <cell r="A63" t="str">
            <v>z_cf_dividends</v>
          </cell>
          <cell r="B63" t="str">
            <v>Dividends</v>
          </cell>
          <cell r="C63">
            <v>0</v>
          </cell>
          <cell r="D63">
            <v>0</v>
          </cell>
          <cell r="E63">
            <v>0</v>
          </cell>
          <cell r="F63">
            <v>-75</v>
          </cell>
          <cell r="G63">
            <v>-300</v>
          </cell>
          <cell r="H63">
            <v>-300</v>
          </cell>
          <cell r="I63">
            <v>-300</v>
          </cell>
          <cell r="J63">
            <v>-300</v>
          </cell>
          <cell r="K63">
            <v>-300</v>
          </cell>
        </row>
        <row r="66">
          <cell r="A66" t="str">
            <v>z_cf_financing</v>
          </cell>
          <cell r="B66" t="str">
            <v xml:space="preserve"> Net from Financings </v>
          </cell>
          <cell r="C66">
            <v>-1381</v>
          </cell>
          <cell r="D66">
            <v>-1864</v>
          </cell>
          <cell r="E66">
            <v>-461</v>
          </cell>
          <cell r="F66">
            <v>841.95783145844598</v>
          </cell>
          <cell r="G66">
            <v>-830.77821756357105</v>
          </cell>
          <cell r="H66">
            <v>-830.87800077842837</v>
          </cell>
          <cell r="I66">
            <v>-830.94539137189258</v>
          </cell>
          <cell r="J66">
            <v>-930.98228344352981</v>
          </cell>
          <cell r="K66">
            <v>-930.99048302869483</v>
          </cell>
        </row>
        <row r="68">
          <cell r="B68" t="str">
            <v>Net cash used in discontinued financing activities</v>
          </cell>
          <cell r="C68">
            <v>-58</v>
          </cell>
          <cell r="D68">
            <v>-131</v>
          </cell>
          <cell r="E68">
            <v>-716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</row>
        <row r="70">
          <cell r="B70" t="str">
            <v>Translation Adjustment and Other</v>
          </cell>
          <cell r="C70">
            <v>6</v>
          </cell>
          <cell r="D70">
            <v>2</v>
          </cell>
          <cell r="E70">
            <v>7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</row>
        <row r="72">
          <cell r="A72" t="str">
            <v>z_cf_net</v>
          </cell>
          <cell r="B72" t="str">
            <v>Net Cash Flow</v>
          </cell>
          <cell r="C72">
            <v>49</v>
          </cell>
          <cell r="D72">
            <v>-17</v>
          </cell>
          <cell r="E72">
            <v>110</v>
          </cell>
          <cell r="F72">
            <v>802.90158560271925</v>
          </cell>
          <cell r="G72">
            <v>382.29171478826822</v>
          </cell>
          <cell r="H72">
            <v>589.40996943007838</v>
          </cell>
          <cell r="I72">
            <v>781.10124005322655</v>
          </cell>
          <cell r="J72">
            <v>939.56299903403453</v>
          </cell>
          <cell r="K72">
            <v>956.8852943322604</v>
          </cell>
        </row>
        <row r="73">
          <cell r="B73" t="str">
            <v>Less: net increase in cash related to discontinued operations</v>
          </cell>
          <cell r="C73">
            <v>-21</v>
          </cell>
          <cell r="D73">
            <v>-12</v>
          </cell>
          <cell r="E73">
            <v>-9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</row>
        <row r="75">
          <cell r="B75" t="str">
            <v>Cash Balance, beginning of year</v>
          </cell>
          <cell r="C75">
            <v>142</v>
          </cell>
          <cell r="D75">
            <v>170</v>
          </cell>
          <cell r="E75">
            <v>141</v>
          </cell>
          <cell r="F75">
            <v>242</v>
          </cell>
          <cell r="G75">
            <v>1044.9015856027193</v>
          </cell>
          <cell r="H75">
            <v>1427.1933003909876</v>
          </cell>
          <cell r="I75">
            <v>2016.6032698210661</v>
          </cell>
          <cell r="J75">
            <v>2797.7045098742929</v>
          </cell>
          <cell r="K75">
            <v>3737.2675089083273</v>
          </cell>
        </row>
        <row r="76">
          <cell r="B76" t="str">
            <v>Cash Balance, end of year</v>
          </cell>
          <cell r="C76">
            <v>170</v>
          </cell>
          <cell r="D76">
            <v>141</v>
          </cell>
          <cell r="E76">
            <v>242</v>
          </cell>
          <cell r="F76">
            <v>1044.9015856027193</v>
          </cell>
          <cell r="G76">
            <v>1427.1933003909876</v>
          </cell>
          <cell r="H76">
            <v>2016.6032698210661</v>
          </cell>
          <cell r="I76">
            <v>2797.7045098742929</v>
          </cell>
          <cell r="J76">
            <v>3737.2675089083273</v>
          </cell>
          <cell r="K76">
            <v>4694.1528032405877</v>
          </cell>
        </row>
        <row r="78">
          <cell r="B78" t="str">
            <v>E = Morgan Stanley Research Estimates                Source: Company data, Morgan Stanley Research</v>
          </cell>
        </row>
        <row r="79">
          <cell r="B79" t="str">
            <v xml:space="preserve">       </v>
          </cell>
        </row>
        <row r="81">
          <cell r="A81" t="str">
            <v>z_fcf</v>
          </cell>
          <cell r="B81" t="str">
            <v>FCF</v>
          </cell>
          <cell r="E81">
            <v>2152</v>
          </cell>
          <cell r="F81">
            <v>1209.9437541442733</v>
          </cell>
          <cell r="G81">
            <v>1213.0699323518393</v>
          </cell>
          <cell r="H81">
            <v>1420.2879702085067</v>
          </cell>
          <cell r="I81">
            <v>1612.0466314251191</v>
          </cell>
          <cell r="J81">
            <v>1870.5452824775643</v>
          </cell>
          <cell r="K81">
            <v>1887.8757773609552</v>
          </cell>
        </row>
        <row r="82">
          <cell r="B82" t="str">
            <v>Calendarized FCF</v>
          </cell>
          <cell r="E82">
            <v>1916.4859385360683</v>
          </cell>
          <cell r="F82">
            <v>1210.7252986961648</v>
          </cell>
          <cell r="G82">
            <v>1264.8744418160061</v>
          </cell>
          <cell r="H82">
            <v>1468.2276355126598</v>
          </cell>
          <cell r="I82">
            <v>1676.6712941882306</v>
          </cell>
          <cell r="J82">
            <v>1874.8779061984121</v>
          </cell>
          <cell r="K82">
            <v>1415.9068330207165</v>
          </cell>
        </row>
        <row r="83">
          <cell r="A83" t="str">
            <v>z_ebitda</v>
          </cell>
          <cell r="B83" t="str">
            <v>EBITDA</v>
          </cell>
          <cell r="E83">
            <v>2806</v>
          </cell>
          <cell r="F83">
            <v>2409.8040000000001</v>
          </cell>
          <cell r="G83">
            <v>2491.668999999999</v>
          </cell>
          <cell r="H83">
            <v>2656.9202429999987</v>
          </cell>
          <cell r="I83">
            <v>2865.8353541100023</v>
          </cell>
          <cell r="J83">
            <v>3130.0052425124613</v>
          </cell>
          <cell r="K83">
            <v>572.75401032869581</v>
          </cell>
        </row>
        <row r="84">
          <cell r="B84" t="str">
            <v>Calendarized EBITDA</v>
          </cell>
          <cell r="E84">
            <v>2706.951</v>
          </cell>
          <cell r="F84">
            <v>2430.2702499999996</v>
          </cell>
          <cell r="G84">
            <v>2532.9818107499987</v>
          </cell>
          <cell r="H84">
            <v>2709.1490207774996</v>
          </cell>
          <cell r="I84">
            <v>2931.8778262106171</v>
          </cell>
          <cell r="J84">
            <v>2490.6924344665199</v>
          </cell>
          <cell r="K84">
            <v>429.56550774652186</v>
          </cell>
        </row>
        <row r="85">
          <cell r="B85" t="str">
            <v>EV</v>
          </cell>
          <cell r="E85">
            <v>21300</v>
          </cell>
          <cell r="F85">
            <v>24486.525485700215</v>
          </cell>
          <cell r="G85">
            <v>23552.454207251492</v>
          </cell>
          <cell r="H85">
            <v>22415.121420165626</v>
          </cell>
          <cell r="I85">
            <v>21069.404740367198</v>
          </cell>
          <cell r="J85">
            <v>19088.011167508608</v>
          </cell>
          <cell r="K85">
            <v>17780.88539756956</v>
          </cell>
        </row>
        <row r="86">
          <cell r="B86" t="str">
            <v>Market cap</v>
          </cell>
          <cell r="E86">
            <v>21300</v>
          </cell>
          <cell r="F86">
            <v>21300</v>
          </cell>
          <cell r="G86">
            <v>21300</v>
          </cell>
          <cell r="H86">
            <v>21300</v>
          </cell>
          <cell r="I86">
            <v>21300</v>
          </cell>
          <cell r="J86">
            <v>21300</v>
          </cell>
          <cell r="K86">
            <v>21300</v>
          </cell>
        </row>
        <row r="87">
          <cell r="B87" t="str">
            <v>EV/EBITDA</v>
          </cell>
          <cell r="E87">
            <v>7.8686315341504152</v>
          </cell>
          <cell r="F87">
            <v>10.075638907113404</v>
          </cell>
          <cell r="G87">
            <v>9.2983116212262775</v>
          </cell>
          <cell r="H87">
            <v>8.2738606286533116</v>
          </cell>
          <cell r="I87">
            <v>7.1863174351978047</v>
          </cell>
          <cell r="J87">
            <v>7.6637367598529123</v>
          </cell>
        </row>
        <row r="88">
          <cell r="B88" t="str">
            <v>Consolidated Statements of Equity</v>
          </cell>
        </row>
        <row r="91">
          <cell r="B91" t="str">
            <v>Net Repurchase/Issuance Activity</v>
          </cell>
        </row>
        <row r="92">
          <cell r="B92" t="str">
            <v>Employee stock Comp.</v>
          </cell>
        </row>
        <row r="93">
          <cell r="B93" t="str">
            <v>and Stock option plans</v>
          </cell>
        </row>
        <row r="94">
          <cell r="B94" t="str">
            <v>Conv. of sub. Debentures</v>
          </cell>
        </row>
        <row r="95">
          <cell r="B95" t="str">
            <v>Rep. of common stock</v>
          </cell>
        </row>
        <row r="96">
          <cell r="B96" t="str">
            <v>Business Combinations</v>
          </cell>
        </row>
        <row r="97">
          <cell r="B97" t="str">
            <v>Note receivable from ESOP</v>
          </cell>
        </row>
        <row r="99">
          <cell r="B99" t="str">
            <v>Net Repurchase/Issuance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</row>
        <row r="101">
          <cell r="B101" t="str">
            <v>Stock Option Issuance and Share Repurchase Worksheet - GVAT</v>
          </cell>
        </row>
        <row r="102">
          <cell r="B102" t="str">
            <v>TYC</v>
          </cell>
          <cell r="E102" t="str">
            <v xml:space="preserve"> 2006A</v>
          </cell>
          <cell r="F102" t="str">
            <v xml:space="preserve"> 2007E</v>
          </cell>
          <cell r="G102" t="str">
            <v>2008E</v>
          </cell>
          <cell r="H102" t="str">
            <v>2009E</v>
          </cell>
          <cell r="I102" t="str">
            <v>2010E</v>
          </cell>
          <cell r="J102" t="str">
            <v>2011E</v>
          </cell>
          <cell r="K102" t="str">
            <v>2012E</v>
          </cell>
        </row>
        <row r="103">
          <cell r="B103" t="str">
            <v>Options outstanding at beg. of year</v>
          </cell>
          <cell r="E103">
            <v>28.834022000000001</v>
          </cell>
          <cell r="F103">
            <v>25.645019566830825</v>
          </cell>
          <cell r="G103">
            <v>22.808716334583359</v>
          </cell>
          <cell r="H103">
            <v>20.286104265810856</v>
          </cell>
          <cell r="I103">
            <v>18.0424895573531</v>
          </cell>
          <cell r="J103">
            <v>16.047015492069093</v>
          </cell>
          <cell r="K103">
            <v>14.272238062499543</v>
          </cell>
        </row>
        <row r="104">
          <cell r="B104" t="str">
            <v>Options granted</v>
          </cell>
          <cell r="E104">
            <v>2.6800020448082127</v>
          </cell>
          <cell r="F104">
            <v>2.3835975736667341</v>
          </cell>
          <cell r="G104">
            <v>2.1199750217341817</v>
          </cell>
          <cell r="H104">
            <v>1.8855087546775715</v>
          </cell>
          <cell r="I104">
            <v>1.6769741282411843</v>
          </cell>
          <cell r="J104">
            <v>1.49150313930586</v>
          </cell>
          <cell r="K104">
            <v>1.3265449818789892</v>
          </cell>
        </row>
        <row r="105">
          <cell r="B105" t="str">
            <v>Options exercised</v>
          </cell>
          <cell r="E105">
            <v>-2.6000019837691615</v>
          </cell>
          <cell r="F105">
            <v>-2.3124454072886227</v>
          </cell>
          <cell r="G105">
            <v>-2.056692185264505</v>
          </cell>
          <cell r="H105">
            <v>-1.8292249112543604</v>
          </cell>
          <cell r="I105">
            <v>-1.6269151990399551</v>
          </cell>
          <cell r="J105">
            <v>-1.446980657535536</v>
          </cell>
          <cell r="K105">
            <v>-1.2869466242109597</v>
          </cell>
        </row>
        <row r="106">
          <cell r="B106" t="str">
            <v>Options lapsed</v>
          </cell>
          <cell r="E106">
            <v>-3.2690024942082268</v>
          </cell>
          <cell r="F106">
            <v>-2.9074553986255802</v>
          </cell>
          <cell r="G106">
            <v>-2.5858949052421796</v>
          </cell>
          <cell r="H106">
            <v>-2.2998985518809634</v>
          </cell>
          <cell r="I106">
            <v>-2.0455329944852356</v>
          </cell>
          <cell r="J106">
            <v>-1.819299911339872</v>
          </cell>
          <cell r="K106">
            <v>-1.6180878902098568</v>
          </cell>
        </row>
        <row r="107">
          <cell r="B107" t="str">
            <v>Options outstanding at end of year</v>
          </cell>
          <cell r="E107">
            <v>25.645019566830825</v>
          </cell>
          <cell r="F107">
            <v>22.808716334583359</v>
          </cell>
          <cell r="G107">
            <v>20.286104265810856</v>
          </cell>
          <cell r="H107">
            <v>18.0424895573531</v>
          </cell>
          <cell r="I107">
            <v>16.047015492069093</v>
          </cell>
          <cell r="J107">
            <v>14.272238062499543</v>
          </cell>
          <cell r="K107">
            <v>12.693748529957716</v>
          </cell>
        </row>
        <row r="108">
          <cell r="B108" t="str">
            <v>Exerciseable options at end of year</v>
          </cell>
          <cell r="E108">
            <v>19.632798000000001</v>
          </cell>
        </row>
        <row r="109">
          <cell r="B109" t="str">
            <v>Weighted Avg. Exer Price for options exercised</v>
          </cell>
          <cell r="E109">
            <v>17.96</v>
          </cell>
          <cell r="F109">
            <v>19.396800000000002</v>
          </cell>
          <cell r="G109">
            <v>20.948544000000005</v>
          </cell>
          <cell r="H109">
            <v>22.624427520000008</v>
          </cell>
          <cell r="I109">
            <v>24.434381721600012</v>
          </cell>
          <cell r="J109">
            <v>26.389132259328015</v>
          </cell>
          <cell r="K109">
            <v>28.500262840074257</v>
          </cell>
        </row>
        <row r="110">
          <cell r="B110" t="str">
            <v>Average stock price during year</v>
          </cell>
          <cell r="E110">
            <v>30.79</v>
          </cell>
          <cell r="F110">
            <v>33.2532</v>
          </cell>
          <cell r="G110">
            <v>35.913456000000004</v>
          </cell>
          <cell r="H110">
            <v>39.504801600000008</v>
          </cell>
          <cell r="I110">
            <v>43.455281760000013</v>
          </cell>
          <cell r="J110">
            <v>47.800809936000014</v>
          </cell>
          <cell r="K110">
            <v>52.580890929600017</v>
          </cell>
        </row>
        <row r="112">
          <cell r="B112" t="str">
            <v>Exercised shares as % of outstanding</v>
          </cell>
          <cell r="E112">
            <v>9.0171325518485126E-2</v>
          </cell>
          <cell r="F112">
            <v>9.0171325518485126E-2</v>
          </cell>
          <cell r="G112">
            <v>9.0171325518485126E-2</v>
          </cell>
          <cell r="H112">
            <v>9.0171325518485126E-2</v>
          </cell>
          <cell r="I112">
            <v>9.0171325518485126E-2</v>
          </cell>
          <cell r="J112">
            <v>9.0171325518485126E-2</v>
          </cell>
          <cell r="K112">
            <v>9.0171325518485126E-2</v>
          </cell>
        </row>
        <row r="113">
          <cell r="B113" t="str">
            <v>Exercised shares as % of  exercisable</v>
          </cell>
          <cell r="E113">
            <v>0.13243155579602872</v>
          </cell>
          <cell r="F113">
            <v>0.13243155579602872</v>
          </cell>
          <cell r="G113">
            <v>0.13243155579602872</v>
          </cell>
          <cell r="H113">
            <v>0.13243155579602872</v>
          </cell>
          <cell r="I113">
            <v>0.13243155579602872</v>
          </cell>
          <cell r="J113">
            <v>0.13243155579602872</v>
          </cell>
          <cell r="K113">
            <v>0.13243155579602872</v>
          </cell>
        </row>
        <row r="114">
          <cell r="B114" t="str">
            <v>Exercisable options as % outstanding - end of year</v>
          </cell>
          <cell r="E114">
            <v>0.76555987601557496</v>
          </cell>
          <cell r="F114">
            <v>0.76555987601557496</v>
          </cell>
          <cell r="G114">
            <v>0.76555987601557496</v>
          </cell>
          <cell r="H114">
            <v>0.76555987601557496</v>
          </cell>
          <cell r="I114">
            <v>0.76555987601557496</v>
          </cell>
          <cell r="J114">
            <v>0.76555987601557496</v>
          </cell>
          <cell r="K114">
            <v>0.76555987601557496</v>
          </cell>
        </row>
        <row r="115">
          <cell r="B115" t="str">
            <v>Options granted as % of outstanding</v>
          </cell>
          <cell r="E115">
            <v>9.2945827842130818E-2</v>
          </cell>
          <cell r="F115">
            <v>9.2945827842130818E-2</v>
          </cell>
          <cell r="G115">
            <v>9.2945827842130818E-2</v>
          </cell>
          <cell r="H115">
            <v>9.2945827842130818E-2</v>
          </cell>
          <cell r="I115">
            <v>9.2945827842130818E-2</v>
          </cell>
          <cell r="J115">
            <v>9.2945827842130818E-2</v>
          </cell>
          <cell r="K115">
            <v>9.2945827842130818E-2</v>
          </cell>
        </row>
        <row r="116">
          <cell r="B116" t="str">
            <v>Options lapsed as % of outstanding</v>
          </cell>
          <cell r="E116">
            <v>0.11337310119997226</v>
          </cell>
          <cell r="F116">
            <v>0.11337310119997226</v>
          </cell>
          <cell r="G116">
            <v>0.11337310119997226</v>
          </cell>
          <cell r="H116">
            <v>0.11337310119997226</v>
          </cell>
          <cell r="I116">
            <v>0.11337310119997226</v>
          </cell>
          <cell r="J116">
            <v>0.11337310119997226</v>
          </cell>
          <cell r="K116">
            <v>0.11337310119997226</v>
          </cell>
        </row>
        <row r="118">
          <cell r="B118" t="str">
            <v>Outstanding Options - % growth</v>
          </cell>
        </row>
        <row r="119">
          <cell r="B119" t="str">
            <v>Options Granted - % growth</v>
          </cell>
        </row>
        <row r="121">
          <cell r="B121" t="str">
            <v>Stock issuance Proceeds</v>
          </cell>
          <cell r="E121">
            <v>46.696035628494144</v>
          </cell>
          <cell r="F121">
            <v>44.85404107609596</v>
          </cell>
          <cell r="G121">
            <v>43.084706737469645</v>
          </cell>
          <cell r="H121">
            <v>41.385166422452727</v>
          </cell>
          <cell r="I121">
            <v>39.752667002015123</v>
          </cell>
          <cell r="J121">
            <v>38.184563948394675</v>
          </cell>
          <cell r="K121">
            <v>36.678317051158622</v>
          </cell>
        </row>
        <row r="122">
          <cell r="B122" t="str">
            <v>Tax benefit from option issuance</v>
          </cell>
          <cell r="E122">
            <v>11.675308908115417</v>
          </cell>
          <cell r="F122">
            <v>11.21475898954392</v>
          </cell>
          <cell r="G122">
            <v>10.772376147249853</v>
          </cell>
          <cell r="H122">
            <v>10.807300272449941</v>
          </cell>
          <cell r="I122">
            <v>10.830886980162418</v>
          </cell>
          <cell r="J122">
            <v>10.843799205235431</v>
          </cell>
          <cell r="K122">
            <v>10.846669060043176</v>
          </cell>
        </row>
        <row r="123">
          <cell r="B123" t="str">
            <v>Tax rate</v>
          </cell>
          <cell r="E123">
            <v>0.35</v>
          </cell>
          <cell r="F123">
            <v>0.35</v>
          </cell>
          <cell r="G123">
            <v>0.35</v>
          </cell>
          <cell r="H123">
            <v>0.35</v>
          </cell>
          <cell r="I123">
            <v>0.35</v>
          </cell>
          <cell r="J123">
            <v>0.35</v>
          </cell>
          <cell r="K123">
            <v>0.35</v>
          </cell>
        </row>
        <row r="125">
          <cell r="B125" t="str">
            <v>Net cost of net repurchase/(issuance) from cash flow</v>
          </cell>
          <cell r="E125">
            <v>0</v>
          </cell>
          <cell r="F125">
            <v>-66.957831458445924</v>
          </cell>
          <cell r="G125">
            <v>30.778217563571019</v>
          </cell>
          <cell r="H125">
            <v>30.878000778428401</v>
          </cell>
          <cell r="I125">
            <v>30.945391371892633</v>
          </cell>
          <cell r="J125">
            <v>30.982283443529802</v>
          </cell>
          <cell r="K125">
            <v>30.99048302869479</v>
          </cell>
        </row>
        <row r="126">
          <cell r="B126" t="str">
            <v xml:space="preserve">   Plus issuance proceeds</v>
          </cell>
          <cell r="E126">
            <v>46.696035628494144</v>
          </cell>
          <cell r="F126">
            <v>44.85404107609596</v>
          </cell>
          <cell r="G126">
            <v>43.084706737469645</v>
          </cell>
          <cell r="H126">
            <v>41.385166422452727</v>
          </cell>
          <cell r="I126">
            <v>39.752667002015123</v>
          </cell>
          <cell r="J126">
            <v>38.184563948394675</v>
          </cell>
          <cell r="K126">
            <v>36.678317051158622</v>
          </cell>
        </row>
        <row r="127">
          <cell r="B127" t="str">
            <v>Total funds used to buy shares</v>
          </cell>
          <cell r="E127">
            <v>46.696035628494144</v>
          </cell>
          <cell r="F127">
            <v>-22.103790382349963</v>
          </cell>
          <cell r="G127">
            <v>73.862924301040664</v>
          </cell>
          <cell r="H127">
            <v>72.263167200881128</v>
          </cell>
          <cell r="I127">
            <v>70.698058373907756</v>
          </cell>
          <cell r="J127">
            <v>69.166847391924478</v>
          </cell>
          <cell r="K127">
            <v>67.668800079853412</v>
          </cell>
        </row>
        <row r="129">
          <cell r="B129" t="str">
            <v>Shares Repurchased</v>
          </cell>
          <cell r="E129">
            <v>1.5165974546441749</v>
          </cell>
          <cell r="F129">
            <v>-0.66471167834524092</v>
          </cell>
          <cell r="G129">
            <v>2.056692185264505</v>
          </cell>
          <cell r="H129">
            <v>1.8292249112543604</v>
          </cell>
          <cell r="I129">
            <v>1.6269151990399553</v>
          </cell>
          <cell r="J129">
            <v>1.446980657535536</v>
          </cell>
          <cell r="K129">
            <v>1.2869466242109597</v>
          </cell>
        </row>
        <row r="130">
          <cell r="B130" t="str">
            <v>Shares Issued</v>
          </cell>
          <cell r="E130">
            <v>2.6000019837691615</v>
          </cell>
          <cell r="F130">
            <v>2.3124454072886227</v>
          </cell>
          <cell r="G130">
            <v>2.056692185264505</v>
          </cell>
          <cell r="H130">
            <v>1.8292249112543604</v>
          </cell>
          <cell r="I130">
            <v>1.6269151990399551</v>
          </cell>
          <cell r="J130">
            <v>1.446980657535536</v>
          </cell>
          <cell r="K130">
            <v>1.2869466242109597</v>
          </cell>
        </row>
        <row r="131">
          <cell r="B131" t="str">
            <v>Net Change in Shares</v>
          </cell>
          <cell r="E131">
            <v>1.0834045291249865</v>
          </cell>
          <cell r="F131">
            <v>2.9771570856338636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</row>
        <row r="132">
          <cell r="B132" t="str">
            <v>Change of shares in income statement</v>
          </cell>
          <cell r="E132">
            <v>0</v>
          </cell>
          <cell r="F132">
            <v>0</v>
          </cell>
          <cell r="G132">
            <v>-500</v>
          </cell>
          <cell r="H132">
            <v>500</v>
          </cell>
          <cell r="I132">
            <v>0</v>
          </cell>
          <cell r="J132">
            <v>0</v>
          </cell>
          <cell r="K132">
            <v>0</v>
          </cell>
        </row>
        <row r="134">
          <cell r="B134" t="str">
            <v>Net Cash flow needed to reconcile shares</v>
          </cell>
          <cell r="E134">
            <v>-33.358025451758337</v>
          </cell>
          <cell r="F134">
            <v>-32.042168541554069</v>
          </cell>
          <cell r="G134">
            <v>-17987.506217563572</v>
          </cell>
          <cell r="H134">
            <v>19721.522799221577</v>
          </cell>
          <cell r="I134">
            <v>-30.945391371892633</v>
          </cell>
          <cell r="J134">
            <v>-30.982283443529802</v>
          </cell>
          <cell r="K134">
            <v>-30.99048302869479</v>
          </cell>
        </row>
        <row r="136">
          <cell r="B136" t="str">
            <v>Proceeds from exercise of options</v>
          </cell>
          <cell r="E136">
            <v>46.696035628494144</v>
          </cell>
          <cell r="F136">
            <v>44.85404107609596</v>
          </cell>
          <cell r="G136">
            <v>43.084706737469645</v>
          </cell>
          <cell r="H136">
            <v>41.385166422452727</v>
          </cell>
          <cell r="I136">
            <v>39.752667002015123</v>
          </cell>
          <cell r="J136">
            <v>38.184563948394675</v>
          </cell>
          <cell r="K136">
            <v>36.678317051158622</v>
          </cell>
        </row>
        <row r="137">
          <cell r="B137" t="str">
            <v>Weighted average exercise price</v>
          </cell>
          <cell r="E137">
            <v>17.96</v>
          </cell>
          <cell r="F137">
            <v>19.396800000000002</v>
          </cell>
          <cell r="G137">
            <v>20.948544000000005</v>
          </cell>
          <cell r="H137">
            <v>22.624427520000008</v>
          </cell>
          <cell r="I137">
            <v>24.434381721600012</v>
          </cell>
          <cell r="J137">
            <v>26.389132259328015</v>
          </cell>
          <cell r="K137">
            <v>28.500262840074257</v>
          </cell>
        </row>
        <row r="138">
          <cell r="B138" t="str">
            <v>Shares issued</v>
          </cell>
          <cell r="E138">
            <v>2.6000019837691615</v>
          </cell>
          <cell r="F138">
            <v>2.3124454072886227</v>
          </cell>
          <cell r="G138">
            <v>2.056692185264505</v>
          </cell>
          <cell r="H138">
            <v>1.8292249112543604</v>
          </cell>
          <cell r="I138">
            <v>1.6269151990399551</v>
          </cell>
          <cell r="J138">
            <v>1.446980657535536</v>
          </cell>
          <cell r="K138">
            <v>1.2869466242109597</v>
          </cell>
        </row>
        <row r="140">
          <cell r="B140" t="str">
            <v>Funds used to repurchase shares</v>
          </cell>
          <cell r="E140">
            <v>-80.054061080252481</v>
          </cell>
          <cell r="F140">
            <v>-76.89620961765003</v>
          </cell>
          <cell r="G140">
            <v>-73.862924301040664</v>
          </cell>
          <cell r="H140">
            <v>-72.263167200881128</v>
          </cell>
          <cell r="I140">
            <v>-70.698058373907756</v>
          </cell>
          <cell r="J140">
            <v>-69.166847391924478</v>
          </cell>
          <cell r="K140">
            <v>-67.668800079853412</v>
          </cell>
        </row>
        <row r="141">
          <cell r="B141" t="str">
            <v>Weighted average price</v>
          </cell>
          <cell r="E141">
            <v>30.79</v>
          </cell>
          <cell r="F141">
            <v>33.2532</v>
          </cell>
          <cell r="G141">
            <v>35.913456000000004</v>
          </cell>
          <cell r="H141">
            <v>39.504801600000008</v>
          </cell>
          <cell r="I141">
            <v>43.455281760000013</v>
          </cell>
          <cell r="J141">
            <v>47.800809936000014</v>
          </cell>
          <cell r="K141">
            <v>52.580890929600017</v>
          </cell>
        </row>
        <row r="142">
          <cell r="B142" t="str">
            <v>Shares issued</v>
          </cell>
          <cell r="E142">
            <v>-2.6000019837691615</v>
          </cell>
          <cell r="F142">
            <v>-2.3124454072886227</v>
          </cell>
          <cell r="G142">
            <v>-2.056692185264505</v>
          </cell>
          <cell r="H142">
            <v>-1.8292249112543604</v>
          </cell>
          <cell r="I142">
            <v>-1.6269151990399551</v>
          </cell>
          <cell r="J142">
            <v>-1.446980657535536</v>
          </cell>
          <cell r="K142">
            <v>-1.2869466242109597</v>
          </cell>
        </row>
        <row r="144">
          <cell r="B144" t="str">
            <v>Other proceeds from issuance of common stock</v>
          </cell>
          <cell r="E144">
            <v>0</v>
          </cell>
          <cell r="F144">
            <v>99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</row>
        <row r="145">
          <cell r="B145" t="str">
            <v>Weighted average price</v>
          </cell>
          <cell r="E145">
            <v>30.79</v>
          </cell>
          <cell r="F145">
            <v>33.2532</v>
          </cell>
          <cell r="G145">
            <v>35.913456000000004</v>
          </cell>
          <cell r="H145">
            <v>39.504801600000008</v>
          </cell>
          <cell r="I145">
            <v>43.455281760000013</v>
          </cell>
          <cell r="J145">
            <v>47.800809936000014</v>
          </cell>
          <cell r="K145">
            <v>52.580890929600017</v>
          </cell>
        </row>
        <row r="146">
          <cell r="B146" t="str">
            <v>Shares issued</v>
          </cell>
          <cell r="E146">
            <v>0</v>
          </cell>
          <cell r="F146">
            <v>2.9771570856338641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</row>
        <row r="148">
          <cell r="B148" t="str">
            <v>Net cash flow</v>
          </cell>
          <cell r="E148">
            <v>-33.358025451758337</v>
          </cell>
          <cell r="F148">
            <v>66.957831458445924</v>
          </cell>
          <cell r="G148">
            <v>-30.778217563571019</v>
          </cell>
          <cell r="H148">
            <v>-30.878000778428401</v>
          </cell>
          <cell r="I148">
            <v>-30.945391371892633</v>
          </cell>
          <cell r="J148">
            <v>-30.982283443529802</v>
          </cell>
          <cell r="K148">
            <v>-30.99048302869479</v>
          </cell>
        </row>
        <row r="149">
          <cell r="B149" t="str">
            <v>Shares issued</v>
          </cell>
          <cell r="E149">
            <v>0</v>
          </cell>
          <cell r="F149">
            <v>2.9771570856338641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</row>
        <row r="151">
          <cell r="B151" t="str">
            <v>Changes in SE</v>
          </cell>
        </row>
        <row r="152">
          <cell r="B152" t="str">
            <v>SE BOP</v>
          </cell>
          <cell r="E152">
            <v>8007</v>
          </cell>
          <cell r="F152">
            <v>8621</v>
          </cell>
          <cell r="G152">
            <v>7091.7478821024943</v>
          </cell>
          <cell r="H152">
            <v>8109.926293972756</v>
          </cell>
          <cell r="I152">
            <v>9298.4302281092114</v>
          </cell>
          <cell r="J152">
            <v>10672.473689720682</v>
          </cell>
          <cell r="K152">
            <v>12304.04255337961</v>
          </cell>
        </row>
        <row r="153">
          <cell r="B153" t="str">
            <v>Net income</v>
          </cell>
          <cell r="E153">
            <v>0</v>
          </cell>
          <cell r="F153">
            <v>100.79005064404873</v>
          </cell>
          <cell r="G153">
            <v>1276.3566294338334</v>
          </cell>
          <cell r="H153">
            <v>1439.5219349148838</v>
          </cell>
          <cell r="I153">
            <v>1617.1428529833629</v>
          </cell>
          <cell r="J153">
            <v>1865.9205471024566</v>
          </cell>
          <cell r="K153">
            <v>1865.9205471024566</v>
          </cell>
        </row>
        <row r="154">
          <cell r="B154" t="str">
            <v>Common dividends</v>
          </cell>
          <cell r="E154">
            <v>0</v>
          </cell>
          <cell r="F154">
            <v>-75</v>
          </cell>
          <cell r="G154">
            <v>-300</v>
          </cell>
          <cell r="H154">
            <v>-300</v>
          </cell>
          <cell r="I154">
            <v>-300</v>
          </cell>
          <cell r="J154">
            <v>-300</v>
          </cell>
          <cell r="K154">
            <v>-300</v>
          </cell>
        </row>
        <row r="155">
          <cell r="B155" t="str">
            <v>Change in share capital (common stock, apic)</v>
          </cell>
          <cell r="E155">
            <v>-736</v>
          </cell>
          <cell r="F155">
            <v>-1745.0421685415549</v>
          </cell>
          <cell r="G155">
            <v>41.821782436429203</v>
          </cell>
          <cell r="H155">
            <v>48.981999221571641</v>
          </cell>
          <cell r="I155">
            <v>56.900608628107875</v>
          </cell>
          <cell r="J155">
            <v>65.64831655647049</v>
          </cell>
          <cell r="K155">
            <v>75.30317697130522</v>
          </cell>
        </row>
        <row r="156">
          <cell r="B156" t="str">
            <v>Change in AOCI</v>
          </cell>
          <cell r="E156">
            <v>195</v>
          </cell>
          <cell r="F156">
            <v>190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  <row r="157">
          <cell r="B157" t="str">
            <v>SE EOP</v>
          </cell>
          <cell r="E157">
            <v>7466</v>
          </cell>
          <cell r="F157">
            <v>7091.7478821024943</v>
          </cell>
          <cell r="G157">
            <v>8109.926293972756</v>
          </cell>
          <cell r="H157">
            <v>9298.4302281092096</v>
          </cell>
          <cell r="I157">
            <v>10672.473689720682</v>
          </cell>
          <cell r="J157">
            <v>12304.042553379608</v>
          </cell>
          <cell r="K157">
            <v>13945.266277453371</v>
          </cell>
        </row>
        <row r="159">
          <cell r="B159" t="str">
            <v>SE EOP - from BS</v>
          </cell>
          <cell r="E159">
            <v>8621</v>
          </cell>
          <cell r="F159">
            <v>7091.7478821024943</v>
          </cell>
          <cell r="G159">
            <v>8109.926293972756</v>
          </cell>
          <cell r="H159">
            <v>9298.4302281092114</v>
          </cell>
          <cell r="I159">
            <v>10672.473689720682</v>
          </cell>
          <cell r="J159">
            <v>12304.04255337961</v>
          </cell>
          <cell r="K159">
            <v>13846.266277453371</v>
          </cell>
        </row>
        <row r="160">
          <cell r="B160" t="str">
            <v>check</v>
          </cell>
          <cell r="E160">
            <v>-1155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99</v>
          </cell>
        </row>
        <row r="163">
          <cell r="B163" t="str">
            <v>ModelWare Metrics - Acquisitions</v>
          </cell>
          <cell r="C163" t="str">
            <v xml:space="preserve"> 2004</v>
          </cell>
          <cell r="D163" t="str">
            <v xml:space="preserve"> 2005</v>
          </cell>
          <cell r="E163" t="str">
            <v xml:space="preserve"> 2006A</v>
          </cell>
          <cell r="F163" t="str">
            <v xml:space="preserve"> 2007E</v>
          </cell>
          <cell r="G163" t="str">
            <v>2008E</v>
          </cell>
          <cell r="H163" t="str">
            <v>2009E</v>
          </cell>
          <cell r="I163" t="str">
            <v>2010E</v>
          </cell>
          <cell r="J163" t="str">
            <v>2011E</v>
          </cell>
          <cell r="K163" t="str">
            <v>2012E</v>
          </cell>
        </row>
        <row r="164">
          <cell r="B164" t="str">
            <v>Net Disposals (Acquisitions)</v>
          </cell>
          <cell r="C164">
            <v>0</v>
          </cell>
          <cell r="D164">
            <v>-66</v>
          </cell>
          <cell r="E164">
            <v>-382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M164" t="str">
            <v>&lt;--- Linked to Line 34 (acquisitions)</v>
          </cell>
        </row>
        <row r="165">
          <cell r="B165" t="str">
            <v>Premium (Goodwill) on Acquisitions</v>
          </cell>
          <cell r="C165">
            <v>0</v>
          </cell>
          <cell r="D165">
            <v>-39.6</v>
          </cell>
          <cell r="E165">
            <v>-287.48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M165" t="str">
            <v>&lt;--- Linked to Goodwill in Balance Sheet</v>
          </cell>
        </row>
        <row r="166">
          <cell r="B166" t="str">
            <v>Investment in Intangible Assets</v>
          </cell>
          <cell r="C166">
            <v>0</v>
          </cell>
          <cell r="D166">
            <v>-19.8</v>
          </cell>
          <cell r="E166">
            <v>-114.6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M166" t="str">
            <v>&lt;--- Linked to Intangibles in Balance Sheet</v>
          </cell>
        </row>
        <row r="167">
          <cell r="B167" t="str">
            <v>Capital Expenditures Reflected in Cost of Acquisiton</v>
          </cell>
          <cell r="C167">
            <v>0</v>
          </cell>
          <cell r="D167">
            <v>-6.6</v>
          </cell>
          <cell r="E167">
            <v>-22.92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M167" t="str">
            <v>&lt;--- Linked to PP&amp;E in Balance Sheet</v>
          </cell>
        </row>
        <row r="168">
          <cell r="B168" t="str">
            <v>Other Assets &amp; Liabilities</v>
          </cell>
          <cell r="C168">
            <v>0</v>
          </cell>
          <cell r="D168">
            <v>0</v>
          </cell>
          <cell r="E168">
            <v>-43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</row>
        <row r="170">
          <cell r="B170" t="str">
            <v>Net Disposals (Acquisitions) - Allocations</v>
          </cell>
          <cell r="C170">
            <v>1</v>
          </cell>
          <cell r="D170">
            <v>1</v>
          </cell>
          <cell r="E170">
            <v>1</v>
          </cell>
          <cell r="F170">
            <v>1</v>
          </cell>
          <cell r="G170">
            <v>1</v>
          </cell>
          <cell r="H170">
            <v>1</v>
          </cell>
          <cell r="I170">
            <v>1</v>
          </cell>
          <cell r="J170">
            <v>1</v>
          </cell>
          <cell r="K170">
            <v>1</v>
          </cell>
        </row>
        <row r="171">
          <cell r="B171" t="str">
            <v>Premium (Goodwill) on Acquisitions</v>
          </cell>
          <cell r="C171">
            <v>0.6</v>
          </cell>
          <cell r="D171">
            <v>0.6</v>
          </cell>
          <cell r="E171">
            <v>0.75256544502617795</v>
          </cell>
          <cell r="F171">
            <v>0.65182000000000007</v>
          </cell>
          <cell r="G171">
            <v>0.6</v>
          </cell>
          <cell r="H171">
            <v>0.6</v>
          </cell>
          <cell r="I171">
            <v>0.6</v>
          </cell>
          <cell r="J171">
            <v>0.6</v>
          </cell>
          <cell r="K171">
            <v>0.6</v>
          </cell>
        </row>
        <row r="172">
          <cell r="B172" t="str">
            <v>Investment in Intangible Assets</v>
          </cell>
          <cell r="C172">
            <v>0.3</v>
          </cell>
          <cell r="D172">
            <v>0.3</v>
          </cell>
          <cell r="E172">
            <v>0.3</v>
          </cell>
          <cell r="F172">
            <v>0.28499999999999998</v>
          </cell>
          <cell r="G172">
            <v>0.3</v>
          </cell>
          <cell r="H172">
            <v>0.3</v>
          </cell>
          <cell r="I172">
            <v>0.3</v>
          </cell>
          <cell r="J172">
            <v>0.3</v>
          </cell>
          <cell r="K172">
            <v>0.3</v>
          </cell>
        </row>
        <row r="173">
          <cell r="B173" t="str">
            <v>Capital Expenditures Reflected in Cost of Acquisiton</v>
          </cell>
          <cell r="C173">
            <v>0.1</v>
          </cell>
          <cell r="D173">
            <v>0.1</v>
          </cell>
          <cell r="E173">
            <v>0.06</v>
          </cell>
          <cell r="F173">
            <v>6.318E-2</v>
          </cell>
          <cell r="G173">
            <v>0.1</v>
          </cell>
          <cell r="H173">
            <v>0.1</v>
          </cell>
          <cell r="I173">
            <v>0.1</v>
          </cell>
          <cell r="J173">
            <v>0.1</v>
          </cell>
          <cell r="K173">
            <v>0.1</v>
          </cell>
        </row>
        <row r="174">
          <cell r="B174" t="str">
            <v>Other Assets &amp; Liabilities</v>
          </cell>
          <cell r="C174">
            <v>0</v>
          </cell>
          <cell r="D174">
            <v>0</v>
          </cell>
          <cell r="E174">
            <v>-0.112565445026178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</sheetData>
      <sheetData sheetId="5">
        <row r="1">
          <cell r="B1" t="str">
            <v>Exhibit 6</v>
          </cell>
        </row>
        <row r="2">
          <cell r="B2" t="str">
            <v>Covidien Balance Sheet, 2005 - 2011E</v>
          </cell>
        </row>
        <row r="3">
          <cell r="D3" t="str">
            <v>z_bs_4c05</v>
          </cell>
          <cell r="E3" t="str">
            <v>z_bs_4c06</v>
          </cell>
          <cell r="F3" t="str">
            <v>z_bs_4c07</v>
          </cell>
          <cell r="G3" t="str">
            <v>z_bs_4c08</v>
          </cell>
          <cell r="H3" t="str">
            <v>z_bs_4c09</v>
          </cell>
          <cell r="I3" t="str">
            <v>z_bs_4c10</v>
          </cell>
          <cell r="J3" t="str">
            <v>z_bs_4c11</v>
          </cell>
          <cell r="K3" t="str">
            <v>z_bs_4c12</v>
          </cell>
        </row>
        <row r="4">
          <cell r="B4" t="str">
            <v>($ Millions, except per share data)</v>
          </cell>
        </row>
        <row r="5">
          <cell r="D5" t="str">
            <v>4Q05A</v>
          </cell>
          <cell r="E5" t="str">
            <v>4Q06A</v>
          </cell>
          <cell r="F5" t="str">
            <v>4Q07E</v>
          </cell>
          <cell r="G5" t="str">
            <v>4Q08E</v>
          </cell>
          <cell r="H5" t="str">
            <v>4Q09E</v>
          </cell>
          <cell r="I5" t="str">
            <v>4Q10E</v>
          </cell>
          <cell r="J5" t="str">
            <v>4Q11E</v>
          </cell>
          <cell r="K5" t="str">
            <v>4Q12E</v>
          </cell>
        </row>
        <row r="6">
          <cell r="B6" t="str">
            <v>Assets</v>
          </cell>
          <cell r="W6" t="str">
            <v>PFE</v>
          </cell>
          <cell r="X6" t="str">
            <v>Financing</v>
          </cell>
        </row>
        <row r="7">
          <cell r="B7" t="str">
            <v>Cash</v>
          </cell>
          <cell r="D7">
            <v>141</v>
          </cell>
          <cell r="E7">
            <v>242</v>
          </cell>
          <cell r="F7">
            <v>1044.9015856027193</v>
          </cell>
          <cell r="G7">
            <v>1427.1933003909876</v>
          </cell>
          <cell r="H7">
            <v>2016.6032698210661</v>
          </cell>
          <cell r="I7">
            <v>2797.7045098742929</v>
          </cell>
          <cell r="J7">
            <v>3737.2675089083273</v>
          </cell>
          <cell r="K7">
            <v>4694.1528032405877</v>
          </cell>
          <cell r="X7">
            <v>-6190</v>
          </cell>
        </row>
        <row r="8">
          <cell r="A8" t="str">
            <v>z_receivables</v>
          </cell>
          <cell r="B8" t="str">
            <v>Trade Receivables</v>
          </cell>
          <cell r="D8">
            <v>1448</v>
          </cell>
          <cell r="E8">
            <v>1542</v>
          </cell>
          <cell r="F8">
            <v>1644.1237776856362</v>
          </cell>
          <cell r="G8">
            <v>1720.0968818371859</v>
          </cell>
          <cell r="H8">
            <v>1772.1500728742353</v>
          </cell>
          <cell r="I8">
            <v>1827.771729880016</v>
          </cell>
          <cell r="J8">
            <v>1891.0511902022988</v>
          </cell>
          <cell r="K8">
            <v>1947.7827259083679</v>
          </cell>
          <cell r="W8">
            <v>778</v>
          </cell>
        </row>
        <row r="9">
          <cell r="A9" t="str">
            <v>z_inventory</v>
          </cell>
          <cell r="B9" t="str">
            <v>Inventories</v>
          </cell>
          <cell r="D9">
            <v>1066</v>
          </cell>
          <cell r="E9">
            <v>1255</v>
          </cell>
          <cell r="F9">
            <v>1338</v>
          </cell>
          <cell r="G9">
            <v>1384.7449999999999</v>
          </cell>
          <cell r="H9">
            <v>1401.3619400000002</v>
          </cell>
          <cell r="I9">
            <v>1411.8721545500002</v>
          </cell>
          <cell r="J9">
            <v>1421.7552596318503</v>
          </cell>
          <cell r="K9">
            <v>1435.9728122281688</v>
          </cell>
          <cell r="W9">
            <v>518</v>
          </cell>
        </row>
        <row r="10">
          <cell r="B10" t="str">
            <v xml:space="preserve">  Finished Goods</v>
          </cell>
          <cell r="D10">
            <v>694</v>
          </cell>
          <cell r="E10">
            <v>817.04502814258922</v>
          </cell>
          <cell r="F10">
            <v>871.08067542213894</v>
          </cell>
          <cell r="G10">
            <v>901.51316135084426</v>
          </cell>
          <cell r="H10">
            <v>912.33131928705461</v>
          </cell>
          <cell r="I10">
            <v>919.17380418170751</v>
          </cell>
          <cell r="J10">
            <v>925.6080208109795</v>
          </cell>
          <cell r="K10">
            <v>934.86410101908928</v>
          </cell>
        </row>
        <row r="11">
          <cell r="A11" t="str">
            <v>z_wip</v>
          </cell>
          <cell r="B11" t="str">
            <v xml:space="preserve">  WIP</v>
          </cell>
          <cell r="D11">
            <v>180</v>
          </cell>
          <cell r="E11">
            <v>211.91369606003749</v>
          </cell>
          <cell r="F11">
            <v>225.92870544090056</v>
          </cell>
          <cell r="G11">
            <v>233.82185741088176</v>
          </cell>
          <cell r="H11">
            <v>236.62771969981242</v>
          </cell>
          <cell r="I11">
            <v>238.402427597561</v>
          </cell>
          <cell r="J11">
            <v>240.07124459074393</v>
          </cell>
          <cell r="K11">
            <v>242.47195703665136</v>
          </cell>
        </row>
        <row r="12">
          <cell r="B12" t="str">
            <v xml:space="preserve">  Raw Materials</v>
          </cell>
          <cell r="D12">
            <v>192</v>
          </cell>
          <cell r="E12">
            <v>226.04127579737334</v>
          </cell>
          <cell r="F12">
            <v>240.99061913696056</v>
          </cell>
          <cell r="G12">
            <v>249.40998123827387</v>
          </cell>
          <cell r="H12">
            <v>252.4029010131332</v>
          </cell>
          <cell r="I12">
            <v>254.29592277073172</v>
          </cell>
          <cell r="J12">
            <v>256.07599423012687</v>
          </cell>
          <cell r="K12">
            <v>258.63675417242808</v>
          </cell>
        </row>
        <row r="13">
          <cell r="B13" t="str">
            <v>Prepaid expenses/Other</v>
          </cell>
          <cell r="D13">
            <v>200</v>
          </cell>
          <cell r="E13">
            <v>332</v>
          </cell>
          <cell r="F13">
            <v>349.13859230848965</v>
          </cell>
          <cell r="G13">
            <v>365.27189260910126</v>
          </cell>
          <cell r="H13">
            <v>376.32566975805946</v>
          </cell>
          <cell r="I13">
            <v>388.13722998997832</v>
          </cell>
          <cell r="J13">
            <v>401.57496624731937</v>
          </cell>
          <cell r="K13">
            <v>413.62221523473892</v>
          </cell>
        </row>
        <row r="14">
          <cell r="B14" t="str">
            <v>Income tax receivable</v>
          </cell>
          <cell r="D14">
            <v>51</v>
          </cell>
          <cell r="E14">
            <v>91</v>
          </cell>
          <cell r="F14">
            <v>91</v>
          </cell>
          <cell r="G14">
            <v>91</v>
          </cell>
          <cell r="H14">
            <v>91</v>
          </cell>
          <cell r="I14">
            <v>91</v>
          </cell>
          <cell r="J14">
            <v>91</v>
          </cell>
          <cell r="K14">
            <v>91</v>
          </cell>
        </row>
        <row r="15">
          <cell r="B15" t="str">
            <v>Receivable associated with class action lawsuit</v>
          </cell>
          <cell r="D15">
            <v>0</v>
          </cell>
          <cell r="E15">
            <v>0</v>
          </cell>
          <cell r="F15">
            <v>1726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</row>
        <row r="16">
          <cell r="B16" t="str">
            <v>Escrow associated with class action lawsuit</v>
          </cell>
          <cell r="D16">
            <v>0</v>
          </cell>
          <cell r="E16">
            <v>0</v>
          </cell>
          <cell r="F16">
            <v>1249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B17" t="str">
            <v xml:space="preserve">Deferred Income Taxes </v>
          </cell>
          <cell r="D17">
            <v>349</v>
          </cell>
          <cell r="E17">
            <v>179</v>
          </cell>
          <cell r="F17">
            <v>179</v>
          </cell>
          <cell r="G17">
            <v>179</v>
          </cell>
          <cell r="H17">
            <v>179</v>
          </cell>
          <cell r="I17">
            <v>179</v>
          </cell>
          <cell r="J17">
            <v>179</v>
          </cell>
          <cell r="K17">
            <v>179</v>
          </cell>
        </row>
        <row r="18">
          <cell r="B18" t="str">
            <v>Assets held for sale</v>
          </cell>
          <cell r="D18">
            <v>1274</v>
          </cell>
          <cell r="E18">
            <v>2</v>
          </cell>
          <cell r="F18">
            <v>2</v>
          </cell>
          <cell r="G18">
            <v>2</v>
          </cell>
          <cell r="H18">
            <v>2</v>
          </cell>
          <cell r="I18">
            <v>2</v>
          </cell>
          <cell r="J18">
            <v>2</v>
          </cell>
          <cell r="K18">
            <v>2</v>
          </cell>
          <cell r="W18">
            <v>64</v>
          </cell>
        </row>
        <row r="19">
          <cell r="B19" t="str">
            <v>Total Current Assets</v>
          </cell>
          <cell r="D19">
            <v>4529</v>
          </cell>
          <cell r="E19">
            <v>3643</v>
          </cell>
          <cell r="F19">
            <v>7623.163955596845</v>
          </cell>
          <cell r="G19">
            <v>5169.3070748372747</v>
          </cell>
          <cell r="H19">
            <v>5838.4409524533612</v>
          </cell>
          <cell r="I19">
            <v>6697.4856242942878</v>
          </cell>
          <cell r="J19">
            <v>7723.648924989795</v>
          </cell>
          <cell r="K19">
            <v>8763.5305566118623</v>
          </cell>
        </row>
        <row r="21">
          <cell r="A21" t="str">
            <v>z_ppe</v>
          </cell>
          <cell r="B21" t="str">
            <v>Property, Plant &amp; Equipment</v>
          </cell>
          <cell r="D21">
            <v>2368</v>
          </cell>
          <cell r="E21">
            <v>2558</v>
          </cell>
          <cell r="F21">
            <v>2700.4759999999997</v>
          </cell>
          <cell r="G21">
            <v>2825.6059999999993</v>
          </cell>
          <cell r="H21">
            <v>2946.2429999999995</v>
          </cell>
          <cell r="I21">
            <v>3061.9377999999997</v>
          </cell>
          <cell r="J21">
            <v>3172.1964799999996</v>
          </cell>
          <cell r="K21">
            <v>3276.4753280000004</v>
          </cell>
          <cell r="W21">
            <v>1023</v>
          </cell>
        </row>
        <row r="22">
          <cell r="A22" t="str">
            <v>z_goodwill</v>
          </cell>
          <cell r="B22" t="str">
            <v xml:space="preserve">Goodwill   </v>
          </cell>
          <cell r="D22">
            <v>5974</v>
          </cell>
          <cell r="E22">
            <v>6114</v>
          </cell>
          <cell r="F22">
            <v>6114</v>
          </cell>
          <cell r="G22">
            <v>6114</v>
          </cell>
          <cell r="H22">
            <v>6114</v>
          </cell>
          <cell r="I22">
            <v>6114</v>
          </cell>
          <cell r="J22">
            <v>6114</v>
          </cell>
          <cell r="K22">
            <v>6114</v>
          </cell>
          <cell r="W22">
            <v>12869</v>
          </cell>
        </row>
        <row r="23">
          <cell r="A23" t="str">
            <v>z_intangibles</v>
          </cell>
          <cell r="B23" t="str">
            <v>Intangibles, net</v>
          </cell>
          <cell r="D23">
            <v>1155</v>
          </cell>
          <cell r="E23">
            <v>1378</v>
          </cell>
          <cell r="F23">
            <v>1314</v>
          </cell>
          <cell r="G23">
            <v>1250</v>
          </cell>
          <cell r="H23">
            <v>1186</v>
          </cell>
          <cell r="I23">
            <v>1122</v>
          </cell>
          <cell r="J23">
            <v>1058</v>
          </cell>
          <cell r="K23">
            <v>994</v>
          </cell>
          <cell r="W23">
            <v>1651</v>
          </cell>
        </row>
        <row r="24">
          <cell r="B24" t="str">
            <v>Deferred Taxes on Income</v>
          </cell>
          <cell r="D24">
            <v>385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</row>
        <row r="25">
          <cell r="B25" t="str">
            <v>Other Assets</v>
          </cell>
          <cell r="D25">
            <v>373</v>
          </cell>
          <cell r="E25">
            <v>415</v>
          </cell>
          <cell r="F25">
            <v>415</v>
          </cell>
          <cell r="G25">
            <v>415</v>
          </cell>
          <cell r="H25">
            <v>415</v>
          </cell>
          <cell r="I25">
            <v>415</v>
          </cell>
          <cell r="J25">
            <v>415</v>
          </cell>
          <cell r="K25">
            <v>415</v>
          </cell>
          <cell r="W25">
            <v>20</v>
          </cell>
        </row>
        <row r="26">
          <cell r="A26" t="str">
            <v>z_total_assets</v>
          </cell>
          <cell r="B26" t="str">
            <v>Total Assets</v>
          </cell>
          <cell r="D26">
            <v>14784</v>
          </cell>
          <cell r="E26">
            <v>14108</v>
          </cell>
          <cell r="F26">
            <v>18166.639955596846</v>
          </cell>
          <cell r="G26">
            <v>15773.913074837274</v>
          </cell>
          <cell r="H26">
            <v>16499.683952453361</v>
          </cell>
          <cell r="I26">
            <v>17410.423424294288</v>
          </cell>
          <cell r="J26">
            <v>18482.845404989795</v>
          </cell>
          <cell r="K26">
            <v>19563.005884611863</v>
          </cell>
        </row>
        <row r="28">
          <cell r="B28" t="str">
            <v>Liabilities</v>
          </cell>
        </row>
        <row r="29">
          <cell r="B29" t="str">
            <v>Current maturities of LTD</v>
          </cell>
          <cell r="D29">
            <v>463</v>
          </cell>
          <cell r="E29">
            <v>194</v>
          </cell>
          <cell r="F29">
            <v>54</v>
          </cell>
          <cell r="G29">
            <v>54</v>
          </cell>
          <cell r="H29">
            <v>54</v>
          </cell>
          <cell r="I29">
            <v>54</v>
          </cell>
          <cell r="J29">
            <v>54</v>
          </cell>
          <cell r="K29">
            <v>54</v>
          </cell>
        </row>
        <row r="30">
          <cell r="A30" t="str">
            <v>z_payables</v>
          </cell>
          <cell r="B30" t="str">
            <v xml:space="preserve">Accounts Payable </v>
          </cell>
          <cell r="D30">
            <v>564</v>
          </cell>
          <cell r="E30">
            <v>549</v>
          </cell>
          <cell r="F30">
            <v>577.22500000000002</v>
          </cell>
          <cell r="G30">
            <v>597.39099999999996</v>
          </cell>
          <cell r="H30">
            <v>604.55999999999995</v>
          </cell>
          <cell r="I30">
            <v>609.09400000000005</v>
          </cell>
          <cell r="J30">
            <v>613.35799999999995</v>
          </cell>
          <cell r="K30">
            <v>619.49099999999999</v>
          </cell>
          <cell r="W30">
            <v>408.6</v>
          </cell>
        </row>
        <row r="31">
          <cell r="B31" t="str">
            <v>Accrued legal costs</v>
          </cell>
          <cell r="D31">
            <v>366</v>
          </cell>
          <cell r="E31">
            <v>25</v>
          </cell>
          <cell r="F31">
            <v>26.29055664973567</v>
          </cell>
          <cell r="G31">
            <v>27.505413600082928</v>
          </cell>
          <cell r="H31">
            <v>28.337776337203273</v>
          </cell>
          <cell r="I31">
            <v>29.227201053462224</v>
          </cell>
          <cell r="J31">
            <v>30.239078783683688</v>
          </cell>
          <cell r="K31">
            <v>31.146251147194199</v>
          </cell>
        </row>
        <row r="32">
          <cell r="B32" t="str">
            <v>Accrued payroll and payroll related costs</v>
          </cell>
          <cell r="D32">
            <v>174</v>
          </cell>
          <cell r="E32">
            <v>131</v>
          </cell>
          <cell r="F32">
            <v>137.76251684461491</v>
          </cell>
          <cell r="G32">
            <v>144.12836726443456</v>
          </cell>
          <cell r="H32">
            <v>148.48994800694516</v>
          </cell>
          <cell r="I32">
            <v>153.15053352014206</v>
          </cell>
          <cell r="J32">
            <v>158.45277282650255</v>
          </cell>
          <cell r="K32">
            <v>163.20635601129763</v>
          </cell>
        </row>
        <row r="33">
          <cell r="B33" t="str">
            <v>Accrued and other current liabilities</v>
          </cell>
          <cell r="D33">
            <v>555</v>
          </cell>
          <cell r="E33">
            <v>655</v>
          </cell>
          <cell r="F33">
            <v>688.81299999999999</v>
          </cell>
          <cell r="G33">
            <v>720.64200000000005</v>
          </cell>
          <cell r="H33">
            <v>742.45</v>
          </cell>
          <cell r="I33">
            <v>765.75300000000004</v>
          </cell>
          <cell r="J33">
            <v>792.26400000000001</v>
          </cell>
          <cell r="K33">
            <v>816.03200000000004</v>
          </cell>
          <cell r="W33">
            <v>272.39999999999998</v>
          </cell>
        </row>
        <row r="34">
          <cell r="B34" t="str">
            <v>Liability associated with class action lawsuit</v>
          </cell>
          <cell r="D34">
            <v>0</v>
          </cell>
          <cell r="E34">
            <v>0</v>
          </cell>
          <cell r="F34">
            <v>2975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</row>
        <row r="35">
          <cell r="B35" t="str">
            <v>Unsecured bridge loan</v>
          </cell>
          <cell r="D35">
            <v>0</v>
          </cell>
          <cell r="E35">
            <v>0</v>
          </cell>
          <cell r="F35">
            <v>4250</v>
          </cell>
          <cell r="G35">
            <v>3750</v>
          </cell>
          <cell r="H35">
            <v>3250</v>
          </cell>
          <cell r="I35">
            <v>2750</v>
          </cell>
          <cell r="J35">
            <v>2250</v>
          </cell>
          <cell r="K35">
            <v>1750</v>
          </cell>
        </row>
        <row r="36">
          <cell r="B36" t="str">
            <v>Income taxes payable</v>
          </cell>
          <cell r="D36">
            <v>89</v>
          </cell>
          <cell r="E36">
            <v>93</v>
          </cell>
          <cell r="F36">
            <v>97.801000000000002</v>
          </cell>
          <cell r="G36">
            <v>102.32</v>
          </cell>
          <cell r="H36">
            <v>105.416</v>
          </cell>
          <cell r="I36">
            <v>108.72499999999999</v>
          </cell>
          <cell r="J36">
            <v>112.489</v>
          </cell>
          <cell r="K36">
            <v>115.864</v>
          </cell>
        </row>
        <row r="37">
          <cell r="B37" t="str">
            <v>Liabilities associated with assets held for sale</v>
          </cell>
          <cell r="D37">
            <v>322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38">
          <cell r="B38" t="str">
            <v>Total Current Liabilities</v>
          </cell>
          <cell r="D38">
            <v>2533</v>
          </cell>
          <cell r="E38">
            <v>1647</v>
          </cell>
          <cell r="F38">
            <v>8806.8920734943495</v>
          </cell>
          <cell r="G38">
            <v>5395.9867808645176</v>
          </cell>
          <cell r="H38">
            <v>4933.2537243441484</v>
          </cell>
          <cell r="I38">
            <v>4469.9497345736045</v>
          </cell>
          <cell r="J38">
            <v>4010.8028516101863</v>
          </cell>
          <cell r="K38">
            <v>3549.7396071584922</v>
          </cell>
        </row>
        <row r="40">
          <cell r="B40" t="str">
            <v>Long-Term Debt</v>
          </cell>
          <cell r="D40">
            <v>2544</v>
          </cell>
          <cell r="E40">
            <v>2248</v>
          </cell>
          <cell r="F40">
            <v>148</v>
          </cell>
          <cell r="G40">
            <v>148</v>
          </cell>
          <cell r="H40">
            <v>148</v>
          </cell>
          <cell r="I40">
            <v>148</v>
          </cell>
          <cell r="J40">
            <v>48</v>
          </cell>
          <cell r="K40">
            <v>-52</v>
          </cell>
          <cell r="X40">
            <v>10000</v>
          </cell>
        </row>
        <row r="41">
          <cell r="B41" t="str">
            <v>Income taxes payable</v>
          </cell>
          <cell r="D41">
            <v>440</v>
          </cell>
          <cell r="E41">
            <v>340</v>
          </cell>
          <cell r="F41">
            <v>340</v>
          </cell>
          <cell r="G41">
            <v>340</v>
          </cell>
          <cell r="H41">
            <v>340</v>
          </cell>
          <cell r="I41">
            <v>340</v>
          </cell>
          <cell r="J41">
            <v>340</v>
          </cell>
          <cell r="K41">
            <v>340</v>
          </cell>
        </row>
        <row r="42">
          <cell r="B42" t="str">
            <v>Deferred Income taxes</v>
          </cell>
          <cell r="D42">
            <v>382</v>
          </cell>
          <cell r="E42">
            <v>376</v>
          </cell>
          <cell r="F42">
            <v>376</v>
          </cell>
          <cell r="G42">
            <v>376</v>
          </cell>
          <cell r="H42">
            <v>376</v>
          </cell>
          <cell r="I42">
            <v>376</v>
          </cell>
          <cell r="J42">
            <v>376</v>
          </cell>
          <cell r="K42">
            <v>376</v>
          </cell>
        </row>
        <row r="43">
          <cell r="B43" t="str">
            <v xml:space="preserve">Other Liabilities </v>
          </cell>
          <cell r="D43">
            <v>878</v>
          </cell>
          <cell r="E43">
            <v>876</v>
          </cell>
          <cell r="F43">
            <v>1404</v>
          </cell>
          <cell r="G43">
            <v>1404</v>
          </cell>
          <cell r="H43">
            <v>1404</v>
          </cell>
          <cell r="I43">
            <v>1404</v>
          </cell>
          <cell r="J43">
            <v>1404</v>
          </cell>
          <cell r="K43">
            <v>1404</v>
          </cell>
          <cell r="W43">
            <v>742</v>
          </cell>
        </row>
        <row r="44">
          <cell r="B44" t="str">
            <v>Total Liabilities</v>
          </cell>
          <cell r="D44">
            <v>6777</v>
          </cell>
          <cell r="E44">
            <v>5487</v>
          </cell>
          <cell r="F44">
            <v>11074.892073494349</v>
          </cell>
          <cell r="G44">
            <v>7663.9867808645176</v>
          </cell>
          <cell r="H44">
            <v>7201.2537243441484</v>
          </cell>
          <cell r="I44">
            <v>6737.9497345736045</v>
          </cell>
          <cell r="J44">
            <v>6178.8028516101858</v>
          </cell>
          <cell r="K44">
            <v>5617.7396071584917</v>
          </cell>
        </row>
        <row r="46">
          <cell r="B46" t="str">
            <v>Equity</v>
          </cell>
        </row>
        <row r="47">
          <cell r="B47" t="str">
            <v>Common shares</v>
          </cell>
          <cell r="D47">
            <v>0</v>
          </cell>
          <cell r="E47">
            <v>0</v>
          </cell>
          <cell r="F47">
            <v>99</v>
          </cell>
          <cell r="G47">
            <v>99</v>
          </cell>
          <cell r="H47">
            <v>99</v>
          </cell>
          <cell r="I47">
            <v>99</v>
          </cell>
          <cell r="J47">
            <v>99</v>
          </cell>
        </row>
        <row r="48">
          <cell r="B48" t="str">
            <v>Parent Company Investment/Contributed Surplus</v>
          </cell>
          <cell r="D48">
            <v>7901</v>
          </cell>
          <cell r="E48">
            <v>8320</v>
          </cell>
          <cell r="F48">
            <v>6475.9578314584451</v>
          </cell>
          <cell r="G48">
            <v>6517.7796138948743</v>
          </cell>
          <cell r="H48">
            <v>6566.7616131164459</v>
          </cell>
          <cell r="I48">
            <v>6623.6622217445538</v>
          </cell>
          <cell r="J48">
            <v>6689.3105383010243</v>
          </cell>
          <cell r="K48">
            <v>6764.6137152723295</v>
          </cell>
        </row>
        <row r="49">
          <cell r="B49" t="str">
            <v>Accumulated other comprehensive income</v>
          </cell>
          <cell r="D49">
            <v>106</v>
          </cell>
          <cell r="E49">
            <v>301</v>
          </cell>
          <cell r="F49">
            <v>491</v>
          </cell>
          <cell r="G49">
            <v>491</v>
          </cell>
          <cell r="H49">
            <v>491</v>
          </cell>
          <cell r="I49">
            <v>491</v>
          </cell>
          <cell r="J49">
            <v>491</v>
          </cell>
          <cell r="K49">
            <v>491</v>
          </cell>
        </row>
        <row r="50">
          <cell r="B50" t="str">
            <v>Retained Earnings</v>
          </cell>
          <cell r="D50">
            <v>0</v>
          </cell>
          <cell r="E50">
            <v>0</v>
          </cell>
          <cell r="F50">
            <v>25.790050644048733</v>
          </cell>
          <cell r="G50">
            <v>1002.1466800778821</v>
          </cell>
          <cell r="H50">
            <v>2141.6686149927659</v>
          </cell>
          <cell r="I50">
            <v>3458.8114679761288</v>
          </cell>
          <cell r="J50">
            <v>5024.7320150785854</v>
          </cell>
          <cell r="K50">
            <v>6590.6525621810415</v>
          </cell>
        </row>
        <row r="52">
          <cell r="A52" t="str">
            <v>z_equity</v>
          </cell>
          <cell r="B52" t="str">
            <v>Shareholders' Equity</v>
          </cell>
          <cell r="D52">
            <v>8007</v>
          </cell>
          <cell r="E52">
            <v>8621</v>
          </cell>
          <cell r="F52">
            <v>7091.7478821024943</v>
          </cell>
          <cell r="G52">
            <v>8109.926293972756</v>
          </cell>
          <cell r="H52">
            <v>9298.4302281092114</v>
          </cell>
          <cell r="I52">
            <v>10672.473689720682</v>
          </cell>
          <cell r="J52">
            <v>12304.04255337961</v>
          </cell>
          <cell r="K52">
            <v>13846.266277453371</v>
          </cell>
        </row>
        <row r="54">
          <cell r="B54" t="str">
            <v>Total Liabilities &amp; Shareholders' Equity</v>
          </cell>
          <cell r="D54">
            <v>14784</v>
          </cell>
          <cell r="E54">
            <v>14108</v>
          </cell>
          <cell r="F54">
            <v>18166.639955596846</v>
          </cell>
          <cell r="G54">
            <v>15773.913074837274</v>
          </cell>
          <cell r="H54">
            <v>16499.683952453361</v>
          </cell>
          <cell r="I54">
            <v>17410.423424294288</v>
          </cell>
          <cell r="J54">
            <v>18482.845404989795</v>
          </cell>
          <cell r="K54">
            <v>19464.005884611863</v>
          </cell>
        </row>
        <row r="55">
          <cell r="B55" t="str">
            <v>Check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-99</v>
          </cell>
        </row>
        <row r="57">
          <cell r="B57" t="str">
            <v>Source: Company data, Morgan Stanley Research</v>
          </cell>
        </row>
        <row r="58">
          <cell r="B58" t="str">
            <v>E = Morgan Stanley Research Estimates</v>
          </cell>
        </row>
        <row r="62">
          <cell r="B62" t="str">
            <v>Income Statement Items</v>
          </cell>
          <cell r="D62" t="str">
            <v>4Q05A</v>
          </cell>
          <cell r="E62" t="str">
            <v>4Q06A</v>
          </cell>
          <cell r="F62" t="str">
            <v>4Q07E</v>
          </cell>
          <cell r="G62" t="str">
            <v>4Q08E</v>
          </cell>
          <cell r="H62" t="str">
            <v>4Q09E</v>
          </cell>
          <cell r="I62" t="str">
            <v>4Q10E</v>
          </cell>
          <cell r="J62" t="str">
            <v>4Q11E</v>
          </cell>
          <cell r="K62" t="str">
            <v>4Q12E</v>
          </cell>
        </row>
        <row r="63">
          <cell r="B63" t="str">
            <v>Annual Sales</v>
          </cell>
          <cell r="D63">
            <v>9535</v>
          </cell>
          <cell r="E63">
            <v>9647</v>
          </cell>
          <cell r="F63">
            <v>10145</v>
          </cell>
          <cell r="G63">
            <v>10613.789000000001</v>
          </cell>
          <cell r="H63">
            <v>10934.981132999999</v>
          </cell>
          <cell r="I63">
            <v>11278.192342510003</v>
          </cell>
          <cell r="J63">
            <v>11668.655721047862</v>
          </cell>
          <cell r="K63">
            <v>12018.715392679298</v>
          </cell>
        </row>
        <row r="64">
          <cell r="B64" t="str">
            <v>Sales</v>
          </cell>
          <cell r="D64">
            <v>9535</v>
          </cell>
          <cell r="E64">
            <v>9647</v>
          </cell>
          <cell r="F64">
            <v>10145</v>
          </cell>
          <cell r="G64">
            <v>10613.789000000001</v>
          </cell>
          <cell r="H64">
            <v>10934.981132999999</v>
          </cell>
          <cell r="I64">
            <v>11278.192342510003</v>
          </cell>
          <cell r="J64">
            <v>11668.655721047862</v>
          </cell>
          <cell r="K64">
            <v>12018.715392679298</v>
          </cell>
        </row>
        <row r="65">
          <cell r="B65" t="str">
            <v>COGS</v>
          </cell>
          <cell r="D65">
            <v>4835</v>
          </cell>
          <cell r="E65">
            <v>5161</v>
          </cell>
          <cell r="F65">
            <v>5352</v>
          </cell>
          <cell r="G65">
            <v>5538.98</v>
          </cell>
          <cell r="H65">
            <v>5605.4477600000009</v>
          </cell>
          <cell r="I65">
            <v>5647.4886182000009</v>
          </cell>
          <cell r="J65">
            <v>5687.0210385274013</v>
          </cell>
          <cell r="K65">
            <v>5743.8912489126751</v>
          </cell>
        </row>
        <row r="66">
          <cell r="B66" t="str">
            <v>SG&amp;A</v>
          </cell>
          <cell r="D66">
            <v>2048</v>
          </cell>
          <cell r="E66">
            <v>2081</v>
          </cell>
          <cell r="F66">
            <v>2473</v>
          </cell>
          <cell r="G66">
            <v>2642.24</v>
          </cell>
          <cell r="H66">
            <v>2740.00288</v>
          </cell>
          <cell r="I66">
            <v>2849.6029951999999</v>
          </cell>
          <cell r="J66">
            <v>2963.5871150079997</v>
          </cell>
          <cell r="K66">
            <v>3052.4947284582399</v>
          </cell>
        </row>
        <row r="67">
          <cell r="B67" t="str">
            <v>Pretax Income</v>
          </cell>
          <cell r="D67">
            <v>2006</v>
          </cell>
          <cell r="E67">
            <v>1989</v>
          </cell>
          <cell r="F67">
            <v>1859.5193333110356</v>
          </cell>
          <cell r="G67">
            <v>1864.6606605048903</v>
          </cell>
          <cell r="H67">
            <v>2027.4956829787097</v>
          </cell>
          <cell r="I67">
            <v>2246.0317402546707</v>
          </cell>
          <cell r="J67">
            <v>2521.5142528411575</v>
          </cell>
          <cell r="K67">
            <v>2884.4396730209892</v>
          </cell>
        </row>
        <row r="68">
          <cell r="B68" t="str">
            <v>Taxes</v>
          </cell>
          <cell r="D68">
            <v>600.25</v>
          </cell>
          <cell r="E68">
            <v>494</v>
          </cell>
          <cell r="F68">
            <v>483.72928266698682</v>
          </cell>
          <cell r="G68">
            <v>588.3040310710569</v>
          </cell>
          <cell r="H68">
            <v>587.97374806382584</v>
          </cell>
          <cell r="I68">
            <v>628.88888727130791</v>
          </cell>
          <cell r="J68">
            <v>655.59370573870092</v>
          </cell>
          <cell r="K68">
            <v>749.95431498545724</v>
          </cell>
        </row>
        <row r="71">
          <cell r="B71" t="str">
            <v>Balance Sheet Ratios and Assumptions</v>
          </cell>
        </row>
        <row r="73">
          <cell r="B73" t="str">
            <v>Liquidity</v>
          </cell>
          <cell r="D73" t="str">
            <v>4Q05A</v>
          </cell>
          <cell r="E73" t="str">
            <v>4Q06A</v>
          </cell>
          <cell r="F73" t="str">
            <v>4Q07E</v>
          </cell>
          <cell r="G73" t="str">
            <v>4Q08E</v>
          </cell>
          <cell r="H73" t="str">
            <v>4Q09E</v>
          </cell>
          <cell r="I73" t="str">
            <v>4Q10E</v>
          </cell>
          <cell r="J73" t="str">
            <v>4Q11E</v>
          </cell>
          <cell r="K73" t="str">
            <v>4Q12E</v>
          </cell>
        </row>
        <row r="74">
          <cell r="B74" t="str">
            <v>Current Ratio</v>
          </cell>
          <cell r="D74">
            <v>1.7879984208448481</v>
          </cell>
          <cell r="E74">
            <v>2.211900425015179</v>
          </cell>
          <cell r="F74">
            <v>0.86559070918330994</v>
          </cell>
          <cell r="G74">
            <v>0.95799105608799784</v>
          </cell>
          <cell r="H74">
            <v>1.1834868585093001</v>
          </cell>
          <cell r="I74">
            <v>1.4983357804879591</v>
          </cell>
          <cell r="J74">
            <v>1.9257114375215527</v>
          </cell>
          <cell r="K74">
            <v>2.4687812421336797</v>
          </cell>
        </row>
        <row r="75">
          <cell r="B75" t="str">
            <v>Acid-Test Ratio</v>
          </cell>
          <cell r="D75">
            <v>1.3671535728385313</v>
          </cell>
          <cell r="E75">
            <v>1.4499089253187614</v>
          </cell>
          <cell r="F75">
            <v>0.71366424195352407</v>
          </cell>
          <cell r="G75">
            <v>0.70136607603603718</v>
          </cell>
          <cell r="H75">
            <v>0.89942242187092236</v>
          </cell>
          <cell r="I75">
            <v>1.1824771605062558</v>
          </cell>
          <cell r="J75">
            <v>1.5712299752724002</v>
          </cell>
          <cell r="K75">
            <v>2.064252186162264</v>
          </cell>
        </row>
        <row r="76">
          <cell r="B76" t="str">
            <v>Cash Ratio</v>
          </cell>
          <cell r="D76">
            <v>5.5665219107777338E-2</v>
          </cell>
          <cell r="E76">
            <v>0.14693381906496661</v>
          </cell>
          <cell r="F76">
            <v>0.11864589424770014</v>
          </cell>
          <cell r="G76">
            <v>0.26449162282090133</v>
          </cell>
          <cell r="H76">
            <v>0.40877752949736301</v>
          </cell>
          <cell r="I76">
            <v>0.62589171601527427</v>
          </cell>
          <cell r="J76">
            <v>0.93180035199385458</v>
          </cell>
          <cell r="K76">
            <v>1.3223935619881086</v>
          </cell>
        </row>
        <row r="78">
          <cell r="B78" t="str">
            <v>Operating Asset Ratios and Assumptions</v>
          </cell>
          <cell r="D78" t="str">
            <v>4Q05A</v>
          </cell>
          <cell r="E78" t="str">
            <v>4Q06A</v>
          </cell>
          <cell r="F78" t="str">
            <v>4Q07E</v>
          </cell>
          <cell r="G78" t="str">
            <v>4Q08E</v>
          </cell>
          <cell r="H78" t="str">
            <v>4Q09E</v>
          </cell>
          <cell r="I78" t="str">
            <v>4Q10E</v>
          </cell>
          <cell r="J78" t="str">
            <v>4Q11E</v>
          </cell>
          <cell r="K78" t="str">
            <v>4Q12E</v>
          </cell>
        </row>
        <row r="79">
          <cell r="B79" t="str">
            <v>Receivable Days Outstanding</v>
          </cell>
          <cell r="D79">
            <v>55.429470372312537</v>
          </cell>
          <cell r="E79">
            <v>58.342489893231054</v>
          </cell>
          <cell r="F79">
            <v>58.342489893231054</v>
          </cell>
          <cell r="G79">
            <v>58.342489893231054</v>
          </cell>
          <cell r="H79">
            <v>58.342489893231054</v>
          </cell>
          <cell r="I79">
            <v>58.342489893231054</v>
          </cell>
          <cell r="J79">
            <v>58.342489893231054</v>
          </cell>
          <cell r="K79">
            <v>58.342489893231054</v>
          </cell>
        </row>
        <row r="80">
          <cell r="B80" t="str">
            <v>Inventory Turnover</v>
          </cell>
          <cell r="E80">
            <v>4.4472210254200775</v>
          </cell>
          <cell r="F80">
            <v>4</v>
          </cell>
          <cell r="G80">
            <v>4</v>
          </cell>
          <cell r="H80">
            <v>4</v>
          </cell>
          <cell r="I80">
            <v>4</v>
          </cell>
          <cell r="J80">
            <v>4</v>
          </cell>
          <cell r="K80">
            <v>4</v>
          </cell>
        </row>
        <row r="81">
          <cell r="B81" t="str">
            <v>Inventory breakdown:</v>
          </cell>
        </row>
        <row r="82">
          <cell r="B82" t="str">
            <v xml:space="preserve">   Finished Goods as % of Total Inv.</v>
          </cell>
          <cell r="D82">
            <v>0.651031894934334</v>
          </cell>
          <cell r="E82">
            <v>0.651031894934334</v>
          </cell>
          <cell r="F82">
            <v>0.651031894934334</v>
          </cell>
          <cell r="G82">
            <v>0.651031894934334</v>
          </cell>
          <cell r="H82">
            <v>0.651031894934334</v>
          </cell>
          <cell r="I82">
            <v>0.651031894934334</v>
          </cell>
          <cell r="J82">
            <v>0.651031894934334</v>
          </cell>
          <cell r="K82">
            <v>0.651031894934334</v>
          </cell>
        </row>
        <row r="83">
          <cell r="B83" t="str">
            <v xml:space="preserve">   WIP as % of Total Inv.</v>
          </cell>
          <cell r="D83">
            <v>0.16885553470919323</v>
          </cell>
          <cell r="E83">
            <v>0.16885553470919323</v>
          </cell>
          <cell r="F83">
            <v>0.16885553470919323</v>
          </cell>
          <cell r="G83">
            <v>0.16885553470919323</v>
          </cell>
          <cell r="H83">
            <v>0.16885553470919323</v>
          </cell>
          <cell r="I83">
            <v>0.16885553470919323</v>
          </cell>
          <cell r="J83">
            <v>0.16885553470919323</v>
          </cell>
          <cell r="K83">
            <v>0.16885553470919323</v>
          </cell>
        </row>
        <row r="84">
          <cell r="B84" t="str">
            <v xml:space="preserve">   Raw Materials as % of Total Inv.</v>
          </cell>
          <cell r="D84">
            <v>0.1801125703564728</v>
          </cell>
          <cell r="E84">
            <v>0.1801125703564728</v>
          </cell>
          <cell r="F84">
            <v>0.18011257035647277</v>
          </cell>
          <cell r="G84">
            <v>0.18011257035647277</v>
          </cell>
          <cell r="H84">
            <v>0.18011257035647277</v>
          </cell>
          <cell r="I84">
            <v>0.18011257035647277</v>
          </cell>
          <cell r="J84">
            <v>0.18011257035647277</v>
          </cell>
          <cell r="K84">
            <v>0.18011257035647277</v>
          </cell>
        </row>
        <row r="85">
          <cell r="B85" t="str">
            <v>Days Payable Outstanding</v>
          </cell>
          <cell r="D85">
            <v>42.577042399172704</v>
          </cell>
          <cell r="E85">
            <v>38.826777756248788</v>
          </cell>
          <cell r="F85">
            <v>38.826777756248788</v>
          </cell>
          <cell r="G85">
            <v>38.826777756248788</v>
          </cell>
          <cell r="H85">
            <v>38.826777756248788</v>
          </cell>
          <cell r="I85">
            <v>38.826777756248788</v>
          </cell>
          <cell r="J85">
            <v>38.826777756248788</v>
          </cell>
          <cell r="K85">
            <v>38.826777756248788</v>
          </cell>
        </row>
        <row r="87">
          <cell r="B87" t="str">
            <v>Change in Working Capital from Cash Flow Statement</v>
          </cell>
          <cell r="D87">
            <v>305</v>
          </cell>
          <cell r="E87">
            <v>-945</v>
          </cell>
          <cell r="F87">
            <v>-127.37029649977535</v>
          </cell>
          <cell r="G87">
            <v>-74.75669708199429</v>
          </cell>
          <cell r="H87">
            <v>-42.456964706376937</v>
          </cell>
          <cell r="I87">
            <v>-41.247421558243644</v>
          </cell>
          <cell r="J87">
            <v>-45.747184624892043</v>
          </cell>
          <cell r="K87">
            <v>-44.059581741501404</v>
          </cell>
        </row>
        <row r="88">
          <cell r="A88" t="str">
            <v>z_working_cap</v>
          </cell>
          <cell r="B88" t="str">
            <v>Working Capital</v>
          </cell>
          <cell r="D88">
            <v>1055</v>
          </cell>
          <cell r="E88">
            <v>1769</v>
          </cell>
          <cell r="F88">
            <v>1901.1712964997751</v>
          </cell>
          <cell r="G88">
            <v>1980.4469935817692</v>
          </cell>
          <cell r="H88">
            <v>2025.9999582881469</v>
          </cell>
          <cell r="I88">
            <v>2070.5563798463909</v>
          </cell>
          <cell r="J88">
            <v>2120.0675644712828</v>
          </cell>
          <cell r="K88">
            <v>2167.5021462127838</v>
          </cell>
        </row>
        <row r="91">
          <cell r="B91" t="str">
            <v>Capital Expenditures &amp; Depreciation</v>
          </cell>
        </row>
        <row r="93">
          <cell r="B93" t="str">
            <v>Gross PP&amp;E</v>
          </cell>
        </row>
        <row r="94">
          <cell r="B94" t="str">
            <v>Implied/assumed depreciable life of PP&amp;E</v>
          </cell>
          <cell r="D94">
            <v>10</v>
          </cell>
          <cell r="E94">
            <v>10</v>
          </cell>
          <cell r="F94">
            <v>10</v>
          </cell>
          <cell r="G94">
            <v>10</v>
          </cell>
          <cell r="H94">
            <v>10</v>
          </cell>
          <cell r="I94">
            <v>10</v>
          </cell>
          <cell r="J94">
            <v>10</v>
          </cell>
          <cell r="K94">
            <v>10</v>
          </cell>
        </row>
        <row r="95">
          <cell r="B95" t="str">
            <v>Assumed Avg. growth in cap ex.</v>
          </cell>
          <cell r="D95">
            <v>0.05</v>
          </cell>
          <cell r="E95">
            <v>0.05</v>
          </cell>
          <cell r="F95">
            <v>0.05</v>
          </cell>
          <cell r="G95">
            <v>0.05</v>
          </cell>
          <cell r="H95">
            <v>0.05</v>
          </cell>
          <cell r="I95">
            <v>0.05</v>
          </cell>
          <cell r="J95">
            <v>0.05</v>
          </cell>
          <cell r="K95">
            <v>0.05</v>
          </cell>
        </row>
        <row r="96">
          <cell r="B96" t="str">
            <v>Cap Ex</v>
          </cell>
          <cell r="D96">
            <v>331</v>
          </cell>
          <cell r="E96">
            <v>432</v>
          </cell>
          <cell r="F96">
            <v>449.28</v>
          </cell>
          <cell r="G96">
            <v>449.28</v>
          </cell>
          <cell r="H96">
            <v>494.20800000000008</v>
          </cell>
          <cell r="I96">
            <v>543.62880000000018</v>
          </cell>
          <cell r="J96">
            <v>597.9916800000002</v>
          </cell>
          <cell r="K96">
            <v>657.79084800000032</v>
          </cell>
        </row>
        <row r="97">
          <cell r="B97" t="str">
            <v>Avg. historical growth in cap ex.</v>
          </cell>
          <cell r="D97">
            <v>0.2</v>
          </cell>
          <cell r="E97">
            <v>0.30513595166163143</v>
          </cell>
          <cell r="F97">
            <v>0.04</v>
          </cell>
          <cell r="G97">
            <v>0</v>
          </cell>
          <cell r="H97">
            <v>0.1</v>
          </cell>
          <cell r="I97">
            <v>0.1</v>
          </cell>
          <cell r="J97">
            <v>0.1</v>
          </cell>
          <cell r="K97">
            <v>0.1</v>
          </cell>
        </row>
        <row r="99">
          <cell r="A99" t="str">
            <v>z_depr</v>
          </cell>
          <cell r="B99" t="str">
            <v>Depreciation</v>
          </cell>
          <cell r="D99">
            <v>272.779</v>
          </cell>
          <cell r="E99">
            <v>289.45800000000003</v>
          </cell>
          <cell r="F99">
            <v>306.80399999999997</v>
          </cell>
          <cell r="G99">
            <v>324.14999999999998</v>
          </cell>
          <cell r="H99">
            <v>373.57100000000003</v>
          </cell>
          <cell r="I99">
            <v>427.93400000000003</v>
          </cell>
          <cell r="J99">
            <v>487.733</v>
          </cell>
          <cell r="K99">
            <v>553.51199999999994</v>
          </cell>
        </row>
        <row r="100">
          <cell r="A100" t="str">
            <v>z_amort</v>
          </cell>
          <cell r="B100" t="str">
            <v>Amortization</v>
          </cell>
          <cell r="D100">
            <v>64</v>
          </cell>
          <cell r="E100">
            <v>64</v>
          </cell>
          <cell r="F100">
            <v>64</v>
          </cell>
          <cell r="G100">
            <v>64</v>
          </cell>
          <cell r="H100">
            <v>64</v>
          </cell>
          <cell r="I100">
            <v>64</v>
          </cell>
          <cell r="J100">
            <v>64</v>
          </cell>
          <cell r="K100">
            <v>64</v>
          </cell>
        </row>
        <row r="101">
          <cell r="A101" t="str">
            <v>z_dna</v>
          </cell>
          <cell r="B101" t="str">
            <v>D&amp;A</v>
          </cell>
          <cell r="D101">
            <v>336.779</v>
          </cell>
          <cell r="E101">
            <v>353.45800000000003</v>
          </cell>
          <cell r="F101">
            <v>370.80399999999997</v>
          </cell>
          <cell r="G101">
            <v>388.15</v>
          </cell>
          <cell r="H101">
            <v>437.57100000000003</v>
          </cell>
          <cell r="I101">
            <v>491.93400000000003</v>
          </cell>
          <cell r="J101">
            <v>551.73299999999995</v>
          </cell>
          <cell r="K101">
            <v>617.51199999999994</v>
          </cell>
        </row>
        <row r="103">
          <cell r="B103" t="str">
            <v>Liabilities Ratios and Assumptions</v>
          </cell>
        </row>
        <row r="104">
          <cell r="B104" t="str">
            <v>Purchases</v>
          </cell>
          <cell r="D104">
            <v>4901</v>
          </cell>
          <cell r="E104">
            <v>5350</v>
          </cell>
          <cell r="F104">
            <v>5435</v>
          </cell>
          <cell r="G104">
            <v>5585.7249999999995</v>
          </cell>
          <cell r="H104">
            <v>5622.0647000000017</v>
          </cell>
          <cell r="I104">
            <v>5657.9988327500014</v>
          </cell>
          <cell r="J104">
            <v>5696.9041436092512</v>
          </cell>
          <cell r="K104">
            <v>5758.1088015089936</v>
          </cell>
        </row>
        <row r="105">
          <cell r="B105" t="str">
            <v>Days Payable</v>
          </cell>
          <cell r="D105">
            <v>10.3570699857172</v>
          </cell>
          <cell r="E105">
            <v>9.2355140186915889</v>
          </cell>
          <cell r="F105">
            <v>9.2355140186915889</v>
          </cell>
          <cell r="G105">
            <v>9.2355140186915889</v>
          </cell>
          <cell r="H105">
            <v>9.2355140186915889</v>
          </cell>
          <cell r="I105">
            <v>9.2355140186915889</v>
          </cell>
          <cell r="J105">
            <v>9.2355140186915889</v>
          </cell>
          <cell r="K105">
            <v>9.2355140186915889</v>
          </cell>
        </row>
        <row r="106">
          <cell r="B106" t="str">
            <v>Accrued Liabilities as % of Sales</v>
          </cell>
          <cell r="D106">
            <v>0.11484006292606187</v>
          </cell>
          <cell r="E106">
            <v>8.4067585777962056E-2</v>
          </cell>
          <cell r="F106">
            <v>8.4067585777962056E-2</v>
          </cell>
          <cell r="G106">
            <v>8.4067585777962056E-2</v>
          </cell>
          <cell r="H106">
            <v>8.4067585777962056E-2</v>
          </cell>
          <cell r="I106">
            <v>8.4067585777962056E-2</v>
          </cell>
          <cell r="J106">
            <v>8.4067585777962056E-2</v>
          </cell>
          <cell r="K106">
            <v>8.4067585777962056E-2</v>
          </cell>
        </row>
        <row r="107">
          <cell r="B107" t="str">
            <v>Taxes Payable % of Pre Tax Income</v>
          </cell>
          <cell r="D107">
            <v>0.26370887337986043</v>
          </cell>
          <cell r="E107">
            <v>0.21769733534439417</v>
          </cell>
          <cell r="F107">
            <v>0.21769733534439417</v>
          </cell>
          <cell r="G107">
            <v>0.21769733534439417</v>
          </cell>
          <cell r="H107">
            <v>0.21769733534439417</v>
          </cell>
          <cell r="I107">
            <v>0.21769733534439417</v>
          </cell>
          <cell r="J107">
            <v>0.21769733534439417</v>
          </cell>
          <cell r="K107">
            <v>0.21769733534439417</v>
          </cell>
        </row>
        <row r="110">
          <cell r="B110" t="str">
            <v xml:space="preserve">Source: Company reports.  </v>
          </cell>
        </row>
        <row r="112">
          <cell r="B112" t="str">
            <v>* Rec. Days Outstanding = Avg. Receivables/(Qtr Sales/90)</v>
          </cell>
        </row>
        <row r="113">
          <cell r="B113" t="str">
            <v>* Inventory Turnover = (4*LRQ COGS)/Avg. Inventory ((Beg+End)/2)</v>
          </cell>
        </row>
        <row r="114">
          <cell r="B114" t="str">
            <v>* Acid Test = (Current Assets - Inventory)/Current Liabilities</v>
          </cell>
        </row>
        <row r="117">
          <cell r="B117" t="str">
            <v>Total Debt</v>
          </cell>
          <cell r="D117">
            <v>3007</v>
          </cell>
          <cell r="E117">
            <v>2442</v>
          </cell>
          <cell r="F117">
            <v>4452</v>
          </cell>
          <cell r="G117">
            <v>3952</v>
          </cell>
          <cell r="H117">
            <v>3452</v>
          </cell>
          <cell r="I117">
            <v>2952</v>
          </cell>
          <cell r="J117">
            <v>2352</v>
          </cell>
          <cell r="K117">
            <v>1752</v>
          </cell>
        </row>
        <row r="118">
          <cell r="B118" t="str">
            <v>Net Debt</v>
          </cell>
          <cell r="D118">
            <v>2866</v>
          </cell>
          <cell r="E118">
            <v>2200</v>
          </cell>
          <cell r="F118">
            <v>3407.098414397281</v>
          </cell>
          <cell r="G118">
            <v>2524.8066996090124</v>
          </cell>
          <cell r="H118">
            <v>1435.3967301789339</v>
          </cell>
          <cell r="I118">
            <v>154.29549012570715</v>
          </cell>
          <cell r="J118">
            <v>-1385.2675089083273</v>
          </cell>
        </row>
        <row r="130">
          <cell r="B130" t="str">
            <v>Net Debt</v>
          </cell>
          <cell r="F130">
            <v>3407.098414397281</v>
          </cell>
          <cell r="G130">
            <v>2524.8066996090124</v>
          </cell>
          <cell r="H130">
            <v>1435.3967301789339</v>
          </cell>
          <cell r="I130">
            <v>154.29549012570715</v>
          </cell>
          <cell r="J130">
            <v>-1385.2675089083273</v>
          </cell>
          <cell r="K130">
            <v>-4692.1528032405877</v>
          </cell>
        </row>
        <row r="131">
          <cell r="B131" t="str">
            <v>Calendarized Net Debt</v>
          </cell>
          <cell r="F131">
            <v>3186.5254857002137</v>
          </cell>
          <cell r="G131">
            <v>2252.4542072514928</v>
          </cell>
          <cell r="H131">
            <v>1115.1214201656271</v>
          </cell>
          <cell r="I131">
            <v>-230.59525963280146</v>
          </cell>
          <cell r="J131">
            <v>-2211.9888324913923</v>
          </cell>
          <cell r="K131">
            <v>-3519.1146024304408</v>
          </cell>
        </row>
        <row r="133">
          <cell r="B133" t="str">
            <v>Capital</v>
          </cell>
          <cell r="F133">
            <v>11543.747882102494</v>
          </cell>
          <cell r="G133">
            <v>12061.926293972756</v>
          </cell>
          <cell r="H133">
            <v>12750.430228109211</v>
          </cell>
          <cell r="I133">
            <v>13624.473689720682</v>
          </cell>
          <cell r="J133">
            <v>14656.04255337961</v>
          </cell>
          <cell r="K133">
            <v>15598.266277453371</v>
          </cell>
        </row>
        <row r="134">
          <cell r="B134" t="str">
            <v>Calendarized Capital</v>
          </cell>
          <cell r="F134">
            <v>11673.29248507006</v>
          </cell>
          <cell r="G134">
            <v>12234.052277506869</v>
          </cell>
          <cell r="H134">
            <v>12968.94109351208</v>
          </cell>
          <cell r="I134">
            <v>13882.365905635414</v>
          </cell>
          <cell r="J134">
            <v>14891.598484398051</v>
          </cell>
          <cell r="K134">
            <v>11698.699708090029</v>
          </cell>
        </row>
        <row r="135">
          <cell r="B135" t="str">
            <v>Debt</v>
          </cell>
          <cell r="F135">
            <v>202</v>
          </cell>
          <cell r="G135">
            <v>202</v>
          </cell>
          <cell r="H135">
            <v>202</v>
          </cell>
          <cell r="I135">
            <v>202</v>
          </cell>
          <cell r="J135">
            <v>102</v>
          </cell>
          <cell r="K135">
            <v>2</v>
          </cell>
        </row>
        <row r="136">
          <cell r="B136" t="str">
            <v>Calendarized Debt</v>
          </cell>
          <cell r="F136">
            <v>202</v>
          </cell>
          <cell r="G136">
            <v>202</v>
          </cell>
          <cell r="H136">
            <v>202</v>
          </cell>
          <cell r="I136">
            <v>177</v>
          </cell>
          <cell r="J136">
            <v>77</v>
          </cell>
          <cell r="K136">
            <v>1.5</v>
          </cell>
        </row>
        <row r="138">
          <cell r="B138" t="str">
            <v>Calendarized Debt/Capital</v>
          </cell>
          <cell r="F138">
            <v>1.7304458040296216E-2</v>
          </cell>
          <cell r="G138">
            <v>1.6511291223709305E-2</v>
          </cell>
          <cell r="H138">
            <v>1.5575674108123888E-2</v>
          </cell>
          <cell r="I138">
            <v>1.2749988093034527E-2</v>
          </cell>
          <cell r="J138">
            <v>5.1707007868008938E-3</v>
          </cell>
          <cell r="K138">
            <v>1.2821937800170231E-4</v>
          </cell>
        </row>
      </sheetData>
      <sheetData sheetId="6">
        <row r="1">
          <cell r="B1" t="str">
            <v>Exhibit 4</v>
          </cell>
        </row>
        <row r="2">
          <cell r="B2" t="str">
            <v>Covidien</v>
          </cell>
        </row>
        <row r="3">
          <cell r="B3" t="str">
            <v>Annual Product Sales 2004-2011E</v>
          </cell>
        </row>
        <row r="4">
          <cell r="B4" t="str">
            <v xml:space="preserve"> ($ Millions)</v>
          </cell>
        </row>
        <row r="5">
          <cell r="C5" t="str">
            <v>z_pp_fy04</v>
          </cell>
          <cell r="D5" t="str">
            <v>z_pp_fy05</v>
          </cell>
          <cell r="E5" t="str">
            <v>z_pp_fy06</v>
          </cell>
          <cell r="F5" t="str">
            <v>z_pp_fy07</v>
          </cell>
          <cell r="G5" t="str">
            <v>z_pp_fy08</v>
          </cell>
          <cell r="H5" t="str">
            <v>z_pp_fy09</v>
          </cell>
          <cell r="I5" t="str">
            <v>z_pp_fy10</v>
          </cell>
          <cell r="J5" t="str">
            <v>z_pp_fy11</v>
          </cell>
          <cell r="M5" t="str">
            <v>z_pp_fy05_yy</v>
          </cell>
          <cell r="N5" t="str">
            <v>z_pp_fy06_yy</v>
          </cell>
          <cell r="O5" t="str">
            <v>z_pp_fy07_yy</v>
          </cell>
          <cell r="P5" t="str">
            <v>z_pp_fy08_yy</v>
          </cell>
          <cell r="Q5" t="str">
            <v>z_pp_fy09_yy</v>
          </cell>
          <cell r="R5" t="str">
            <v>z_pp_fy10_yy</v>
          </cell>
          <cell r="S5" t="str">
            <v>z_pp_fy11_yy</v>
          </cell>
        </row>
        <row r="7">
          <cell r="M7" t="str">
            <v>05/</v>
          </cell>
          <cell r="N7" t="str">
            <v>06A/</v>
          </cell>
          <cell r="O7" t="str">
            <v>07E/</v>
          </cell>
          <cell r="P7" t="str">
            <v>08E/</v>
          </cell>
          <cell r="Q7" t="str">
            <v>09E/</v>
          </cell>
          <cell r="R7" t="str">
            <v>10E/</v>
          </cell>
          <cell r="S7" t="str">
            <v>11E/</v>
          </cell>
        </row>
        <row r="8">
          <cell r="C8" t="str">
            <v xml:space="preserve">  2004A</v>
          </cell>
          <cell r="D8" t="str">
            <v xml:space="preserve">  2005A</v>
          </cell>
          <cell r="E8" t="str">
            <v>2006A</v>
          </cell>
          <cell r="F8" t="str">
            <v>2007E</v>
          </cell>
          <cell r="G8" t="str">
            <v>2008E</v>
          </cell>
          <cell r="H8" t="str">
            <v>2009E</v>
          </cell>
          <cell r="I8" t="str">
            <v>2010E</v>
          </cell>
          <cell r="J8" t="str">
            <v>2011E</v>
          </cell>
          <cell r="K8" t="str">
            <v>2012E</v>
          </cell>
          <cell r="M8" t="str">
            <v>04A</v>
          </cell>
          <cell r="N8" t="str">
            <v>05A</v>
          </cell>
          <cell r="O8" t="str">
            <v>06A</v>
          </cell>
          <cell r="P8" t="str">
            <v>07E</v>
          </cell>
          <cell r="Q8" t="str">
            <v>08E</v>
          </cell>
          <cell r="R8" t="str">
            <v>09E</v>
          </cell>
          <cell r="S8" t="str">
            <v>10E</v>
          </cell>
        </row>
        <row r="10">
          <cell r="B10" t="str">
            <v>WW Sales</v>
          </cell>
          <cell r="C10">
            <v>9109</v>
          </cell>
          <cell r="D10">
            <v>9535</v>
          </cell>
          <cell r="E10">
            <v>9647</v>
          </cell>
          <cell r="F10">
            <v>10143.771999999999</v>
          </cell>
          <cell r="G10">
            <v>10612.00418</v>
          </cell>
          <cell r="H10">
            <v>10934.981132999999</v>
          </cell>
          <cell r="I10">
            <v>11278.192342510001</v>
          </cell>
          <cell r="J10">
            <v>11668.65572104786</v>
          </cell>
          <cell r="K10">
            <v>12072.637369654987</v>
          </cell>
          <cell r="M10">
            <v>4.676693380173455E-2</v>
          </cell>
          <cell r="N10">
            <v>1.1746198217094914E-2</v>
          </cell>
          <cell r="O10">
            <v>5.1494972530320204E-2</v>
          </cell>
          <cell r="P10">
            <v>4.6159572592917204E-2</v>
          </cell>
          <cell r="Q10">
            <v>3.0435057084570373E-2</v>
          </cell>
          <cell r="R10">
            <v>3.1386538791022343E-2</v>
          </cell>
          <cell r="S10">
            <v>3.4621095888400157E-2</v>
          </cell>
        </row>
        <row r="11">
          <cell r="B11" t="str">
            <v>Medical Devices</v>
          </cell>
          <cell r="C11">
            <v>5167</v>
          </cell>
          <cell r="D11">
            <v>5585</v>
          </cell>
          <cell r="E11">
            <v>5711</v>
          </cell>
          <cell r="F11">
            <v>6084.17</v>
          </cell>
          <cell r="G11">
            <v>6407.1349400000008</v>
          </cell>
          <cell r="H11">
            <v>6612.6292077999997</v>
          </cell>
          <cell r="I11">
            <v>6829.8554406140011</v>
          </cell>
          <cell r="J11">
            <v>7059.7200495455809</v>
          </cell>
          <cell r="K11">
            <v>7297.3209479050556</v>
          </cell>
          <cell r="M11">
            <v>8.089800658022063E-2</v>
          </cell>
          <cell r="N11">
            <v>2.2560429722470906E-2</v>
          </cell>
          <cell r="O11">
            <v>6.5342321835055173E-2</v>
          </cell>
          <cell r="P11">
            <v>5.3082826416750474E-2</v>
          </cell>
          <cell r="Q11">
            <v>3.2072723569015207E-2</v>
          </cell>
          <cell r="R11">
            <v>3.285020617181586E-2</v>
          </cell>
          <cell r="S11">
            <v>3.3655852738065435E-2</v>
          </cell>
        </row>
        <row r="12">
          <cell r="B12" t="str">
            <v xml:space="preserve">    Surgical Devices</v>
          </cell>
          <cell r="C12">
            <v>1886</v>
          </cell>
          <cell r="D12">
            <v>2065</v>
          </cell>
          <cell r="E12">
            <v>2151</v>
          </cell>
          <cell r="F12">
            <v>2340.288</v>
          </cell>
          <cell r="G12">
            <v>2480.7052800000001</v>
          </cell>
          <cell r="H12">
            <v>2579.9334912000004</v>
          </cell>
          <cell r="I12">
            <v>2683.1308308480006</v>
          </cell>
          <cell r="J12">
            <v>2790.4560640819209</v>
          </cell>
          <cell r="K12">
            <v>2902.0743066451978</v>
          </cell>
          <cell r="M12">
            <v>9.4909862142099677E-2</v>
          </cell>
          <cell r="N12">
            <v>4.1646489104116224E-2</v>
          </cell>
          <cell r="O12">
            <v>8.7999999999999995E-2</v>
          </cell>
          <cell r="P12">
            <v>0.06</v>
          </cell>
          <cell r="Q12">
            <v>0.04</v>
          </cell>
          <cell r="R12">
            <v>0.04</v>
          </cell>
          <cell r="S12">
            <v>0.04</v>
          </cell>
        </row>
        <row r="13">
          <cell r="B13" t="str">
            <v xml:space="preserve">    Energy-based devices</v>
          </cell>
          <cell r="C13">
            <v>438</v>
          </cell>
          <cell r="D13">
            <v>540</v>
          </cell>
          <cell r="E13">
            <v>578</v>
          </cell>
          <cell r="F13">
            <v>647.36</v>
          </cell>
          <cell r="G13">
            <v>744.46399999999994</v>
          </cell>
          <cell r="H13">
            <v>818.91039999999998</v>
          </cell>
          <cell r="I13">
            <v>900.80144000000007</v>
          </cell>
          <cell r="J13">
            <v>990.8815840000002</v>
          </cell>
          <cell r="K13">
            <v>1089.9697424000003</v>
          </cell>
          <cell r="M13">
            <v>0.23287671232876711</v>
          </cell>
          <cell r="N13">
            <v>7.0370370370370375E-2</v>
          </cell>
          <cell r="O13">
            <v>0.12</v>
          </cell>
          <cell r="P13">
            <v>0.15</v>
          </cell>
          <cell r="Q13">
            <v>0.1</v>
          </cell>
          <cell r="R13">
            <v>0.1</v>
          </cell>
          <cell r="S13">
            <v>0.1</v>
          </cell>
        </row>
        <row r="14">
          <cell r="B14" t="str">
            <v xml:space="preserve">    Respiratory and Monitoring Solutions</v>
          </cell>
          <cell r="C14">
            <v>1332</v>
          </cell>
          <cell r="D14">
            <v>1397</v>
          </cell>
          <cell r="E14">
            <v>1386</v>
          </cell>
          <cell r="F14">
            <v>1448.37</v>
          </cell>
          <cell r="G14">
            <v>1491.8210999999999</v>
          </cell>
          <cell r="H14">
            <v>1506.7393109999998</v>
          </cell>
          <cell r="I14">
            <v>1521.8067041099998</v>
          </cell>
          <cell r="J14">
            <v>1537.0247711510999</v>
          </cell>
          <cell r="K14">
            <v>1552.3950188626109</v>
          </cell>
          <cell r="M14">
            <v>4.8798798798798795E-2</v>
          </cell>
          <cell r="N14">
            <v>-7.874015748031496E-3</v>
          </cell>
          <cell r="O14">
            <v>4.4999999999999998E-2</v>
          </cell>
          <cell r="P14">
            <v>0.03</v>
          </cell>
          <cell r="Q14">
            <v>0.01</v>
          </cell>
          <cell r="R14">
            <v>0.01</v>
          </cell>
          <cell r="S14">
            <v>0.01</v>
          </cell>
        </row>
        <row r="15">
          <cell r="B15" t="str">
            <v xml:space="preserve">    Patient care and safety products</v>
          </cell>
          <cell r="C15">
            <v>1167</v>
          </cell>
          <cell r="D15">
            <v>1231</v>
          </cell>
          <cell r="E15">
            <v>1236</v>
          </cell>
          <cell r="F15">
            <v>1275.5520000000001</v>
          </cell>
          <cell r="G15">
            <v>1313.8185600000002</v>
          </cell>
          <cell r="H15">
            <v>1326.9567456000002</v>
          </cell>
          <cell r="I15">
            <v>1340.2263130560002</v>
          </cell>
          <cell r="J15">
            <v>1353.6285761865602</v>
          </cell>
          <cell r="K15">
            <v>1367.1648619484258</v>
          </cell>
          <cell r="M15">
            <v>5.4841473864610114E-2</v>
          </cell>
          <cell r="N15">
            <v>4.0617384240454911E-3</v>
          </cell>
          <cell r="O15">
            <v>3.2000000000000001E-2</v>
          </cell>
          <cell r="P15">
            <v>0.03</v>
          </cell>
          <cell r="Q15">
            <v>0.01</v>
          </cell>
          <cell r="R15">
            <v>0.01</v>
          </cell>
          <cell r="S15">
            <v>0.01</v>
          </cell>
        </row>
        <row r="16">
          <cell r="B16" t="str">
            <v xml:space="preserve">    Other products</v>
          </cell>
          <cell r="C16">
            <v>344</v>
          </cell>
          <cell r="D16">
            <v>352</v>
          </cell>
          <cell r="E16">
            <v>360</v>
          </cell>
          <cell r="F16">
            <v>372.6</v>
          </cell>
          <cell r="G16">
            <v>376.32599999999996</v>
          </cell>
          <cell r="H16">
            <v>380.08925999999997</v>
          </cell>
          <cell r="I16">
            <v>383.89015259999996</v>
          </cell>
          <cell r="J16">
            <v>387.72905412599999</v>
          </cell>
          <cell r="K16">
            <v>391.60634466725998</v>
          </cell>
          <cell r="M16">
            <v>2.3255813953488372E-2</v>
          </cell>
          <cell r="N16">
            <v>2.2727272727272728E-2</v>
          </cell>
          <cell r="O16">
            <v>3.5000000000000003E-2</v>
          </cell>
          <cell r="P16">
            <v>0.01</v>
          </cell>
          <cell r="Q16">
            <v>0.01</v>
          </cell>
          <cell r="R16">
            <v>0.01</v>
          </cell>
          <cell r="S16">
            <v>0.01</v>
          </cell>
        </row>
        <row r="18">
          <cell r="B18" t="str">
            <v xml:space="preserve"> Imaging Solutions</v>
          </cell>
          <cell r="C18">
            <v>907</v>
          </cell>
          <cell r="D18">
            <v>938</v>
          </cell>
          <cell r="E18">
            <v>870</v>
          </cell>
          <cell r="F18">
            <v>964.88199999999995</v>
          </cell>
          <cell r="G18">
            <v>1055.3949</v>
          </cell>
          <cell r="H18">
            <v>1121.492107</v>
          </cell>
          <cell r="I18">
            <v>1189.6880422700001</v>
          </cell>
          <cell r="J18">
            <v>1264.2640383127002</v>
          </cell>
          <cell r="K18">
            <v>1343.514855811241</v>
          </cell>
          <cell r="M18">
            <v>3.4178610804851156E-2</v>
          </cell>
          <cell r="N18">
            <v>-7.2494669509594878E-2</v>
          </cell>
          <cell r="O18">
            <v>0.10905977011494247</v>
          </cell>
          <cell r="P18">
            <v>9.3807222023003914E-2</v>
          </cell>
          <cell r="Q18">
            <v>6.2627938603834477E-2</v>
          </cell>
          <cell r="R18">
            <v>6.0808216878516168E-2</v>
          </cell>
          <cell r="S18">
            <v>6.2685337158138038E-2</v>
          </cell>
        </row>
        <row r="19">
          <cell r="B19" t="str">
            <v xml:space="preserve">    Radiopharmaceuticals</v>
          </cell>
          <cell r="C19">
            <v>444</v>
          </cell>
          <cell r="D19">
            <v>472</v>
          </cell>
          <cell r="E19">
            <v>422</v>
          </cell>
          <cell r="F19">
            <v>500.49199999999996</v>
          </cell>
          <cell r="G19">
            <v>575.56579999999997</v>
          </cell>
          <cell r="H19">
            <v>633.12238000000002</v>
          </cell>
          <cell r="I19">
            <v>696.43461800000011</v>
          </cell>
          <cell r="J19">
            <v>766.07807980000018</v>
          </cell>
          <cell r="K19">
            <v>842.68588778000026</v>
          </cell>
          <cell r="M19">
            <v>6.3063063063063057E-2</v>
          </cell>
          <cell r="N19">
            <v>-0.1059322033898305</v>
          </cell>
          <cell r="O19">
            <v>0.186</v>
          </cell>
          <cell r="P19">
            <v>0.15</v>
          </cell>
          <cell r="Q19">
            <v>0.1</v>
          </cell>
          <cell r="R19">
            <v>0.1</v>
          </cell>
          <cell r="S19">
            <v>0.1</v>
          </cell>
        </row>
        <row r="20">
          <cell r="B20" t="str">
            <v xml:space="preserve">    Contrast Agents</v>
          </cell>
          <cell r="C20">
            <v>366</v>
          </cell>
          <cell r="D20">
            <v>365</v>
          </cell>
          <cell r="E20">
            <v>346</v>
          </cell>
          <cell r="F20">
            <v>359.84</v>
          </cell>
          <cell r="G20">
            <v>374.23360000000002</v>
          </cell>
          <cell r="H20">
            <v>381.71827200000001</v>
          </cell>
          <cell r="I20">
            <v>385.53545472000002</v>
          </cell>
          <cell r="J20">
            <v>389.39080926720004</v>
          </cell>
          <cell r="K20">
            <v>393.28471735987205</v>
          </cell>
          <cell r="M20">
            <v>-2.7322404371584699E-3</v>
          </cell>
          <cell r="N20">
            <v>-5.2054794520547946E-2</v>
          </cell>
          <cell r="O20">
            <v>0.04</v>
          </cell>
          <cell r="P20">
            <v>0.04</v>
          </cell>
          <cell r="Q20">
            <v>0.02</v>
          </cell>
          <cell r="R20">
            <v>0.01</v>
          </cell>
          <cell r="S20">
            <v>0.01</v>
          </cell>
        </row>
        <row r="21">
          <cell r="B21" t="str">
            <v xml:space="preserve">    Contrast Delivery Systems</v>
          </cell>
          <cell r="C21">
            <v>97</v>
          </cell>
          <cell r="D21">
            <v>101</v>
          </cell>
          <cell r="E21">
            <v>102</v>
          </cell>
          <cell r="F21">
            <v>104.55</v>
          </cell>
          <cell r="G21">
            <v>105.5955</v>
          </cell>
          <cell r="H21">
            <v>106.651455</v>
          </cell>
          <cell r="I21">
            <v>107.71796955000001</v>
          </cell>
          <cell r="J21">
            <v>108.79514924550001</v>
          </cell>
          <cell r="K21">
            <v>109.88310073795502</v>
          </cell>
          <cell r="M21">
            <v>4.1237113402061855E-2</v>
          </cell>
          <cell r="N21">
            <v>9.9009900990099011E-3</v>
          </cell>
          <cell r="O21">
            <v>2.5000000000000001E-2</v>
          </cell>
          <cell r="P21">
            <v>0.01</v>
          </cell>
          <cell r="Q21">
            <v>0.01</v>
          </cell>
          <cell r="R21">
            <v>0.01</v>
          </cell>
          <cell r="S21">
            <v>0.01</v>
          </cell>
        </row>
        <row r="23">
          <cell r="B23" t="str">
            <v xml:space="preserve">  Pharma products</v>
          </cell>
          <cell r="C23">
            <v>1073</v>
          </cell>
          <cell r="D23">
            <v>1156</v>
          </cell>
          <cell r="E23">
            <v>1219</v>
          </cell>
          <cell r="F23">
            <v>1330.5</v>
          </cell>
          <cell r="G23">
            <v>1423.92354</v>
          </cell>
          <cell r="H23">
            <v>1501.3563342000002</v>
          </cell>
          <cell r="I23">
            <v>1583.6152735860005</v>
          </cell>
          <cell r="J23">
            <v>1671.0316931383804</v>
          </cell>
          <cell r="K23">
            <v>1763.2735463265788</v>
          </cell>
          <cell r="M23">
            <v>7.7353215284249766E-2</v>
          </cell>
          <cell r="N23">
            <v>5.4498269896193774E-2</v>
          </cell>
          <cell r="O23">
            <v>9.1468416735028715E-2</v>
          </cell>
          <cell r="P23">
            <v>7.0216865839909812E-2</v>
          </cell>
          <cell r="Q23">
            <v>5.4379882082713667E-2</v>
          </cell>
          <cell r="R23">
            <v>5.4789750782136659E-2</v>
          </cell>
          <cell r="S23">
            <v>5.5200540819760315E-2</v>
          </cell>
        </row>
        <row r="24">
          <cell r="B24" t="str">
            <v xml:space="preserve">    Dosage pharmacuticals</v>
          </cell>
          <cell r="C24">
            <v>364</v>
          </cell>
          <cell r="D24">
            <v>425</v>
          </cell>
          <cell r="E24">
            <v>437</v>
          </cell>
          <cell r="F24">
            <v>473.70800000000003</v>
          </cell>
          <cell r="G24">
            <v>511.60464000000007</v>
          </cell>
          <cell r="H24">
            <v>552.53301120000015</v>
          </cell>
          <cell r="I24">
            <v>596.73565209600019</v>
          </cell>
          <cell r="J24">
            <v>644.47450426368027</v>
          </cell>
          <cell r="K24">
            <v>696.03246460477476</v>
          </cell>
          <cell r="M24">
            <v>0.16758241758241757</v>
          </cell>
          <cell r="N24">
            <v>2.823529411764706E-2</v>
          </cell>
          <cell r="O24">
            <v>8.4000000000000005E-2</v>
          </cell>
          <cell r="P24">
            <v>0.08</v>
          </cell>
          <cell r="Q24">
            <v>0.08</v>
          </cell>
          <cell r="R24">
            <v>0.08</v>
          </cell>
          <cell r="S24">
            <v>0.08</v>
          </cell>
        </row>
        <row r="25">
          <cell r="B25" t="str">
            <v xml:space="preserve">    Active Pharm Ingredients</v>
          </cell>
          <cell r="C25">
            <v>400</v>
          </cell>
          <cell r="D25">
            <v>388</v>
          </cell>
          <cell r="E25">
            <v>401</v>
          </cell>
          <cell r="F25">
            <v>433.88200000000001</v>
          </cell>
          <cell r="G25">
            <v>455.5761</v>
          </cell>
          <cell r="H25">
            <v>469.24338299999999</v>
          </cell>
          <cell r="I25">
            <v>483.32068449000002</v>
          </cell>
          <cell r="J25">
            <v>497.82030502470002</v>
          </cell>
          <cell r="K25">
            <v>512.75491417544106</v>
          </cell>
          <cell r="M25">
            <v>-0.03</v>
          </cell>
          <cell r="N25">
            <v>3.3505154639175257E-2</v>
          </cell>
          <cell r="O25">
            <v>8.2000000000000003E-2</v>
          </cell>
          <cell r="P25">
            <v>0.05</v>
          </cell>
          <cell r="Q25">
            <v>0.03</v>
          </cell>
          <cell r="R25">
            <v>0.03</v>
          </cell>
          <cell r="S25">
            <v>0.03</v>
          </cell>
        </row>
        <row r="26">
          <cell r="B26" t="str">
            <v xml:space="preserve">    Specialty Chemicals</v>
          </cell>
          <cell r="C26">
            <v>309</v>
          </cell>
          <cell r="D26">
            <v>343</v>
          </cell>
          <cell r="E26">
            <v>381</v>
          </cell>
          <cell r="F26">
            <v>422.91</v>
          </cell>
          <cell r="G26">
            <v>456.74280000000005</v>
          </cell>
          <cell r="H26">
            <v>479.57994000000008</v>
          </cell>
          <cell r="I26">
            <v>503.55893700000013</v>
          </cell>
          <cell r="J26">
            <v>528.73688385000014</v>
          </cell>
          <cell r="K26">
            <v>555.17372804250022</v>
          </cell>
          <cell r="M26">
            <v>0.11003236245954692</v>
          </cell>
          <cell r="N26">
            <v>0.11078717201166181</v>
          </cell>
          <cell r="O26">
            <v>0.11</v>
          </cell>
          <cell r="P26">
            <v>0.08</v>
          </cell>
          <cell r="Q26">
            <v>0.05</v>
          </cell>
          <cell r="R26">
            <v>0.05</v>
          </cell>
          <cell r="S26">
            <v>0.05</v>
          </cell>
        </row>
        <row r="28">
          <cell r="B28" t="str">
            <v xml:space="preserve">  Medical Supplies</v>
          </cell>
          <cell r="C28">
            <v>1050</v>
          </cell>
          <cell r="D28">
            <v>1026</v>
          </cell>
          <cell r="E28">
            <v>992</v>
          </cell>
          <cell r="F28">
            <v>985.66</v>
          </cell>
          <cell r="G28">
            <v>989.44380000000001</v>
          </cell>
          <cell r="H28">
            <v>993.293182</v>
          </cell>
          <cell r="I28">
            <v>997.20935670000006</v>
          </cell>
          <cell r="J28">
            <v>1001.1935580045999</v>
          </cell>
          <cell r="K28">
            <v>1005.1936775914833</v>
          </cell>
          <cell r="M28">
            <v>-2.2857142857142857E-2</v>
          </cell>
          <cell r="N28">
            <v>-3.3138401559454189E-2</v>
          </cell>
          <cell r="O28">
            <v>-6.3911290322579816E-3</v>
          </cell>
          <cell r="P28">
            <v>3.8388490960371002E-3</v>
          </cell>
          <cell r="Q28">
            <v>3.8904503722192118E-3</v>
          </cell>
          <cell r="R28">
            <v>3.9426171154369766E-3</v>
          </cell>
          <cell r="S28">
            <v>3.9953509038308027E-3</v>
          </cell>
        </row>
        <row r="29">
          <cell r="B29" t="str">
            <v xml:space="preserve">    Nursing Care Products</v>
          </cell>
          <cell r="C29">
            <v>499</v>
          </cell>
          <cell r="D29">
            <v>483</v>
          </cell>
          <cell r="E29">
            <v>470</v>
          </cell>
          <cell r="F29">
            <v>470</v>
          </cell>
          <cell r="G29">
            <v>470</v>
          </cell>
          <cell r="H29">
            <v>470</v>
          </cell>
          <cell r="I29">
            <v>470</v>
          </cell>
          <cell r="J29">
            <v>470</v>
          </cell>
          <cell r="K29">
            <v>470</v>
          </cell>
          <cell r="M29">
            <v>-3.2064128256513023E-2</v>
          </cell>
          <cell r="N29">
            <v>-2.6915113871635612E-2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</row>
        <row r="30">
          <cell r="B30" t="str">
            <v xml:space="preserve">    Medical Surgical Products</v>
          </cell>
          <cell r="C30">
            <v>291</v>
          </cell>
          <cell r="D30">
            <v>284</v>
          </cell>
          <cell r="E30">
            <v>275</v>
          </cell>
          <cell r="F30">
            <v>275</v>
          </cell>
          <cell r="G30">
            <v>275</v>
          </cell>
          <cell r="H30">
            <v>275</v>
          </cell>
          <cell r="I30">
            <v>275</v>
          </cell>
          <cell r="J30">
            <v>275</v>
          </cell>
          <cell r="K30">
            <v>275</v>
          </cell>
          <cell r="M30">
            <v>-2.4054982817869417E-2</v>
          </cell>
          <cell r="N30">
            <v>-3.1690140845070422E-2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</row>
        <row r="31">
          <cell r="B31" t="str">
            <v xml:space="preserve">    OEM products</v>
          </cell>
          <cell r="C31">
            <v>129</v>
          </cell>
          <cell r="D31">
            <v>131</v>
          </cell>
          <cell r="E31">
            <v>136</v>
          </cell>
          <cell r="F31">
            <v>138.72</v>
          </cell>
          <cell r="G31">
            <v>141.49440000000001</v>
          </cell>
          <cell r="H31">
            <v>144.32428800000002</v>
          </cell>
          <cell r="I31">
            <v>147.21077376000002</v>
          </cell>
          <cell r="J31">
            <v>150.15498923520002</v>
          </cell>
          <cell r="K31">
            <v>153.15808901990403</v>
          </cell>
          <cell r="M31">
            <v>1.5503875968992248E-2</v>
          </cell>
          <cell r="N31">
            <v>3.8167938931297711E-2</v>
          </cell>
          <cell r="O31">
            <v>0.02</v>
          </cell>
          <cell r="P31">
            <v>0.02</v>
          </cell>
          <cell r="Q31">
            <v>0.02</v>
          </cell>
          <cell r="R31">
            <v>0.02</v>
          </cell>
          <cell r="S31">
            <v>0.02</v>
          </cell>
        </row>
        <row r="32">
          <cell r="B32" t="str">
            <v xml:space="preserve">    Incontinence Products - Europe</v>
          </cell>
          <cell r="C32">
            <v>86</v>
          </cell>
          <cell r="D32">
            <v>95</v>
          </cell>
          <cell r="E32">
            <v>98</v>
          </cell>
          <cell r="F32">
            <v>100.94</v>
          </cell>
          <cell r="G32">
            <v>101.9494</v>
          </cell>
          <cell r="H32">
            <v>102.96889399999999</v>
          </cell>
          <cell r="I32">
            <v>103.99858293999999</v>
          </cell>
          <cell r="J32">
            <v>105.03856876939999</v>
          </cell>
          <cell r="K32">
            <v>106.08895445709399</v>
          </cell>
          <cell r="M32">
            <v>0.10465116279069768</v>
          </cell>
          <cell r="N32">
            <v>3.1578947368421054E-2</v>
          </cell>
          <cell r="O32">
            <v>0.03</v>
          </cell>
          <cell r="P32">
            <v>0.01</v>
          </cell>
          <cell r="Q32">
            <v>0.01</v>
          </cell>
          <cell r="R32">
            <v>0.01</v>
          </cell>
          <cell r="S32">
            <v>0.01</v>
          </cell>
        </row>
        <row r="33">
          <cell r="B33" t="str">
            <v xml:space="preserve">    Other Products</v>
          </cell>
          <cell r="C33">
            <v>45</v>
          </cell>
          <cell r="D33">
            <v>33</v>
          </cell>
          <cell r="E33">
            <v>13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M33">
            <v>-0.26666666666666666</v>
          </cell>
          <cell r="N33">
            <v>-0.60606060606060608</v>
          </cell>
          <cell r="O33" t="str">
            <v>NM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</row>
        <row r="35">
          <cell r="B35" t="str">
            <v xml:space="preserve">  Retail products</v>
          </cell>
          <cell r="C35">
            <v>912</v>
          </cell>
          <cell r="D35">
            <v>830</v>
          </cell>
          <cell r="E35">
            <v>855</v>
          </cell>
          <cell r="F35">
            <v>778.56</v>
          </cell>
          <cell r="G35">
            <v>736.10699999999997</v>
          </cell>
          <cell r="H35">
            <v>706.21030199999996</v>
          </cell>
          <cell r="I35">
            <v>677.82422933999999</v>
          </cell>
          <cell r="J35">
            <v>672.44638204659987</v>
          </cell>
          <cell r="K35">
            <v>667.11120251315765</v>
          </cell>
          <cell r="M35">
            <v>-8.9912280701754388E-2</v>
          </cell>
          <cell r="N35">
            <v>3.0120481927710843E-2</v>
          </cell>
          <cell r="O35">
            <v>-8.9403508771929749E-2</v>
          </cell>
          <cell r="P35">
            <v>-5.4527589395807756E-2</v>
          </cell>
          <cell r="Q35">
            <v>-4.061460901743906E-2</v>
          </cell>
          <cell r="R35">
            <v>-4.0194928592248103E-2</v>
          </cell>
          <cell r="S35">
            <v>-7.9339850371482785E-3</v>
          </cell>
        </row>
        <row r="36">
          <cell r="B36" t="str">
            <v xml:space="preserve">    Infant Care Products</v>
          </cell>
          <cell r="C36">
            <v>634</v>
          </cell>
          <cell r="D36">
            <v>570</v>
          </cell>
          <cell r="E36">
            <v>591</v>
          </cell>
          <cell r="F36">
            <v>520.08000000000004</v>
          </cell>
          <cell r="G36">
            <v>483.67439999999999</v>
          </cell>
          <cell r="H36">
            <v>459.49068</v>
          </cell>
          <cell r="I36">
            <v>436.51614599999999</v>
          </cell>
          <cell r="J36">
            <v>432.15098453999997</v>
          </cell>
          <cell r="K36">
            <v>427.82947469459998</v>
          </cell>
          <cell r="M36">
            <v>-0.10094637223974763</v>
          </cell>
          <cell r="N36">
            <v>3.6842105263157891E-2</v>
          </cell>
          <cell r="O36">
            <v>-0.12</v>
          </cell>
          <cell r="P36">
            <v>-7.0000000000000007E-2</v>
          </cell>
          <cell r="Q36">
            <v>-0.05</v>
          </cell>
          <cell r="R36">
            <v>-0.05</v>
          </cell>
          <cell r="S36">
            <v>-0.01</v>
          </cell>
        </row>
        <row r="37">
          <cell r="B37" t="str">
            <v xml:space="preserve">    Incontinence Products</v>
          </cell>
          <cell r="C37">
            <v>177</v>
          </cell>
          <cell r="D37">
            <v>163</v>
          </cell>
          <cell r="E37">
            <v>164</v>
          </cell>
          <cell r="F37">
            <v>159.08000000000001</v>
          </cell>
          <cell r="G37">
            <v>154.30759999999998</v>
          </cell>
          <cell r="H37">
            <v>149.67837199999997</v>
          </cell>
          <cell r="I37">
            <v>145.18802083999995</v>
          </cell>
          <cell r="J37">
            <v>143.73614063159994</v>
          </cell>
          <cell r="K37">
            <v>142.29877922528394</v>
          </cell>
          <cell r="M37">
            <v>-7.909604519774012E-2</v>
          </cell>
          <cell r="N37">
            <v>6.1349693251533744E-3</v>
          </cell>
          <cell r="O37">
            <v>-0.03</v>
          </cell>
          <cell r="P37">
            <v>-0.03</v>
          </cell>
          <cell r="Q37">
            <v>-0.03</v>
          </cell>
          <cell r="R37">
            <v>-0.03</v>
          </cell>
          <cell r="S37">
            <v>-0.01</v>
          </cell>
        </row>
        <row r="38">
          <cell r="B38" t="str">
            <v xml:space="preserve">    Feminine Hygiene Products</v>
          </cell>
          <cell r="C38">
            <v>91</v>
          </cell>
          <cell r="D38">
            <v>86</v>
          </cell>
          <cell r="E38">
            <v>90</v>
          </cell>
          <cell r="F38">
            <v>90.9</v>
          </cell>
          <cell r="G38">
            <v>90.9</v>
          </cell>
          <cell r="H38">
            <v>90.9</v>
          </cell>
          <cell r="I38">
            <v>90.9</v>
          </cell>
          <cell r="J38">
            <v>91.809000000000012</v>
          </cell>
          <cell r="K38">
            <v>92.727090000000018</v>
          </cell>
          <cell r="M38">
            <v>-5.4945054945054944E-2</v>
          </cell>
          <cell r="N38">
            <v>4.6511627906976744E-2</v>
          </cell>
          <cell r="O38">
            <v>0.01</v>
          </cell>
          <cell r="P38">
            <v>0</v>
          </cell>
          <cell r="Q38">
            <v>0</v>
          </cell>
          <cell r="R38">
            <v>0</v>
          </cell>
          <cell r="S38">
            <v>0.01</v>
          </cell>
        </row>
        <row r="39">
          <cell r="B39" t="str">
            <v xml:space="preserve">    Other Products</v>
          </cell>
          <cell r="C39">
            <v>10</v>
          </cell>
          <cell r="D39">
            <v>11</v>
          </cell>
          <cell r="E39">
            <v>10</v>
          </cell>
          <cell r="F39">
            <v>8.5</v>
          </cell>
          <cell r="G39">
            <v>7.2249999999999996</v>
          </cell>
          <cell r="H39">
            <v>6.1412500000000003</v>
          </cell>
          <cell r="I39">
            <v>5.2200624999999992</v>
          </cell>
          <cell r="J39">
            <v>4.7502568749999998</v>
          </cell>
          <cell r="K39">
            <v>4.3227337562499999</v>
          </cell>
          <cell r="M39">
            <v>0.1</v>
          </cell>
          <cell r="N39">
            <v>-9.0909090909090912E-2</v>
          </cell>
          <cell r="O39">
            <v>-0.15</v>
          </cell>
          <cell r="P39">
            <v>-0.15</v>
          </cell>
          <cell r="Q39">
            <v>-0.15</v>
          </cell>
          <cell r="R39">
            <v>-0.15</v>
          </cell>
          <cell r="S39">
            <v>-0.09</v>
          </cell>
        </row>
        <row r="42">
          <cell r="B42" t="str">
            <v>E = Morgan Stanley Research Estimates          Source: Company data, Morgan Stanley Research</v>
          </cell>
          <cell r="G42" t="str">
            <v>See the continuation of this Exhibit on the following page for footnotes.</v>
          </cell>
        </row>
      </sheetData>
      <sheetData sheetId="7">
        <row r="1">
          <cell r="B1" t="str">
            <v>Exhibit 3</v>
          </cell>
          <cell r="S1" t="str">
            <v>Exhibit 4</v>
          </cell>
          <cell r="AR1" t="str">
            <v>Exhibit 5</v>
          </cell>
          <cell r="BI1" t="str">
            <v>Exhibit 4</v>
          </cell>
          <cell r="CH1" t="str">
            <v>Exhibit 4</v>
          </cell>
        </row>
        <row r="2">
          <cell r="B2" t="str">
            <v>Covidien</v>
          </cell>
          <cell r="S2" t="str">
            <v>Covidien</v>
          </cell>
          <cell r="AR2" t="str">
            <v>Covidien</v>
          </cell>
          <cell r="BI2" t="str">
            <v>Covidien</v>
          </cell>
          <cell r="CH2" t="str">
            <v>Covidien</v>
          </cell>
        </row>
        <row r="3">
          <cell r="B3" t="str">
            <v>Quarterly Sales Breakdown By Product 2003-2007E</v>
          </cell>
          <cell r="S3" t="str">
            <v>Quarterly Sales Breakdown By Product 2003-2007E</v>
          </cell>
          <cell r="AR3" t="str">
            <v>Quarterly Sales Breakdown By Product 2003-2007E</v>
          </cell>
          <cell r="BI3" t="str">
            <v>Quarterly Sales Breakdown By Product 2003-2007E</v>
          </cell>
          <cell r="CH3" t="str">
            <v>Quarterly Sales Breakdown By Product 2003-2007E</v>
          </cell>
        </row>
        <row r="4">
          <cell r="B4" t="str">
            <v>($ Millions)</v>
          </cell>
          <cell r="S4" t="str">
            <v>($ Millions)</v>
          </cell>
          <cell r="AR4" t="str">
            <v>($ Millions)</v>
          </cell>
          <cell r="BI4" t="str">
            <v>($ Millions)</v>
          </cell>
          <cell r="CH4" t="str">
            <v>($ Millions)</v>
          </cell>
        </row>
        <row r="5">
          <cell r="C5" t="str">
            <v>Pharmaceutical Products</v>
          </cell>
          <cell r="T5" t="str">
            <v xml:space="preserve">Medical Devices </v>
          </cell>
          <cell r="AS5" t="str">
            <v>Imaging Solutions</v>
          </cell>
          <cell r="BJ5" t="str">
            <v>Medical Supplies</v>
          </cell>
          <cell r="CI5" t="str">
            <v>Retail Products</v>
          </cell>
          <cell r="DC5" t="str">
            <v>Total Corporate Sales</v>
          </cell>
        </row>
        <row r="6">
          <cell r="C6" t="str">
            <v>z_qp_Duragesic_US</v>
          </cell>
          <cell r="D6" t="str">
            <v>z_qp_Duragesic_Intl</v>
          </cell>
          <cell r="E6" t="str">
            <v>z_qp_Duragesic_WW</v>
          </cell>
          <cell r="G6" t="str">
            <v>z_qp_Eprex_US</v>
          </cell>
          <cell r="H6" t="str">
            <v>z_qp_Eprex_Intl</v>
          </cell>
          <cell r="I6" t="str">
            <v>z_qp_Eprex_WW</v>
          </cell>
          <cell r="K6" t="str">
            <v>z_qp_Floxin_US</v>
          </cell>
          <cell r="L6" t="str">
            <v>z_qp_Floxin_Intl</v>
          </cell>
          <cell r="M6" t="str">
            <v>z_qp_Floxin_WW</v>
          </cell>
          <cell r="O6" t="str">
            <v>z_qp_total_pharma_US</v>
          </cell>
          <cell r="P6" t="str">
            <v>z_qp_total_pharma_Intl</v>
          </cell>
          <cell r="Q6" t="str">
            <v>z_qp_total_pharma_WW</v>
          </cell>
          <cell r="T6" t="str">
            <v>z_qp_Cordis_US</v>
          </cell>
          <cell r="U6" t="str">
            <v>z_qp_Cordis_Intl</v>
          </cell>
          <cell r="V6" t="str">
            <v>z_qp_Cordis_WW</v>
          </cell>
          <cell r="X6" t="str">
            <v>z_qp_DePuy_US</v>
          </cell>
          <cell r="Y6" t="str">
            <v>z_qp_DePuy_Intl</v>
          </cell>
          <cell r="Z6" t="str">
            <v>z_qp_DePuy_WW</v>
          </cell>
          <cell r="AB6" t="str">
            <v>z_qp_ethicon_US</v>
          </cell>
          <cell r="AC6" t="str">
            <v>z_qp_ethicon_Intl</v>
          </cell>
          <cell r="AD6" t="str">
            <v>z_qp_ethicon_WW</v>
          </cell>
          <cell r="AF6" t="str">
            <v>z_qp_ethicon_endo_US</v>
          </cell>
          <cell r="AG6" t="str">
            <v>z_qp_ethicon_endo_Intl</v>
          </cell>
          <cell r="AH6" t="str">
            <v>z_qp_ethicon_endo_WW</v>
          </cell>
          <cell r="AJ6" t="str">
            <v>z_qp_lifescan_US</v>
          </cell>
          <cell r="AK6" t="str">
            <v>z_qp_lifescan_Intl</v>
          </cell>
          <cell r="AL6" t="str">
            <v>z_qp_lifescan_WW</v>
          </cell>
          <cell r="AN6" t="str">
            <v>z_qp_total_med_US</v>
          </cell>
          <cell r="AO6" t="str">
            <v>z_qp_total_med_Intl</v>
          </cell>
          <cell r="AP6" t="str">
            <v>z_qp_total_med_WW</v>
          </cell>
          <cell r="AS6" t="str">
            <v>z_qp_skin_US</v>
          </cell>
          <cell r="AT6" t="str">
            <v>z_qp_skin_Intl</v>
          </cell>
          <cell r="AU6" t="str">
            <v>z_qp_skin_WW</v>
          </cell>
          <cell r="AW6" t="str">
            <v>z_qp_baby_kids_US</v>
          </cell>
          <cell r="AX6" t="str">
            <v>z_qp_baby_kids_Intl</v>
          </cell>
          <cell r="AY6" t="str">
            <v>z_qp_baby_kids_WW</v>
          </cell>
          <cell r="BA6" t="str">
            <v>z_qp_womens_health_US</v>
          </cell>
          <cell r="BB6" t="str">
            <v>z_qp_womens_health_Intl</v>
          </cell>
          <cell r="BC6" t="str">
            <v>z_qp_womens_health_WW</v>
          </cell>
          <cell r="BE6" t="str">
            <v>z_qp_total_consumer_US</v>
          </cell>
          <cell r="BF6" t="str">
            <v>z_qp_total_consumer_Intl</v>
          </cell>
          <cell r="BG6" t="str">
            <v>z_qp_total_consumer_WW</v>
          </cell>
          <cell r="BJ6" t="str">
            <v>z_qp_Cordis_US</v>
          </cell>
          <cell r="BK6" t="str">
            <v>z_qp_Cordis_Intl</v>
          </cell>
          <cell r="BL6" t="str">
            <v>z_qp_Cordis_WW</v>
          </cell>
          <cell r="BN6" t="str">
            <v>z_qp_DePuy_US</v>
          </cell>
          <cell r="BO6" t="str">
            <v>z_qp_DePuy_Intl</v>
          </cell>
          <cell r="BP6" t="str">
            <v>z_qp_DePuy_WW</v>
          </cell>
          <cell r="BR6" t="str">
            <v>z_qp_ethicon_US</v>
          </cell>
          <cell r="BS6" t="str">
            <v>z_qp_ethicon_Intl</v>
          </cell>
          <cell r="BT6" t="str">
            <v>z_qp_ethicon_WW</v>
          </cell>
          <cell r="BV6" t="str">
            <v>z_qp_ethicon_endo_US</v>
          </cell>
          <cell r="BW6" t="str">
            <v>z_qp_ethicon_endo_Intl</v>
          </cell>
          <cell r="BX6" t="str">
            <v>z_qp_ethicon_endo_WW</v>
          </cell>
          <cell r="BZ6" t="str">
            <v>z_qp_lifescan_US</v>
          </cell>
          <cell r="CA6" t="str">
            <v>z_qp_lifescan_Intl</v>
          </cell>
          <cell r="CB6" t="str">
            <v>z_qp_lifescan_WW</v>
          </cell>
          <cell r="CD6" t="str">
            <v>z_qp_total_med_US</v>
          </cell>
          <cell r="CE6" t="str">
            <v>z_qp_total_med_Intl</v>
          </cell>
          <cell r="CF6" t="str">
            <v>z_qp_total_med_WW</v>
          </cell>
          <cell r="CI6" t="str">
            <v>z_qp_Cordis_US</v>
          </cell>
          <cell r="CJ6" t="str">
            <v>z_qp_Cordis_Intl</v>
          </cell>
          <cell r="CK6" t="str">
            <v>z_qp_Cordis_WW</v>
          </cell>
          <cell r="CM6" t="str">
            <v>z_qp_DePuy_US</v>
          </cell>
          <cell r="CN6" t="str">
            <v>z_qp_DePuy_Intl</v>
          </cell>
          <cell r="CO6" t="str">
            <v>z_qp_DePuy_WW</v>
          </cell>
          <cell r="CQ6" t="str">
            <v>z_qp_ethicon_US</v>
          </cell>
          <cell r="CR6" t="str">
            <v>z_qp_ethicon_Intl</v>
          </cell>
          <cell r="CS6" t="str">
            <v>z_qp_ethicon_WW</v>
          </cell>
          <cell r="CU6" t="str">
            <v>z_qp_lifescan_US</v>
          </cell>
          <cell r="CV6" t="str">
            <v>z_qp_lifescan_Intl</v>
          </cell>
          <cell r="CW6" t="str">
            <v>z_qp_lifescan_WW</v>
          </cell>
          <cell r="CY6" t="str">
            <v>z_qp_total_med_US</v>
          </cell>
          <cell r="CZ6" t="str">
            <v>z_qp_total_med_Intl</v>
          </cell>
          <cell r="DA6" t="str">
            <v>z_qp_total_med_WW</v>
          </cell>
          <cell r="DC6" t="str">
            <v>z_qp_total_corp_US</v>
          </cell>
          <cell r="DD6" t="str">
            <v>z_qp_total_corp_Intl</v>
          </cell>
          <cell r="DE6" t="str">
            <v>z_qp_total_corp_WW</v>
          </cell>
        </row>
        <row r="7">
          <cell r="C7" t="str">
            <v>Dosage Pharmaceuticals</v>
          </cell>
          <cell r="G7" t="str">
            <v>Active Pharmaceuticals Ingredients</v>
          </cell>
          <cell r="K7" t="str">
            <v>Specialty Chemicals</v>
          </cell>
          <cell r="O7" t="str">
            <v>Total Pharmaceutical Products</v>
          </cell>
          <cell r="T7" t="str">
            <v>Surgical Devices</v>
          </cell>
          <cell r="X7" t="str">
            <v>Energy-based Devices</v>
          </cell>
          <cell r="AB7" t="str">
            <v>Respiratory and Monitoring Solutions</v>
          </cell>
          <cell r="AF7" t="str">
            <v>Patient Care and Safety Products</v>
          </cell>
          <cell r="AJ7" t="str">
            <v xml:space="preserve">Other </v>
          </cell>
          <cell r="AN7" t="str">
            <v>Total Medical Devices</v>
          </cell>
          <cell r="AS7" t="str">
            <v>Radiopahrmaceuticals</v>
          </cell>
          <cell r="AW7" t="str">
            <v>Contrast Agents</v>
          </cell>
          <cell r="BA7" t="str">
            <v>Contrast Delivery Systems</v>
          </cell>
          <cell r="BE7" t="str">
            <v>Total Imaging Solutions</v>
          </cell>
          <cell r="BJ7" t="str">
            <v>Nursing Care Products</v>
          </cell>
          <cell r="BN7" t="str">
            <v>Medical Surgical Products</v>
          </cell>
          <cell r="BR7" t="str">
            <v>OEM Products</v>
          </cell>
          <cell r="BV7" t="str">
            <v>Incontinence Products - Europe</v>
          </cell>
          <cell r="BZ7" t="str">
            <v xml:space="preserve">Other </v>
          </cell>
          <cell r="CD7" t="str">
            <v>Total Medical Supplies</v>
          </cell>
          <cell r="CI7" t="str">
            <v>Infant Care Products</v>
          </cell>
          <cell r="CM7" t="str">
            <v>Incontinence Products</v>
          </cell>
          <cell r="CQ7" t="str">
            <v>Feminine Hygiene Products</v>
          </cell>
          <cell r="CU7" t="str">
            <v xml:space="preserve">Other </v>
          </cell>
          <cell r="CY7" t="str">
            <v>Total Retail Products</v>
          </cell>
        </row>
        <row r="8">
          <cell r="C8" t="str">
            <v>US</v>
          </cell>
          <cell r="D8" t="str">
            <v>Intl</v>
          </cell>
          <cell r="E8" t="str">
            <v>WW</v>
          </cell>
          <cell r="G8" t="str">
            <v>US</v>
          </cell>
          <cell r="H8" t="str">
            <v>Intl</v>
          </cell>
          <cell r="I8" t="str">
            <v>WW</v>
          </cell>
          <cell r="K8" t="str">
            <v>US</v>
          </cell>
          <cell r="L8" t="str">
            <v>Intl</v>
          </cell>
          <cell r="M8" t="str">
            <v>WW</v>
          </cell>
          <cell r="O8" t="str">
            <v>US</v>
          </cell>
          <cell r="P8" t="str">
            <v>Intl</v>
          </cell>
          <cell r="Q8" t="str">
            <v>WW</v>
          </cell>
          <cell r="T8" t="str">
            <v>US</v>
          </cell>
          <cell r="U8" t="str">
            <v>Intl</v>
          </cell>
          <cell r="V8" t="str">
            <v>WW</v>
          </cell>
          <cell r="X8" t="str">
            <v>US</v>
          </cell>
          <cell r="Y8" t="str">
            <v>Intl</v>
          </cell>
          <cell r="Z8" t="str">
            <v>WW</v>
          </cell>
          <cell r="AB8" t="str">
            <v>US</v>
          </cell>
          <cell r="AC8" t="str">
            <v>Intl</v>
          </cell>
          <cell r="AD8" t="str">
            <v>WW</v>
          </cell>
          <cell r="AF8" t="str">
            <v>US</v>
          </cell>
          <cell r="AG8" t="str">
            <v>Intl</v>
          </cell>
          <cell r="AH8" t="str">
            <v>WW</v>
          </cell>
          <cell r="AJ8" t="str">
            <v>US</v>
          </cell>
          <cell r="AK8" t="str">
            <v>Intl</v>
          </cell>
          <cell r="AL8" t="str">
            <v>WW</v>
          </cell>
          <cell r="AN8" t="str">
            <v>US</v>
          </cell>
          <cell r="AO8" t="str">
            <v>Intl</v>
          </cell>
          <cell r="AP8" t="str">
            <v>WW</v>
          </cell>
          <cell r="AS8" t="str">
            <v>US</v>
          </cell>
          <cell r="AT8" t="str">
            <v>Intl</v>
          </cell>
          <cell r="AU8" t="str">
            <v>WW</v>
          </cell>
          <cell r="AW8" t="str">
            <v>US</v>
          </cell>
          <cell r="AX8" t="str">
            <v>Intl</v>
          </cell>
          <cell r="AY8" t="str">
            <v>WW</v>
          </cell>
          <cell r="BA8" t="str">
            <v>US</v>
          </cell>
          <cell r="BB8" t="str">
            <v>Intl</v>
          </cell>
          <cell r="BC8" t="str">
            <v>WW</v>
          </cell>
          <cell r="BE8" t="str">
            <v>US</v>
          </cell>
          <cell r="BF8" t="str">
            <v>Intl</v>
          </cell>
          <cell r="BG8" t="str">
            <v>WW</v>
          </cell>
          <cell r="BJ8" t="str">
            <v>US</v>
          </cell>
          <cell r="BK8" t="str">
            <v>Intl</v>
          </cell>
          <cell r="BL8" t="str">
            <v>WW</v>
          </cell>
          <cell r="BN8" t="str">
            <v>US</v>
          </cell>
          <cell r="BO8" t="str">
            <v>Intl</v>
          </cell>
          <cell r="BP8" t="str">
            <v>WW</v>
          </cell>
          <cell r="BR8" t="str">
            <v>US</v>
          </cell>
          <cell r="BS8" t="str">
            <v>Intl</v>
          </cell>
          <cell r="BT8" t="str">
            <v>WW</v>
          </cell>
          <cell r="BV8" t="str">
            <v>US</v>
          </cell>
          <cell r="BW8" t="str">
            <v>Intl</v>
          </cell>
          <cell r="BX8" t="str">
            <v>WW</v>
          </cell>
          <cell r="BZ8" t="str">
            <v>US</v>
          </cell>
          <cell r="CA8" t="str">
            <v>Intl</v>
          </cell>
          <cell r="CB8" t="str">
            <v>WW</v>
          </cell>
          <cell r="CD8" t="str">
            <v>US</v>
          </cell>
          <cell r="CE8" t="str">
            <v>Intl</v>
          </cell>
          <cell r="CF8" t="str">
            <v>WW</v>
          </cell>
          <cell r="CI8" t="str">
            <v>US</v>
          </cell>
          <cell r="CJ8" t="str">
            <v>Intl</v>
          </cell>
          <cell r="CK8" t="str">
            <v>WW</v>
          </cell>
          <cell r="CM8" t="str">
            <v>US</v>
          </cell>
          <cell r="CN8" t="str">
            <v>Intl</v>
          </cell>
          <cell r="CO8" t="str">
            <v>WW</v>
          </cell>
          <cell r="CQ8" t="str">
            <v>US</v>
          </cell>
          <cell r="CR8" t="str">
            <v>Intl</v>
          </cell>
          <cell r="CS8" t="str">
            <v>WW</v>
          </cell>
          <cell r="CU8" t="str">
            <v>US</v>
          </cell>
          <cell r="CV8" t="str">
            <v>Intl</v>
          </cell>
          <cell r="CW8" t="str">
            <v>WW</v>
          </cell>
          <cell r="CY8" t="str">
            <v>US</v>
          </cell>
          <cell r="CZ8" t="str">
            <v>Intl</v>
          </cell>
          <cell r="DA8" t="str">
            <v>WW</v>
          </cell>
          <cell r="DC8" t="str">
            <v>US</v>
          </cell>
          <cell r="DD8" t="str">
            <v>Intl</v>
          </cell>
          <cell r="DE8" t="str">
            <v>WW</v>
          </cell>
        </row>
        <row r="11">
          <cell r="B11" t="str">
            <v>2003A</v>
          </cell>
          <cell r="S11">
            <v>2003</v>
          </cell>
          <cell r="AR11">
            <v>2003</v>
          </cell>
          <cell r="BI11">
            <v>2003</v>
          </cell>
          <cell r="CH11">
            <v>2003</v>
          </cell>
        </row>
        <row r="12">
          <cell r="A12" t="str">
            <v>z_qp_1c03</v>
          </cell>
          <cell r="B12" t="str">
            <v>1QA</v>
          </cell>
          <cell r="S12" t="str">
            <v>1QA</v>
          </cell>
          <cell r="AR12" t="str">
            <v>1QA</v>
          </cell>
          <cell r="BI12" t="str">
            <v>1QA</v>
          </cell>
          <cell r="CH12" t="str">
            <v>1QA</v>
          </cell>
        </row>
        <row r="13">
          <cell r="A13" t="str">
            <v>z_qp_2c03</v>
          </cell>
          <cell r="B13" t="str">
            <v>2QA</v>
          </cell>
          <cell r="S13" t="str">
            <v>2QA</v>
          </cell>
          <cell r="AR13" t="str">
            <v>2QA</v>
          </cell>
          <cell r="BI13" t="str">
            <v>2QA</v>
          </cell>
          <cell r="CH13" t="str">
            <v>2QA</v>
          </cell>
        </row>
        <row r="14">
          <cell r="A14" t="str">
            <v>z_qp_3c03</v>
          </cell>
          <cell r="B14" t="str">
            <v>3QA</v>
          </cell>
          <cell r="S14" t="str">
            <v>3QA</v>
          </cell>
          <cell r="AR14" t="str">
            <v>3QA</v>
          </cell>
          <cell r="BI14" t="str">
            <v>3QA</v>
          </cell>
          <cell r="CH14" t="str">
            <v>3QA</v>
          </cell>
        </row>
        <row r="15">
          <cell r="A15" t="str">
            <v>z_qp_4c03</v>
          </cell>
          <cell r="B15" t="str">
            <v>4QA</v>
          </cell>
          <cell r="S15" t="str">
            <v>4QA</v>
          </cell>
          <cell r="AR15" t="str">
            <v>4QA</v>
          </cell>
          <cell r="BI15" t="str">
            <v>4QA</v>
          </cell>
          <cell r="CH15" t="str">
            <v>4QA</v>
          </cell>
        </row>
        <row r="16">
          <cell r="A16" t="str">
            <v>z_qp_fy03</v>
          </cell>
          <cell r="B16" t="str">
            <v>Year</v>
          </cell>
          <cell r="S16" t="str">
            <v>Year</v>
          </cell>
          <cell r="AR16" t="str">
            <v>Year</v>
          </cell>
          <cell r="BI16" t="str">
            <v>Year</v>
          </cell>
          <cell r="CH16" t="str">
            <v>Year</v>
          </cell>
        </row>
        <row r="19">
          <cell r="B19" t="str">
            <v>2004A/03A</v>
          </cell>
          <cell r="S19" t="str">
            <v>2004A/03A</v>
          </cell>
          <cell r="AR19" t="str">
            <v>2004E/03A</v>
          </cell>
          <cell r="BI19" t="str">
            <v>2004A/03A</v>
          </cell>
          <cell r="CH19" t="str">
            <v>2004A/03A</v>
          </cell>
        </row>
        <row r="20">
          <cell r="A20" t="str">
            <v>z_qp_1c04_yy</v>
          </cell>
          <cell r="B20" t="str">
            <v>1QA</v>
          </cell>
          <cell r="S20" t="str">
            <v>1QA</v>
          </cell>
          <cell r="AR20" t="str">
            <v>1QA</v>
          </cell>
          <cell r="BI20" t="str">
            <v>1QA</v>
          </cell>
          <cell r="CH20" t="str">
            <v>1QA</v>
          </cell>
        </row>
        <row r="21">
          <cell r="A21" t="str">
            <v>z_qp_2c04_yy</v>
          </cell>
          <cell r="B21" t="str">
            <v>2QA</v>
          </cell>
          <cell r="S21" t="str">
            <v>2QA</v>
          </cell>
          <cell r="AR21" t="str">
            <v>2QA</v>
          </cell>
          <cell r="BI21" t="str">
            <v>2QA</v>
          </cell>
          <cell r="CH21" t="str">
            <v>2QA</v>
          </cell>
        </row>
        <row r="22">
          <cell r="A22" t="str">
            <v>z_qp_3c04_yy</v>
          </cell>
          <cell r="B22" t="str">
            <v>3QA</v>
          </cell>
          <cell r="S22" t="str">
            <v>3QA</v>
          </cell>
          <cell r="AR22" t="str">
            <v>3QA</v>
          </cell>
          <cell r="BI22" t="str">
            <v>3QA</v>
          </cell>
          <cell r="CH22" t="str">
            <v>3QA</v>
          </cell>
        </row>
        <row r="23">
          <cell r="A23" t="str">
            <v>z_qp_4c04_yy</v>
          </cell>
          <cell r="B23" t="str">
            <v>4QA</v>
          </cell>
          <cell r="S23" t="str">
            <v>4QA</v>
          </cell>
          <cell r="AR23" t="str">
            <v>4QA</v>
          </cell>
          <cell r="BI23" t="str">
            <v>4QA</v>
          </cell>
          <cell r="CH23" t="str">
            <v>4QA</v>
          </cell>
        </row>
        <row r="24">
          <cell r="A24" t="str">
            <v>z_qp_fy04_yy</v>
          </cell>
          <cell r="B24" t="str">
            <v>Year</v>
          </cell>
          <cell r="S24" t="str">
            <v>Year</v>
          </cell>
          <cell r="AR24" t="str">
            <v>Year</v>
          </cell>
          <cell r="BI24" t="str">
            <v>Year</v>
          </cell>
          <cell r="CH24" t="str">
            <v>Year</v>
          </cell>
        </row>
        <row r="26">
          <cell r="B26" t="str">
            <v>2004A</v>
          </cell>
          <cell r="S26" t="str">
            <v>2004A</v>
          </cell>
          <cell r="AR26" t="str">
            <v>2004E</v>
          </cell>
          <cell r="BI26" t="str">
            <v>2004A</v>
          </cell>
          <cell r="CH26" t="str">
            <v>2004A</v>
          </cell>
        </row>
        <row r="27">
          <cell r="A27" t="str">
            <v>z_qp_1c04</v>
          </cell>
          <cell r="B27" t="str">
            <v>1QA</v>
          </cell>
          <cell r="E27">
            <v>0</v>
          </cell>
          <cell r="I27">
            <v>0</v>
          </cell>
          <cell r="M27">
            <v>0</v>
          </cell>
          <cell r="O27">
            <v>0</v>
          </cell>
          <cell r="P27">
            <v>0</v>
          </cell>
          <cell r="Q27">
            <v>0</v>
          </cell>
          <cell r="S27" t="str">
            <v>1QA</v>
          </cell>
          <cell r="V27">
            <v>0</v>
          </cell>
          <cell r="Z27">
            <v>0</v>
          </cell>
          <cell r="AD27">
            <v>0</v>
          </cell>
          <cell r="AH27">
            <v>0</v>
          </cell>
          <cell r="AL27">
            <v>0</v>
          </cell>
          <cell r="AN27">
            <v>0</v>
          </cell>
          <cell r="AO27">
            <v>0</v>
          </cell>
          <cell r="AP27">
            <v>0</v>
          </cell>
          <cell r="AR27" t="str">
            <v>1QA</v>
          </cell>
          <cell r="AU27">
            <v>0</v>
          </cell>
          <cell r="AY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I27" t="str">
            <v>1QA</v>
          </cell>
          <cell r="BL27">
            <v>0</v>
          </cell>
          <cell r="BP27">
            <v>0</v>
          </cell>
          <cell r="BT27">
            <v>0</v>
          </cell>
          <cell r="BX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H27" t="str">
            <v>1QA</v>
          </cell>
          <cell r="CK27">
            <v>0</v>
          </cell>
          <cell r="CO27">
            <v>0</v>
          </cell>
          <cell r="CS27">
            <v>0</v>
          </cell>
          <cell r="CW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</row>
        <row r="28">
          <cell r="A28" t="str">
            <v>z_qp_2c04</v>
          </cell>
          <cell r="B28" t="str">
            <v>2QA</v>
          </cell>
          <cell r="E28">
            <v>0</v>
          </cell>
          <cell r="I28">
            <v>0</v>
          </cell>
          <cell r="M28">
            <v>0</v>
          </cell>
          <cell r="O28">
            <v>0</v>
          </cell>
          <cell r="P28">
            <v>0</v>
          </cell>
          <cell r="Q28">
            <v>0</v>
          </cell>
          <cell r="S28" t="str">
            <v>2QA</v>
          </cell>
          <cell r="V28">
            <v>0</v>
          </cell>
          <cell r="Z28">
            <v>0</v>
          </cell>
          <cell r="AD28">
            <v>0</v>
          </cell>
          <cell r="AH28">
            <v>0</v>
          </cell>
          <cell r="AL28">
            <v>0</v>
          </cell>
          <cell r="AN28">
            <v>0</v>
          </cell>
          <cell r="AO28">
            <v>0</v>
          </cell>
          <cell r="AP28">
            <v>0</v>
          </cell>
          <cell r="AR28" t="str">
            <v>2QA</v>
          </cell>
          <cell r="AU28">
            <v>0</v>
          </cell>
          <cell r="AY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I28" t="str">
            <v>2QA</v>
          </cell>
          <cell r="BL28">
            <v>0</v>
          </cell>
          <cell r="BP28">
            <v>0</v>
          </cell>
          <cell r="BT28">
            <v>0</v>
          </cell>
          <cell r="BX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H28" t="str">
            <v>2QA</v>
          </cell>
          <cell r="CK28">
            <v>0</v>
          </cell>
          <cell r="CO28">
            <v>0</v>
          </cell>
          <cell r="CS28">
            <v>0</v>
          </cell>
          <cell r="CW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</row>
        <row r="29">
          <cell r="A29" t="str">
            <v>z_qp_3c04</v>
          </cell>
          <cell r="B29" t="str">
            <v>3QA</v>
          </cell>
          <cell r="E29">
            <v>0</v>
          </cell>
          <cell r="I29">
            <v>0</v>
          </cell>
          <cell r="M29">
            <v>0</v>
          </cell>
          <cell r="O29">
            <v>0</v>
          </cell>
          <cell r="P29">
            <v>0</v>
          </cell>
          <cell r="Q29">
            <v>0</v>
          </cell>
          <cell r="S29" t="str">
            <v>3QA</v>
          </cell>
          <cell r="V29">
            <v>0</v>
          </cell>
          <cell r="Z29">
            <v>0</v>
          </cell>
          <cell r="AD29">
            <v>0</v>
          </cell>
          <cell r="AH29">
            <v>0</v>
          </cell>
          <cell r="AL29">
            <v>0</v>
          </cell>
          <cell r="AN29">
            <v>0</v>
          </cell>
          <cell r="AO29">
            <v>0</v>
          </cell>
          <cell r="AP29">
            <v>0</v>
          </cell>
          <cell r="AR29" t="str">
            <v>3QA</v>
          </cell>
          <cell r="AU29">
            <v>0</v>
          </cell>
          <cell r="AY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I29" t="str">
            <v>3QA</v>
          </cell>
          <cell r="BL29">
            <v>0</v>
          </cell>
          <cell r="BP29">
            <v>0</v>
          </cell>
          <cell r="BT29">
            <v>0</v>
          </cell>
          <cell r="BX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H29" t="str">
            <v>3QA</v>
          </cell>
          <cell r="CK29">
            <v>0</v>
          </cell>
          <cell r="CO29">
            <v>0</v>
          </cell>
          <cell r="CS29">
            <v>0</v>
          </cell>
          <cell r="CW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</row>
        <row r="30">
          <cell r="A30" t="str">
            <v>z_qp_4c04</v>
          </cell>
          <cell r="B30" t="str">
            <v>4QA</v>
          </cell>
          <cell r="E30">
            <v>0</v>
          </cell>
          <cell r="I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 t="str">
            <v>4QA</v>
          </cell>
          <cell r="V30">
            <v>0</v>
          </cell>
          <cell r="Z30">
            <v>0</v>
          </cell>
          <cell r="AD30">
            <v>0</v>
          </cell>
          <cell r="AH30">
            <v>0</v>
          </cell>
          <cell r="AL30">
            <v>0</v>
          </cell>
          <cell r="AN30">
            <v>0</v>
          </cell>
          <cell r="AO30">
            <v>0</v>
          </cell>
          <cell r="AP30">
            <v>0</v>
          </cell>
          <cell r="AR30" t="str">
            <v>4QA</v>
          </cell>
          <cell r="AU30">
            <v>0</v>
          </cell>
          <cell r="AY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I30" t="str">
            <v>4QA</v>
          </cell>
          <cell r="BL30">
            <v>0</v>
          </cell>
          <cell r="BP30">
            <v>0</v>
          </cell>
          <cell r="BT30">
            <v>0</v>
          </cell>
          <cell r="BX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H30" t="str">
            <v>4QA</v>
          </cell>
          <cell r="CK30">
            <v>0</v>
          </cell>
          <cell r="CO30">
            <v>0</v>
          </cell>
          <cell r="CS30">
            <v>0</v>
          </cell>
          <cell r="CW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</row>
        <row r="31">
          <cell r="A31" t="str">
            <v>z_qp_fy04</v>
          </cell>
          <cell r="B31" t="str">
            <v>Year</v>
          </cell>
          <cell r="C31">
            <v>0</v>
          </cell>
          <cell r="D31">
            <v>0</v>
          </cell>
          <cell r="E31">
            <v>364</v>
          </cell>
          <cell r="G31">
            <v>0</v>
          </cell>
          <cell r="H31">
            <v>0</v>
          </cell>
          <cell r="I31">
            <v>400</v>
          </cell>
          <cell r="K31">
            <v>0</v>
          </cell>
          <cell r="L31">
            <v>0</v>
          </cell>
          <cell r="M31">
            <v>309</v>
          </cell>
          <cell r="O31">
            <v>0</v>
          </cell>
          <cell r="P31">
            <v>0</v>
          </cell>
          <cell r="Q31">
            <v>1073</v>
          </cell>
          <cell r="S31" t="str">
            <v>Year</v>
          </cell>
          <cell r="T31">
            <v>0</v>
          </cell>
          <cell r="U31">
            <v>0</v>
          </cell>
          <cell r="V31">
            <v>1886</v>
          </cell>
          <cell r="X31">
            <v>0</v>
          </cell>
          <cell r="Y31">
            <v>0</v>
          </cell>
          <cell r="Z31">
            <v>438</v>
          </cell>
          <cell r="AB31">
            <v>0</v>
          </cell>
          <cell r="AC31">
            <v>0</v>
          </cell>
          <cell r="AD31">
            <v>1332</v>
          </cell>
          <cell r="AF31">
            <v>0</v>
          </cell>
          <cell r="AG31">
            <v>0</v>
          </cell>
          <cell r="AH31">
            <v>1167</v>
          </cell>
          <cell r="AJ31">
            <v>0</v>
          </cell>
          <cell r="AK31">
            <v>0</v>
          </cell>
          <cell r="AL31">
            <v>344</v>
          </cell>
          <cell r="AN31">
            <v>0</v>
          </cell>
          <cell r="AO31">
            <v>0</v>
          </cell>
          <cell r="AP31">
            <v>5167</v>
          </cell>
          <cell r="AR31" t="str">
            <v>Year</v>
          </cell>
          <cell r="AS31">
            <v>0</v>
          </cell>
          <cell r="AT31">
            <v>0</v>
          </cell>
          <cell r="AU31">
            <v>444</v>
          </cell>
          <cell r="AW31">
            <v>0</v>
          </cell>
          <cell r="AX31">
            <v>0</v>
          </cell>
          <cell r="AY31">
            <v>366</v>
          </cell>
          <cell r="BA31">
            <v>0</v>
          </cell>
          <cell r="BB31">
            <v>0</v>
          </cell>
          <cell r="BC31">
            <v>97</v>
          </cell>
          <cell r="BE31">
            <v>0</v>
          </cell>
          <cell r="BF31">
            <v>0</v>
          </cell>
          <cell r="BG31">
            <v>907</v>
          </cell>
          <cell r="BI31" t="str">
            <v>Year</v>
          </cell>
          <cell r="BJ31">
            <v>0</v>
          </cell>
          <cell r="BK31">
            <v>0</v>
          </cell>
          <cell r="BL31">
            <v>499</v>
          </cell>
          <cell r="BN31">
            <v>0</v>
          </cell>
          <cell r="BO31">
            <v>0</v>
          </cell>
          <cell r="BP31">
            <v>291</v>
          </cell>
          <cell r="BR31">
            <v>0</v>
          </cell>
          <cell r="BS31">
            <v>0</v>
          </cell>
          <cell r="BT31">
            <v>129</v>
          </cell>
          <cell r="BV31">
            <v>0</v>
          </cell>
          <cell r="BW31">
            <v>0</v>
          </cell>
          <cell r="BX31">
            <v>86</v>
          </cell>
          <cell r="BZ31">
            <v>0</v>
          </cell>
          <cell r="CA31">
            <v>0</v>
          </cell>
          <cell r="CB31">
            <v>45</v>
          </cell>
          <cell r="CD31">
            <v>0</v>
          </cell>
          <cell r="CE31">
            <v>0</v>
          </cell>
          <cell r="CF31">
            <v>1050</v>
          </cell>
          <cell r="CH31" t="str">
            <v>Year</v>
          </cell>
          <cell r="CI31">
            <v>0</v>
          </cell>
          <cell r="CJ31">
            <v>0</v>
          </cell>
          <cell r="CK31">
            <v>634</v>
          </cell>
          <cell r="CM31">
            <v>0</v>
          </cell>
          <cell r="CN31">
            <v>0</v>
          </cell>
          <cell r="CO31">
            <v>177</v>
          </cell>
          <cell r="CQ31">
            <v>0</v>
          </cell>
          <cell r="CR31">
            <v>0</v>
          </cell>
          <cell r="CS31">
            <v>91</v>
          </cell>
          <cell r="CU31">
            <v>0</v>
          </cell>
          <cell r="CV31">
            <v>0</v>
          </cell>
          <cell r="CW31">
            <v>10</v>
          </cell>
          <cell r="CY31">
            <v>0</v>
          </cell>
          <cell r="CZ31">
            <v>0</v>
          </cell>
          <cell r="DA31">
            <v>912</v>
          </cell>
          <cell r="DC31">
            <v>0</v>
          </cell>
          <cell r="DD31">
            <v>0</v>
          </cell>
          <cell r="DE31">
            <v>9110</v>
          </cell>
        </row>
        <row r="32">
          <cell r="E32">
            <v>364</v>
          </cell>
          <cell r="I32">
            <v>400</v>
          </cell>
          <cell r="M32">
            <v>309</v>
          </cell>
          <cell r="Q32">
            <v>1073</v>
          </cell>
          <cell r="V32">
            <v>1886</v>
          </cell>
          <cell r="Z32">
            <v>438</v>
          </cell>
          <cell r="AD32">
            <v>1332</v>
          </cell>
          <cell r="AH32">
            <v>1167</v>
          </cell>
          <cell r="AL32">
            <v>344</v>
          </cell>
          <cell r="AP32">
            <v>5167</v>
          </cell>
          <cell r="AU32">
            <v>444</v>
          </cell>
          <cell r="AY32">
            <v>366</v>
          </cell>
          <cell r="BC32">
            <v>97</v>
          </cell>
          <cell r="BG32">
            <v>907</v>
          </cell>
          <cell r="BL32">
            <v>499</v>
          </cell>
          <cell r="BP32">
            <v>291</v>
          </cell>
          <cell r="BT32">
            <v>129</v>
          </cell>
          <cell r="BX32">
            <v>86</v>
          </cell>
          <cell r="CB32">
            <v>45</v>
          </cell>
          <cell r="CF32">
            <v>1050</v>
          </cell>
          <cell r="CK32">
            <v>634</v>
          </cell>
          <cell r="CO32">
            <v>177</v>
          </cell>
          <cell r="CS32">
            <v>91</v>
          </cell>
          <cell r="CW32">
            <v>10</v>
          </cell>
          <cell r="DA32">
            <v>912</v>
          </cell>
          <cell r="DE32">
            <v>9109</v>
          </cell>
        </row>
        <row r="34">
          <cell r="B34" t="str">
            <v>2005A/04A</v>
          </cell>
          <cell r="S34" t="str">
            <v>2005A/04A</v>
          </cell>
          <cell r="AR34" t="str">
            <v>2005A/04A</v>
          </cell>
          <cell r="BI34" t="str">
            <v>2005A/04A</v>
          </cell>
          <cell r="CH34" t="str">
            <v>2005A/04A</v>
          </cell>
        </row>
        <row r="35">
          <cell r="A35" t="str">
            <v>z_qp_1c05_yy</v>
          </cell>
          <cell r="B35" t="str">
            <v>1QA</v>
          </cell>
          <cell r="S35" t="str">
            <v>1QA</v>
          </cell>
          <cell r="AR35" t="str">
            <v>1QA</v>
          </cell>
          <cell r="BI35" t="str">
            <v>1QA</v>
          </cell>
          <cell r="CH35" t="str">
            <v>1QA</v>
          </cell>
        </row>
        <row r="36">
          <cell r="A36" t="str">
            <v>z_qp_2c05_yy</v>
          </cell>
          <cell r="B36" t="str">
            <v>2QA</v>
          </cell>
          <cell r="S36" t="str">
            <v>2QA</v>
          </cell>
          <cell r="AR36" t="str">
            <v>2QA</v>
          </cell>
          <cell r="BI36" t="str">
            <v>2QA</v>
          </cell>
          <cell r="CH36" t="str">
            <v>2QA</v>
          </cell>
        </row>
        <row r="37">
          <cell r="A37" t="str">
            <v>z_qp_3c05_yy</v>
          </cell>
          <cell r="B37" t="str">
            <v>3QA</v>
          </cell>
          <cell r="S37" t="str">
            <v>3QA</v>
          </cell>
          <cell r="AR37" t="str">
            <v>3QA</v>
          </cell>
          <cell r="BI37" t="str">
            <v>3QA</v>
          </cell>
          <cell r="CH37" t="str">
            <v>3QA</v>
          </cell>
        </row>
        <row r="38">
          <cell r="A38" t="str">
            <v>z_qp_4c05_yy</v>
          </cell>
          <cell r="B38" t="str">
            <v>4QA</v>
          </cell>
          <cell r="S38" t="str">
            <v>4QA</v>
          </cell>
          <cell r="AR38" t="str">
            <v>4QA</v>
          </cell>
          <cell r="BI38" t="str">
            <v>4QA</v>
          </cell>
          <cell r="CH38" t="str">
            <v>4QA</v>
          </cell>
        </row>
        <row r="39">
          <cell r="A39" t="str">
            <v>z_qp_fy05_yy</v>
          </cell>
          <cell r="B39" t="str">
            <v>Year</v>
          </cell>
          <cell r="E39">
            <v>0.16758241758241765</v>
          </cell>
          <cell r="I39">
            <v>-3.0000000000000027E-2</v>
          </cell>
          <cell r="M39">
            <v>0.11003236245954695</v>
          </cell>
          <cell r="Q39">
            <v>7.7353215284249766E-2</v>
          </cell>
          <cell r="S39" t="str">
            <v>Year</v>
          </cell>
          <cell r="V39">
            <v>9.4909862142099621E-2</v>
          </cell>
          <cell r="Z39">
            <v>0.23287671232876717</v>
          </cell>
          <cell r="AD39">
            <v>4.8798798798798781E-2</v>
          </cell>
          <cell r="AH39">
            <v>5.4841473864610135E-2</v>
          </cell>
          <cell r="AL39">
            <v>2.3255813953488413E-2</v>
          </cell>
          <cell r="AP39">
            <v>8.0898006580220727E-2</v>
          </cell>
          <cell r="AR39" t="str">
            <v>Year</v>
          </cell>
          <cell r="AU39">
            <v>6.3063063063063085E-2</v>
          </cell>
          <cell r="AY39">
            <v>-2.732240437158473E-3</v>
          </cell>
          <cell r="BC39">
            <v>4.1237113402061931E-2</v>
          </cell>
          <cell r="BG39">
            <v>3.4178610804851184E-2</v>
          </cell>
          <cell r="BI39" t="str">
            <v>Year</v>
          </cell>
          <cell r="BL39">
            <v>-3.2064128256513058E-2</v>
          </cell>
          <cell r="BP39">
            <v>-2.4054982817869441E-2</v>
          </cell>
          <cell r="BT39">
            <v>1.5503875968992276E-2</v>
          </cell>
          <cell r="BX39">
            <v>0.10465116279069764</v>
          </cell>
          <cell r="CB39">
            <v>-0.26666666666666672</v>
          </cell>
          <cell r="CF39">
            <v>-2.2857142857142909E-2</v>
          </cell>
          <cell r="CH39" t="str">
            <v>Year</v>
          </cell>
          <cell r="CK39">
            <v>-0.10094637223974767</v>
          </cell>
          <cell r="CO39">
            <v>-7.9096045197740161E-2</v>
          </cell>
          <cell r="CS39">
            <v>-5.4945054945054972E-2</v>
          </cell>
          <cell r="CW39">
            <v>0.10000000000000009</v>
          </cell>
          <cell r="DA39">
            <v>-8.9912280701754388E-2</v>
          </cell>
          <cell r="DE39">
            <v>4.5115257958287636E-2</v>
          </cell>
        </row>
        <row r="41">
          <cell r="B41" t="str">
            <v>2005A</v>
          </cell>
          <cell r="S41" t="str">
            <v>2005A</v>
          </cell>
          <cell r="AR41" t="str">
            <v>2005A</v>
          </cell>
          <cell r="BI41" t="str">
            <v>2005A</v>
          </cell>
          <cell r="CH41" t="str">
            <v>2005A</v>
          </cell>
        </row>
        <row r="42">
          <cell r="A42" t="str">
            <v>z_qp_1c05</v>
          </cell>
          <cell r="B42" t="str">
            <v>1QA</v>
          </cell>
          <cell r="E42">
            <v>0</v>
          </cell>
          <cell r="I42">
            <v>0</v>
          </cell>
          <cell r="M42">
            <v>0</v>
          </cell>
          <cell r="O42">
            <v>0</v>
          </cell>
          <cell r="P42">
            <v>0</v>
          </cell>
          <cell r="Q42">
            <v>0</v>
          </cell>
          <cell r="S42" t="str">
            <v>1QA</v>
          </cell>
          <cell r="V42">
            <v>0</v>
          </cell>
          <cell r="Z42">
            <v>0</v>
          </cell>
          <cell r="AD42">
            <v>0</v>
          </cell>
          <cell r="AH42">
            <v>0</v>
          </cell>
          <cell r="AL42">
            <v>0</v>
          </cell>
          <cell r="AN42">
            <v>0</v>
          </cell>
          <cell r="AO42">
            <v>0</v>
          </cell>
          <cell r="AP42">
            <v>0</v>
          </cell>
          <cell r="AR42" t="str">
            <v>1QA</v>
          </cell>
          <cell r="AU42">
            <v>0</v>
          </cell>
          <cell r="AY42">
            <v>0</v>
          </cell>
          <cell r="BC42">
            <v>0</v>
          </cell>
          <cell r="BE42">
            <v>0</v>
          </cell>
          <cell r="BF42">
            <v>0</v>
          </cell>
          <cell r="BG42">
            <v>0</v>
          </cell>
          <cell r="BI42" t="str">
            <v>1QA</v>
          </cell>
          <cell r="BL42">
            <v>0</v>
          </cell>
          <cell r="BP42">
            <v>0</v>
          </cell>
          <cell r="BT42">
            <v>0</v>
          </cell>
          <cell r="BX42">
            <v>0</v>
          </cell>
          <cell r="CB42">
            <v>0</v>
          </cell>
          <cell r="CD42">
            <v>0</v>
          </cell>
          <cell r="CE42">
            <v>0</v>
          </cell>
          <cell r="CF42">
            <v>0</v>
          </cell>
          <cell r="CH42" t="str">
            <v>1QA</v>
          </cell>
          <cell r="CK42">
            <v>0</v>
          </cell>
          <cell r="CO42">
            <v>0</v>
          </cell>
          <cell r="CS42">
            <v>0</v>
          </cell>
          <cell r="CW42">
            <v>0</v>
          </cell>
          <cell r="CY42">
            <v>0</v>
          </cell>
          <cell r="CZ42">
            <v>0</v>
          </cell>
          <cell r="DA42">
            <v>0</v>
          </cell>
          <cell r="DC42">
            <v>0</v>
          </cell>
          <cell r="DD42">
            <v>0</v>
          </cell>
          <cell r="DE42">
            <v>0</v>
          </cell>
        </row>
        <row r="43">
          <cell r="A43" t="str">
            <v>z_qp_2c05</v>
          </cell>
          <cell r="B43" t="str">
            <v>2QA</v>
          </cell>
          <cell r="E43">
            <v>0</v>
          </cell>
          <cell r="I43">
            <v>0</v>
          </cell>
          <cell r="M43">
            <v>0</v>
          </cell>
          <cell r="O43">
            <v>0</v>
          </cell>
          <cell r="P43">
            <v>0</v>
          </cell>
          <cell r="Q43">
            <v>0</v>
          </cell>
          <cell r="S43" t="str">
            <v>2QA</v>
          </cell>
          <cell r="V43">
            <v>0</v>
          </cell>
          <cell r="Z43">
            <v>0</v>
          </cell>
          <cell r="AD43">
            <v>0</v>
          </cell>
          <cell r="AH43">
            <v>0</v>
          </cell>
          <cell r="AL43">
            <v>0</v>
          </cell>
          <cell r="AN43">
            <v>0</v>
          </cell>
          <cell r="AO43">
            <v>0</v>
          </cell>
          <cell r="AP43">
            <v>0</v>
          </cell>
          <cell r="AR43" t="str">
            <v>2QA</v>
          </cell>
          <cell r="AU43">
            <v>0</v>
          </cell>
          <cell r="AY43">
            <v>0</v>
          </cell>
          <cell r="BC43">
            <v>0</v>
          </cell>
          <cell r="BE43">
            <v>0</v>
          </cell>
          <cell r="BF43">
            <v>0</v>
          </cell>
          <cell r="BG43">
            <v>0</v>
          </cell>
          <cell r="BI43" t="str">
            <v>2QA</v>
          </cell>
          <cell r="BL43">
            <v>0</v>
          </cell>
          <cell r="BP43">
            <v>0</v>
          </cell>
          <cell r="BT43">
            <v>0</v>
          </cell>
          <cell r="BX43">
            <v>0</v>
          </cell>
          <cell r="CB43">
            <v>0</v>
          </cell>
          <cell r="CD43">
            <v>0</v>
          </cell>
          <cell r="CE43">
            <v>0</v>
          </cell>
          <cell r="CF43">
            <v>0</v>
          </cell>
          <cell r="CH43" t="str">
            <v>2QA</v>
          </cell>
          <cell r="CK43">
            <v>0</v>
          </cell>
          <cell r="CO43">
            <v>0</v>
          </cell>
          <cell r="CS43">
            <v>0</v>
          </cell>
          <cell r="CW43">
            <v>0</v>
          </cell>
          <cell r="CY43">
            <v>0</v>
          </cell>
          <cell r="CZ43">
            <v>0</v>
          </cell>
          <cell r="DA43">
            <v>0</v>
          </cell>
          <cell r="DC43">
            <v>0</v>
          </cell>
          <cell r="DD43">
            <v>0</v>
          </cell>
          <cell r="DE43">
            <v>0</v>
          </cell>
        </row>
        <row r="44">
          <cell r="A44" t="str">
            <v>z_qp_3c05</v>
          </cell>
          <cell r="B44" t="str">
            <v>3QA</v>
          </cell>
          <cell r="E44">
            <v>0</v>
          </cell>
          <cell r="I44">
            <v>0</v>
          </cell>
          <cell r="M44">
            <v>0</v>
          </cell>
          <cell r="O44">
            <v>0</v>
          </cell>
          <cell r="P44">
            <v>0</v>
          </cell>
          <cell r="Q44">
            <v>0</v>
          </cell>
          <cell r="S44" t="str">
            <v>3QA</v>
          </cell>
          <cell r="V44">
            <v>0</v>
          </cell>
          <cell r="Z44">
            <v>0</v>
          </cell>
          <cell r="AD44">
            <v>0</v>
          </cell>
          <cell r="AH44">
            <v>0</v>
          </cell>
          <cell r="AL44">
            <v>0</v>
          </cell>
          <cell r="AN44">
            <v>0</v>
          </cell>
          <cell r="AO44">
            <v>0</v>
          </cell>
          <cell r="AP44">
            <v>0</v>
          </cell>
          <cell r="AR44" t="str">
            <v>3QA</v>
          </cell>
          <cell r="AU44">
            <v>0</v>
          </cell>
          <cell r="AY44">
            <v>0</v>
          </cell>
          <cell r="BC44">
            <v>0</v>
          </cell>
          <cell r="BE44">
            <v>0</v>
          </cell>
          <cell r="BF44">
            <v>0</v>
          </cell>
          <cell r="BG44">
            <v>0</v>
          </cell>
          <cell r="BI44" t="str">
            <v>3QA</v>
          </cell>
          <cell r="BL44">
            <v>0</v>
          </cell>
          <cell r="BP44">
            <v>0</v>
          </cell>
          <cell r="BT44">
            <v>0</v>
          </cell>
          <cell r="BX44">
            <v>0</v>
          </cell>
          <cell r="CB44">
            <v>0</v>
          </cell>
          <cell r="CD44">
            <v>0</v>
          </cell>
          <cell r="CE44">
            <v>0</v>
          </cell>
          <cell r="CF44">
            <v>0</v>
          </cell>
          <cell r="CH44" t="str">
            <v>3QA</v>
          </cell>
          <cell r="CK44">
            <v>0</v>
          </cell>
          <cell r="CO44">
            <v>0</v>
          </cell>
          <cell r="CS44">
            <v>0</v>
          </cell>
          <cell r="CW44">
            <v>0</v>
          </cell>
          <cell r="CY44">
            <v>0</v>
          </cell>
          <cell r="CZ44">
            <v>0</v>
          </cell>
          <cell r="DA44">
            <v>0</v>
          </cell>
          <cell r="DC44">
            <v>0</v>
          </cell>
          <cell r="DD44">
            <v>0</v>
          </cell>
          <cell r="DE44">
            <v>0</v>
          </cell>
        </row>
        <row r="45">
          <cell r="A45" t="str">
            <v>z_qp_4c05</v>
          </cell>
          <cell r="B45" t="str">
            <v>4QA</v>
          </cell>
          <cell r="E45">
            <v>0</v>
          </cell>
          <cell r="I45">
            <v>0</v>
          </cell>
          <cell r="M45">
            <v>0</v>
          </cell>
          <cell r="O45">
            <v>0</v>
          </cell>
          <cell r="P45">
            <v>0</v>
          </cell>
          <cell r="Q45">
            <v>0</v>
          </cell>
          <cell r="S45" t="str">
            <v>4QA</v>
          </cell>
          <cell r="V45">
            <v>0</v>
          </cell>
          <cell r="Z45">
            <v>0</v>
          </cell>
          <cell r="AD45">
            <v>0</v>
          </cell>
          <cell r="AH45">
            <v>0</v>
          </cell>
          <cell r="AL45">
            <v>0</v>
          </cell>
          <cell r="AN45">
            <v>0</v>
          </cell>
          <cell r="AO45">
            <v>0</v>
          </cell>
          <cell r="AP45">
            <v>0</v>
          </cell>
          <cell r="AR45" t="str">
            <v>4QA</v>
          </cell>
          <cell r="AU45">
            <v>0</v>
          </cell>
          <cell r="AY45">
            <v>0</v>
          </cell>
          <cell r="BC45">
            <v>0</v>
          </cell>
          <cell r="BE45">
            <v>0</v>
          </cell>
          <cell r="BF45">
            <v>0</v>
          </cell>
          <cell r="BG45">
            <v>0</v>
          </cell>
          <cell r="BI45" t="str">
            <v>4QA</v>
          </cell>
          <cell r="BL45">
            <v>0</v>
          </cell>
          <cell r="BP45">
            <v>0</v>
          </cell>
          <cell r="BT45">
            <v>0</v>
          </cell>
          <cell r="BX45">
            <v>0</v>
          </cell>
          <cell r="CB45">
            <v>0</v>
          </cell>
          <cell r="CD45">
            <v>0</v>
          </cell>
          <cell r="CE45">
            <v>0</v>
          </cell>
          <cell r="CF45">
            <v>0</v>
          </cell>
          <cell r="CH45" t="str">
            <v>4QA</v>
          </cell>
          <cell r="CK45">
            <v>0</v>
          </cell>
          <cell r="CO45">
            <v>0</v>
          </cell>
          <cell r="CS45">
            <v>0</v>
          </cell>
          <cell r="CW45">
            <v>0</v>
          </cell>
          <cell r="CY45">
            <v>0</v>
          </cell>
          <cell r="CZ45">
            <v>0</v>
          </cell>
          <cell r="DA45">
            <v>0</v>
          </cell>
          <cell r="DC45">
            <v>0</v>
          </cell>
          <cell r="DD45">
            <v>0</v>
          </cell>
          <cell r="DE45">
            <v>0</v>
          </cell>
        </row>
        <row r="46">
          <cell r="A46" t="str">
            <v>z_qp_fy05</v>
          </cell>
          <cell r="B46" t="str">
            <v>Year</v>
          </cell>
          <cell r="C46">
            <v>0</v>
          </cell>
          <cell r="D46">
            <v>0</v>
          </cell>
          <cell r="E46">
            <v>425</v>
          </cell>
          <cell r="G46">
            <v>0</v>
          </cell>
          <cell r="H46">
            <v>0</v>
          </cell>
          <cell r="I46">
            <v>388</v>
          </cell>
          <cell r="K46">
            <v>0</v>
          </cell>
          <cell r="L46">
            <v>0</v>
          </cell>
          <cell r="M46">
            <v>343</v>
          </cell>
          <cell r="O46">
            <v>0</v>
          </cell>
          <cell r="P46">
            <v>0</v>
          </cell>
          <cell r="Q46">
            <v>1156</v>
          </cell>
          <cell r="S46" t="str">
            <v>Year</v>
          </cell>
          <cell r="T46">
            <v>0</v>
          </cell>
          <cell r="U46">
            <v>0</v>
          </cell>
          <cell r="V46">
            <v>2065</v>
          </cell>
          <cell r="X46">
            <v>0</v>
          </cell>
          <cell r="Y46">
            <v>0</v>
          </cell>
          <cell r="Z46">
            <v>540</v>
          </cell>
          <cell r="AB46">
            <v>0</v>
          </cell>
          <cell r="AC46">
            <v>0</v>
          </cell>
          <cell r="AD46">
            <v>1397</v>
          </cell>
          <cell r="AF46">
            <v>0</v>
          </cell>
          <cell r="AG46">
            <v>0</v>
          </cell>
          <cell r="AH46">
            <v>1231</v>
          </cell>
          <cell r="AJ46">
            <v>0</v>
          </cell>
          <cell r="AK46">
            <v>0</v>
          </cell>
          <cell r="AL46">
            <v>352</v>
          </cell>
          <cell r="AN46">
            <v>0</v>
          </cell>
          <cell r="AO46">
            <v>0</v>
          </cell>
          <cell r="AP46">
            <v>5585</v>
          </cell>
          <cell r="AR46" t="str">
            <v>Year</v>
          </cell>
          <cell r="AS46">
            <v>0</v>
          </cell>
          <cell r="AT46">
            <v>0</v>
          </cell>
          <cell r="AU46">
            <v>472</v>
          </cell>
          <cell r="AW46">
            <v>0</v>
          </cell>
          <cell r="AX46">
            <v>0</v>
          </cell>
          <cell r="AY46">
            <v>365</v>
          </cell>
          <cell r="BA46">
            <v>0</v>
          </cell>
          <cell r="BB46">
            <v>0</v>
          </cell>
          <cell r="BC46">
            <v>101</v>
          </cell>
          <cell r="BE46">
            <v>0</v>
          </cell>
          <cell r="BF46">
            <v>0</v>
          </cell>
          <cell r="BG46">
            <v>938</v>
          </cell>
          <cell r="BI46" t="str">
            <v>Year</v>
          </cell>
          <cell r="BJ46">
            <v>0</v>
          </cell>
          <cell r="BK46">
            <v>0</v>
          </cell>
          <cell r="BL46">
            <v>483</v>
          </cell>
          <cell r="BN46">
            <v>0</v>
          </cell>
          <cell r="BO46">
            <v>0</v>
          </cell>
          <cell r="BP46">
            <v>284</v>
          </cell>
          <cell r="BR46">
            <v>0</v>
          </cell>
          <cell r="BS46">
            <v>0</v>
          </cell>
          <cell r="BT46">
            <v>131</v>
          </cell>
          <cell r="BV46">
            <v>0</v>
          </cell>
          <cell r="BW46">
            <v>0</v>
          </cell>
          <cell r="BX46">
            <v>95</v>
          </cell>
          <cell r="BZ46">
            <v>0</v>
          </cell>
          <cell r="CA46">
            <v>0</v>
          </cell>
          <cell r="CB46">
            <v>33</v>
          </cell>
          <cell r="CD46">
            <v>0</v>
          </cell>
          <cell r="CE46">
            <v>0</v>
          </cell>
          <cell r="CF46">
            <v>1026</v>
          </cell>
          <cell r="CH46" t="str">
            <v>Year</v>
          </cell>
          <cell r="CI46">
            <v>0</v>
          </cell>
          <cell r="CJ46">
            <v>0</v>
          </cell>
          <cell r="CK46">
            <v>570</v>
          </cell>
          <cell r="CM46">
            <v>0</v>
          </cell>
          <cell r="CN46">
            <v>0</v>
          </cell>
          <cell r="CO46">
            <v>163</v>
          </cell>
          <cell r="CQ46">
            <v>0</v>
          </cell>
          <cell r="CR46">
            <v>0</v>
          </cell>
          <cell r="CS46">
            <v>86</v>
          </cell>
          <cell r="CU46">
            <v>0</v>
          </cell>
          <cell r="CV46">
            <v>0</v>
          </cell>
          <cell r="CW46">
            <v>11</v>
          </cell>
          <cell r="CY46">
            <v>0</v>
          </cell>
          <cell r="CZ46">
            <v>0</v>
          </cell>
          <cell r="DA46">
            <v>830</v>
          </cell>
          <cell r="DC46">
            <v>0</v>
          </cell>
          <cell r="DD46">
            <v>0</v>
          </cell>
          <cell r="DE46">
            <v>9521</v>
          </cell>
        </row>
        <row r="47">
          <cell r="E47">
            <v>425</v>
          </cell>
          <cell r="I47">
            <v>388</v>
          </cell>
          <cell r="M47">
            <v>343</v>
          </cell>
          <cell r="Q47">
            <v>1156</v>
          </cell>
          <cell r="V47">
            <v>2065</v>
          </cell>
          <cell r="Z47">
            <v>540</v>
          </cell>
          <cell r="AD47">
            <v>1397</v>
          </cell>
          <cell r="AH47">
            <v>1231</v>
          </cell>
          <cell r="AL47">
            <v>352</v>
          </cell>
          <cell r="AP47">
            <v>5585</v>
          </cell>
          <cell r="AU47">
            <v>472</v>
          </cell>
          <cell r="AY47">
            <v>365</v>
          </cell>
          <cell r="BC47">
            <v>101</v>
          </cell>
          <cell r="BG47">
            <v>938</v>
          </cell>
          <cell r="BL47">
            <v>483</v>
          </cell>
          <cell r="BP47">
            <v>284</v>
          </cell>
          <cell r="BT47">
            <v>131</v>
          </cell>
          <cell r="BX47">
            <v>95</v>
          </cell>
          <cell r="CB47">
            <v>33</v>
          </cell>
          <cell r="CF47">
            <v>1026</v>
          </cell>
          <cell r="CK47">
            <v>570</v>
          </cell>
          <cell r="CO47">
            <v>163</v>
          </cell>
          <cell r="CS47">
            <v>86</v>
          </cell>
          <cell r="CW47">
            <v>11</v>
          </cell>
          <cell r="DA47">
            <v>830</v>
          </cell>
          <cell r="DE47">
            <v>9535</v>
          </cell>
        </row>
        <row r="49">
          <cell r="B49" t="str">
            <v>2006E/05A</v>
          </cell>
          <cell r="S49" t="str">
            <v>2006E/05A</v>
          </cell>
          <cell r="AR49" t="str">
            <v>2006E/05A</v>
          </cell>
          <cell r="BI49" t="str">
            <v>2006E/05A</v>
          </cell>
          <cell r="CH49" t="str">
            <v>2006E/05A</v>
          </cell>
        </row>
        <row r="50">
          <cell r="A50" t="str">
            <v>z_qp_1c06_yy</v>
          </cell>
          <cell r="B50" t="str">
            <v>1QA</v>
          </cell>
          <cell r="S50" t="str">
            <v>1QA</v>
          </cell>
          <cell r="AR50" t="str">
            <v>1QA</v>
          </cell>
          <cell r="BI50" t="str">
            <v>1QA</v>
          </cell>
          <cell r="CH50" t="str">
            <v>1QA</v>
          </cell>
        </row>
        <row r="51">
          <cell r="A51" t="str">
            <v>z_qp_2c06_yy</v>
          </cell>
          <cell r="B51" t="str">
            <v>2QA</v>
          </cell>
          <cell r="S51" t="str">
            <v>2QA</v>
          </cell>
          <cell r="AR51" t="str">
            <v>2QA</v>
          </cell>
          <cell r="BI51" t="str">
            <v>2QA</v>
          </cell>
          <cell r="CH51" t="str">
            <v>2QA</v>
          </cell>
        </row>
        <row r="52">
          <cell r="A52" t="str">
            <v>z_qp_3c06_yy</v>
          </cell>
          <cell r="B52" t="str">
            <v>3QA</v>
          </cell>
          <cell r="S52" t="str">
            <v>3QA</v>
          </cell>
          <cell r="AR52" t="str">
            <v>3QA</v>
          </cell>
          <cell r="BI52" t="str">
            <v>3QA</v>
          </cell>
          <cell r="CH52" t="str">
            <v>3QA</v>
          </cell>
        </row>
        <row r="53">
          <cell r="A53" t="str">
            <v>z_qp_4c06_yy</v>
          </cell>
          <cell r="B53" t="str">
            <v>4QE</v>
          </cell>
          <cell r="S53" t="str">
            <v>4QE</v>
          </cell>
          <cell r="AR53" t="str">
            <v>4QE</v>
          </cell>
          <cell r="BI53" t="str">
            <v>4QE</v>
          </cell>
          <cell r="CH53" t="str">
            <v>4QE</v>
          </cell>
        </row>
        <row r="54">
          <cell r="A54" t="str">
            <v>z_qp_fy06_yy</v>
          </cell>
          <cell r="B54" t="str">
            <v>Year</v>
          </cell>
          <cell r="E54">
            <v>2.8235294117647136E-2</v>
          </cell>
          <cell r="I54">
            <v>3.3505154639175361E-2</v>
          </cell>
          <cell r="M54">
            <v>0.11078717201166177</v>
          </cell>
          <cell r="Q54">
            <v>5.4498269896193774E-2</v>
          </cell>
          <cell r="S54" t="str">
            <v>Year</v>
          </cell>
          <cell r="V54">
            <v>4.1646489104116169E-2</v>
          </cell>
          <cell r="Z54">
            <v>7.0370370370370416E-2</v>
          </cell>
          <cell r="AD54">
            <v>-7.8740157480314821E-3</v>
          </cell>
          <cell r="AH54">
            <v>4.0617384240455578E-3</v>
          </cell>
          <cell r="AL54">
            <v>2.2727272727272707E-2</v>
          </cell>
          <cell r="AP54">
            <v>2.2560429722470854E-2</v>
          </cell>
          <cell r="AR54" t="str">
            <v>Year</v>
          </cell>
          <cell r="AU54">
            <v>-0.10593220338983056</v>
          </cell>
          <cell r="AY54">
            <v>-5.2054794520547953E-2</v>
          </cell>
          <cell r="BC54">
            <v>9.9009900990099098E-3</v>
          </cell>
          <cell r="BG54">
            <v>-7.2494669509594933E-2</v>
          </cell>
          <cell r="BI54" t="str">
            <v>Year</v>
          </cell>
          <cell r="BL54">
            <v>-2.6915113871635588E-2</v>
          </cell>
          <cell r="BP54">
            <v>-3.169014084507038E-2</v>
          </cell>
          <cell r="BT54">
            <v>3.8167938931297662E-2</v>
          </cell>
          <cell r="BX54">
            <v>3.1578947368421151E-2</v>
          </cell>
          <cell r="CB54">
            <v>-0.60606060606060608</v>
          </cell>
          <cell r="CF54">
            <v>-3.3138401559454245E-2</v>
          </cell>
          <cell r="CH54" t="str">
            <v>Year</v>
          </cell>
          <cell r="CK54">
            <v>3.6842105263157787E-2</v>
          </cell>
          <cell r="CO54">
            <v>6.1349693251533388E-3</v>
          </cell>
          <cell r="CS54">
            <v>4.6511627906976827E-2</v>
          </cell>
          <cell r="CW54">
            <v>-9.0909090909090939E-2</v>
          </cell>
          <cell r="DA54">
            <v>3.0120481927710774E-2</v>
          </cell>
          <cell r="DE54">
            <v>1.3233904001680452E-2</v>
          </cell>
        </row>
        <row r="56">
          <cell r="B56" t="str">
            <v>2006E</v>
          </cell>
          <cell r="S56" t="str">
            <v>2006E</v>
          </cell>
          <cell r="AR56" t="str">
            <v>2006E</v>
          </cell>
          <cell r="BI56" t="str">
            <v>2006E</v>
          </cell>
          <cell r="CH56" t="str">
            <v>2006E</v>
          </cell>
        </row>
        <row r="57">
          <cell r="A57" t="str">
            <v>z_qp_1c06</v>
          </cell>
          <cell r="B57" t="str">
            <v>1QA</v>
          </cell>
          <cell r="E57">
            <v>0</v>
          </cell>
          <cell r="I57">
            <v>0</v>
          </cell>
          <cell r="M57">
            <v>0</v>
          </cell>
          <cell r="O57">
            <v>0</v>
          </cell>
          <cell r="P57">
            <v>0</v>
          </cell>
          <cell r="Q57">
            <v>285</v>
          </cell>
          <cell r="S57" t="str">
            <v>1QA</v>
          </cell>
          <cell r="V57">
            <v>0</v>
          </cell>
          <cell r="Z57">
            <v>0</v>
          </cell>
          <cell r="AD57">
            <v>0</v>
          </cell>
          <cell r="AH57">
            <v>0</v>
          </cell>
          <cell r="AL57">
            <v>0</v>
          </cell>
          <cell r="AN57">
            <v>0</v>
          </cell>
          <cell r="AO57">
            <v>0</v>
          </cell>
          <cell r="AP57">
            <v>1355</v>
          </cell>
          <cell r="AR57" t="str">
            <v>1QA</v>
          </cell>
          <cell r="AU57">
            <v>0</v>
          </cell>
          <cell r="AY57">
            <v>0</v>
          </cell>
          <cell r="BC57">
            <v>0</v>
          </cell>
          <cell r="BE57">
            <v>0</v>
          </cell>
          <cell r="BF57">
            <v>0</v>
          </cell>
          <cell r="BG57">
            <v>200</v>
          </cell>
          <cell r="BI57" t="str">
            <v>1QA</v>
          </cell>
          <cell r="BL57">
            <v>0</v>
          </cell>
          <cell r="BP57">
            <v>0</v>
          </cell>
          <cell r="BT57">
            <v>0</v>
          </cell>
          <cell r="BX57">
            <v>0</v>
          </cell>
          <cell r="CB57">
            <v>0</v>
          </cell>
          <cell r="CD57">
            <v>0</v>
          </cell>
          <cell r="CE57">
            <v>0</v>
          </cell>
          <cell r="CF57">
            <v>239</v>
          </cell>
          <cell r="CH57" t="str">
            <v>1QA</v>
          </cell>
          <cell r="CK57">
            <v>0</v>
          </cell>
          <cell r="CO57">
            <v>0</v>
          </cell>
          <cell r="CS57">
            <v>0</v>
          </cell>
          <cell r="CW57">
            <v>0</v>
          </cell>
          <cell r="CY57">
            <v>0</v>
          </cell>
          <cell r="CZ57">
            <v>0</v>
          </cell>
          <cell r="DA57">
            <v>215</v>
          </cell>
          <cell r="DC57">
            <v>0</v>
          </cell>
          <cell r="DD57">
            <v>0</v>
          </cell>
          <cell r="DE57">
            <v>2294</v>
          </cell>
        </row>
        <row r="58">
          <cell r="A58" t="str">
            <v>z_qp_2c06</v>
          </cell>
          <cell r="B58" t="str">
            <v>2QA</v>
          </cell>
          <cell r="E58">
            <v>0</v>
          </cell>
          <cell r="I58">
            <v>0</v>
          </cell>
          <cell r="M58">
            <v>0</v>
          </cell>
          <cell r="O58">
            <v>0</v>
          </cell>
          <cell r="P58">
            <v>0</v>
          </cell>
          <cell r="Q58">
            <v>313</v>
          </cell>
          <cell r="S58" t="str">
            <v>2QA</v>
          </cell>
          <cell r="V58">
            <v>0</v>
          </cell>
          <cell r="Z58">
            <v>0</v>
          </cell>
          <cell r="AD58">
            <v>0</v>
          </cell>
          <cell r="AH58">
            <v>0</v>
          </cell>
          <cell r="AL58">
            <v>0</v>
          </cell>
          <cell r="AN58">
            <v>0</v>
          </cell>
          <cell r="AO58">
            <v>0</v>
          </cell>
          <cell r="AP58">
            <v>1425</v>
          </cell>
          <cell r="AR58" t="str">
            <v>2QA</v>
          </cell>
          <cell r="AU58">
            <v>0</v>
          </cell>
          <cell r="AY58">
            <v>0</v>
          </cell>
          <cell r="BC58">
            <v>0</v>
          </cell>
          <cell r="BE58">
            <v>0</v>
          </cell>
          <cell r="BF58">
            <v>0</v>
          </cell>
          <cell r="BG58">
            <v>215</v>
          </cell>
          <cell r="BI58" t="str">
            <v>2QA</v>
          </cell>
          <cell r="BL58">
            <v>0</v>
          </cell>
          <cell r="BP58">
            <v>0</v>
          </cell>
          <cell r="BT58">
            <v>0</v>
          </cell>
          <cell r="BX58">
            <v>0</v>
          </cell>
          <cell r="CB58">
            <v>0</v>
          </cell>
          <cell r="CD58">
            <v>0</v>
          </cell>
          <cell r="CE58">
            <v>0</v>
          </cell>
          <cell r="CF58">
            <v>245</v>
          </cell>
          <cell r="CH58" t="str">
            <v>2QA</v>
          </cell>
          <cell r="CK58">
            <v>0</v>
          </cell>
          <cell r="CO58">
            <v>0</v>
          </cell>
          <cell r="CS58">
            <v>0</v>
          </cell>
          <cell r="CW58">
            <v>0</v>
          </cell>
          <cell r="CY58">
            <v>0</v>
          </cell>
          <cell r="CZ58">
            <v>0</v>
          </cell>
          <cell r="DA58">
            <v>210</v>
          </cell>
          <cell r="DC58">
            <v>0</v>
          </cell>
          <cell r="DD58">
            <v>0</v>
          </cell>
          <cell r="DE58">
            <v>2408</v>
          </cell>
        </row>
        <row r="59">
          <cell r="A59" t="str">
            <v>z_qp_3c06</v>
          </cell>
          <cell r="B59" t="str">
            <v>3QA</v>
          </cell>
          <cell r="E59">
            <v>0</v>
          </cell>
          <cell r="I59">
            <v>0</v>
          </cell>
          <cell r="M59">
            <v>0</v>
          </cell>
          <cell r="O59">
            <v>0</v>
          </cell>
          <cell r="P59">
            <v>0</v>
          </cell>
          <cell r="Q59">
            <v>307</v>
          </cell>
          <cell r="S59" t="str">
            <v>3QA</v>
          </cell>
          <cell r="V59">
            <v>0</v>
          </cell>
          <cell r="Z59">
            <v>0</v>
          </cell>
          <cell r="AD59">
            <v>0</v>
          </cell>
          <cell r="AH59">
            <v>0</v>
          </cell>
          <cell r="AL59">
            <v>0</v>
          </cell>
          <cell r="AN59">
            <v>0</v>
          </cell>
          <cell r="AO59">
            <v>0</v>
          </cell>
          <cell r="AP59">
            <v>1458</v>
          </cell>
          <cell r="AR59" t="str">
            <v>3QA</v>
          </cell>
          <cell r="AU59">
            <v>0</v>
          </cell>
          <cell r="AY59">
            <v>0</v>
          </cell>
          <cell r="BC59">
            <v>0</v>
          </cell>
          <cell r="BE59">
            <v>0</v>
          </cell>
          <cell r="BF59">
            <v>0</v>
          </cell>
          <cell r="BG59">
            <v>227</v>
          </cell>
          <cell r="BI59" t="str">
            <v>3QA</v>
          </cell>
          <cell r="BL59">
            <v>0</v>
          </cell>
          <cell r="BP59">
            <v>0</v>
          </cell>
          <cell r="BT59">
            <v>0</v>
          </cell>
          <cell r="BX59">
            <v>0</v>
          </cell>
          <cell r="CB59">
            <v>0</v>
          </cell>
          <cell r="CD59">
            <v>0</v>
          </cell>
          <cell r="CE59">
            <v>0</v>
          </cell>
          <cell r="CF59">
            <v>255</v>
          </cell>
          <cell r="CH59" t="str">
            <v>3QA</v>
          </cell>
          <cell r="CK59">
            <v>0</v>
          </cell>
          <cell r="CO59">
            <v>0</v>
          </cell>
          <cell r="CS59">
            <v>0</v>
          </cell>
          <cell r="CW59">
            <v>0</v>
          </cell>
          <cell r="CY59">
            <v>0</v>
          </cell>
          <cell r="CZ59">
            <v>0</v>
          </cell>
          <cell r="DA59">
            <v>217</v>
          </cell>
          <cell r="DC59">
            <v>0</v>
          </cell>
          <cell r="DD59">
            <v>0</v>
          </cell>
          <cell r="DE59">
            <v>2464</v>
          </cell>
        </row>
        <row r="60">
          <cell r="A60" t="str">
            <v>z_qp_4c06</v>
          </cell>
          <cell r="B60" t="str">
            <v>4QA</v>
          </cell>
          <cell r="E60">
            <v>0</v>
          </cell>
          <cell r="I60">
            <v>0</v>
          </cell>
          <cell r="M60">
            <v>0</v>
          </cell>
          <cell r="O60">
            <v>0</v>
          </cell>
          <cell r="P60">
            <v>0</v>
          </cell>
          <cell r="Q60">
            <v>314</v>
          </cell>
          <cell r="S60" t="str">
            <v>4QA</v>
          </cell>
          <cell r="V60">
            <v>0</v>
          </cell>
          <cell r="Z60">
            <v>0</v>
          </cell>
          <cell r="AD60">
            <v>0</v>
          </cell>
          <cell r="AH60">
            <v>0</v>
          </cell>
          <cell r="AL60">
            <v>0</v>
          </cell>
          <cell r="AN60">
            <v>0</v>
          </cell>
          <cell r="AO60">
            <v>0</v>
          </cell>
          <cell r="AP60">
            <v>1473</v>
          </cell>
          <cell r="AR60" t="str">
            <v>4QA</v>
          </cell>
          <cell r="AU60">
            <v>0</v>
          </cell>
          <cell r="AY60">
            <v>0</v>
          </cell>
          <cell r="BC60">
            <v>0</v>
          </cell>
          <cell r="BE60">
            <v>0</v>
          </cell>
          <cell r="BF60">
            <v>0</v>
          </cell>
          <cell r="BG60">
            <v>228</v>
          </cell>
          <cell r="BI60" t="str">
            <v>4QA</v>
          </cell>
          <cell r="BL60">
            <v>0</v>
          </cell>
          <cell r="BP60">
            <v>0</v>
          </cell>
          <cell r="BT60">
            <v>0</v>
          </cell>
          <cell r="BX60">
            <v>0</v>
          </cell>
          <cell r="CB60">
            <v>0</v>
          </cell>
          <cell r="CD60">
            <v>0</v>
          </cell>
          <cell r="CE60">
            <v>0</v>
          </cell>
          <cell r="CF60">
            <v>253</v>
          </cell>
          <cell r="CH60" t="str">
            <v>4QA</v>
          </cell>
          <cell r="CK60">
            <v>0</v>
          </cell>
          <cell r="CO60">
            <v>0</v>
          </cell>
          <cell r="CS60">
            <v>0</v>
          </cell>
          <cell r="CW60">
            <v>0</v>
          </cell>
          <cell r="CY60">
            <v>0</v>
          </cell>
          <cell r="CZ60">
            <v>0</v>
          </cell>
          <cell r="DA60">
            <v>213</v>
          </cell>
          <cell r="DC60">
            <v>0</v>
          </cell>
          <cell r="DD60">
            <v>0</v>
          </cell>
          <cell r="DE60">
            <v>2481</v>
          </cell>
        </row>
        <row r="61">
          <cell r="A61" t="str">
            <v>z_qp_fy06</v>
          </cell>
          <cell r="B61" t="str">
            <v>Year</v>
          </cell>
          <cell r="C61">
            <v>0</v>
          </cell>
          <cell r="D61">
            <v>0</v>
          </cell>
          <cell r="E61">
            <v>437</v>
          </cell>
          <cell r="G61">
            <v>0</v>
          </cell>
          <cell r="H61">
            <v>0</v>
          </cell>
          <cell r="I61">
            <v>401</v>
          </cell>
          <cell r="K61">
            <v>0</v>
          </cell>
          <cell r="L61">
            <v>0</v>
          </cell>
          <cell r="M61">
            <v>381</v>
          </cell>
          <cell r="O61">
            <v>0</v>
          </cell>
          <cell r="P61">
            <v>0</v>
          </cell>
          <cell r="Q61">
            <v>1219</v>
          </cell>
          <cell r="S61" t="str">
            <v>Year</v>
          </cell>
          <cell r="T61">
            <v>0</v>
          </cell>
          <cell r="U61">
            <v>0</v>
          </cell>
          <cell r="V61">
            <v>2151</v>
          </cell>
          <cell r="X61">
            <v>0</v>
          </cell>
          <cell r="Y61">
            <v>0</v>
          </cell>
          <cell r="Z61">
            <v>578</v>
          </cell>
          <cell r="AB61">
            <v>0</v>
          </cell>
          <cell r="AC61">
            <v>0</v>
          </cell>
          <cell r="AD61">
            <v>1386</v>
          </cell>
          <cell r="AF61">
            <v>0</v>
          </cell>
          <cell r="AG61">
            <v>0</v>
          </cell>
          <cell r="AH61">
            <v>1236</v>
          </cell>
          <cell r="AJ61">
            <v>0</v>
          </cell>
          <cell r="AK61">
            <v>0</v>
          </cell>
          <cell r="AL61">
            <v>360</v>
          </cell>
          <cell r="AN61">
            <v>0</v>
          </cell>
          <cell r="AO61">
            <v>0</v>
          </cell>
          <cell r="AP61">
            <v>5711</v>
          </cell>
          <cell r="AR61" t="str">
            <v>Year</v>
          </cell>
          <cell r="AS61">
            <v>0</v>
          </cell>
          <cell r="AT61">
            <v>0</v>
          </cell>
          <cell r="AU61">
            <v>422</v>
          </cell>
          <cell r="AW61">
            <v>0</v>
          </cell>
          <cell r="AX61">
            <v>0</v>
          </cell>
          <cell r="AY61">
            <v>346</v>
          </cell>
          <cell r="BA61">
            <v>0</v>
          </cell>
          <cell r="BB61">
            <v>0</v>
          </cell>
          <cell r="BC61">
            <v>102</v>
          </cell>
          <cell r="BE61">
            <v>0</v>
          </cell>
          <cell r="BF61">
            <v>0</v>
          </cell>
          <cell r="BG61">
            <v>870</v>
          </cell>
          <cell r="BI61" t="str">
            <v>Year</v>
          </cell>
          <cell r="BJ61">
            <v>0</v>
          </cell>
          <cell r="BK61">
            <v>0</v>
          </cell>
          <cell r="BL61">
            <v>470</v>
          </cell>
          <cell r="BN61">
            <v>0</v>
          </cell>
          <cell r="BO61">
            <v>0</v>
          </cell>
          <cell r="BP61">
            <v>275</v>
          </cell>
          <cell r="BR61">
            <v>0</v>
          </cell>
          <cell r="BS61">
            <v>0</v>
          </cell>
          <cell r="BT61">
            <v>136</v>
          </cell>
          <cell r="BV61">
            <v>0</v>
          </cell>
          <cell r="BW61">
            <v>0</v>
          </cell>
          <cell r="BX61">
            <v>98</v>
          </cell>
          <cell r="BZ61">
            <v>0</v>
          </cell>
          <cell r="CA61">
            <v>0</v>
          </cell>
          <cell r="CB61">
            <v>13</v>
          </cell>
          <cell r="CD61">
            <v>0</v>
          </cell>
          <cell r="CE61">
            <v>0</v>
          </cell>
          <cell r="CF61">
            <v>992</v>
          </cell>
          <cell r="CH61" t="str">
            <v>Year</v>
          </cell>
          <cell r="CI61">
            <v>0</v>
          </cell>
          <cell r="CJ61">
            <v>0</v>
          </cell>
          <cell r="CK61">
            <v>591</v>
          </cell>
          <cell r="CM61">
            <v>0</v>
          </cell>
          <cell r="CN61">
            <v>0</v>
          </cell>
          <cell r="CO61">
            <v>164</v>
          </cell>
          <cell r="CQ61">
            <v>0</v>
          </cell>
          <cell r="CR61">
            <v>0</v>
          </cell>
          <cell r="CS61">
            <v>90</v>
          </cell>
          <cell r="CU61">
            <v>0</v>
          </cell>
          <cell r="CV61">
            <v>0</v>
          </cell>
          <cell r="CW61">
            <v>10</v>
          </cell>
          <cell r="CY61">
            <v>0</v>
          </cell>
          <cell r="CZ61">
            <v>0</v>
          </cell>
          <cell r="DA61">
            <v>855</v>
          </cell>
          <cell r="DC61">
            <v>0</v>
          </cell>
          <cell r="DD61">
            <v>0</v>
          </cell>
          <cell r="DE61">
            <v>9647</v>
          </cell>
        </row>
        <row r="62">
          <cell r="E62">
            <v>437</v>
          </cell>
          <cell r="I62">
            <v>401</v>
          </cell>
          <cell r="M62">
            <v>381</v>
          </cell>
          <cell r="Q62">
            <v>1219</v>
          </cell>
          <cell r="V62">
            <v>2151</v>
          </cell>
          <cell r="Z62">
            <v>578</v>
          </cell>
          <cell r="AD62">
            <v>1386</v>
          </cell>
          <cell r="AH62">
            <v>1236</v>
          </cell>
          <cell r="AL62">
            <v>360</v>
          </cell>
          <cell r="AP62">
            <v>5711</v>
          </cell>
          <cell r="AU62">
            <v>422</v>
          </cell>
          <cell r="AY62">
            <v>346</v>
          </cell>
          <cell r="BC62">
            <v>102</v>
          </cell>
          <cell r="BG62">
            <v>870</v>
          </cell>
          <cell r="BL62">
            <v>470</v>
          </cell>
          <cell r="BP62">
            <v>275</v>
          </cell>
          <cell r="BT62">
            <v>136</v>
          </cell>
          <cell r="BX62">
            <v>98</v>
          </cell>
          <cell r="CB62">
            <v>13</v>
          </cell>
          <cell r="CF62">
            <v>992</v>
          </cell>
          <cell r="CK62">
            <v>591</v>
          </cell>
          <cell r="CO62">
            <v>164</v>
          </cell>
          <cell r="CS62">
            <v>90</v>
          </cell>
          <cell r="CW62">
            <v>10</v>
          </cell>
          <cell r="DA62">
            <v>855</v>
          </cell>
          <cell r="DE62">
            <v>9647</v>
          </cell>
        </row>
        <row r="64">
          <cell r="B64" t="str">
            <v>2007E/06E</v>
          </cell>
          <cell r="S64" t="str">
            <v>2007E/06E</v>
          </cell>
          <cell r="AR64" t="str">
            <v>2007E/06E</v>
          </cell>
          <cell r="BI64" t="str">
            <v>2007E/06E</v>
          </cell>
          <cell r="CH64" t="str">
            <v>2007E/06E</v>
          </cell>
        </row>
        <row r="65">
          <cell r="A65" t="str">
            <v>z_qp_1c07_yy</v>
          </cell>
          <cell r="B65" t="str">
            <v>1QA</v>
          </cell>
          <cell r="S65" t="str">
            <v>1QA</v>
          </cell>
          <cell r="AR65" t="str">
            <v>1QA</v>
          </cell>
          <cell r="BI65" t="str">
            <v>1QA</v>
          </cell>
          <cell r="CH65" t="str">
            <v>1QA</v>
          </cell>
        </row>
        <row r="66">
          <cell r="A66" t="str">
            <v>z_qp_2c07_yy</v>
          </cell>
          <cell r="B66" t="str">
            <v>2QE</v>
          </cell>
          <cell r="S66" t="str">
            <v>2QE</v>
          </cell>
          <cell r="AR66" t="str">
            <v>2QE</v>
          </cell>
          <cell r="BI66" t="str">
            <v>2QE</v>
          </cell>
          <cell r="CH66" t="str">
            <v>2QE</v>
          </cell>
        </row>
        <row r="67">
          <cell r="A67" t="str">
            <v>z_qp_3c07_yy</v>
          </cell>
          <cell r="B67" t="str">
            <v>3QE</v>
          </cell>
          <cell r="S67" t="str">
            <v>3QE</v>
          </cell>
          <cell r="AR67" t="str">
            <v>3QE</v>
          </cell>
          <cell r="BI67" t="str">
            <v>3QE</v>
          </cell>
          <cell r="CH67" t="str">
            <v>3QE</v>
          </cell>
        </row>
        <row r="68">
          <cell r="A68" t="str">
            <v>z_qp_4c07_yy</v>
          </cell>
          <cell r="B68" t="str">
            <v>4QE</v>
          </cell>
          <cell r="S68" t="str">
            <v>4QE</v>
          </cell>
          <cell r="AR68" t="str">
            <v>4QE</v>
          </cell>
          <cell r="BI68" t="str">
            <v>4QE</v>
          </cell>
          <cell r="CH68" t="str">
            <v>4QE</v>
          </cell>
        </row>
        <row r="69">
          <cell r="A69" t="str">
            <v>z_qp_fy07_yy</v>
          </cell>
          <cell r="B69" t="str">
            <v>Year</v>
          </cell>
          <cell r="S69" t="str">
            <v>Year</v>
          </cell>
          <cell r="V69">
            <v>8.786610878661083E-2</v>
          </cell>
          <cell r="Z69">
            <v>0.11937716262975773</v>
          </cell>
          <cell r="AD69">
            <v>4.4733044733044736E-2</v>
          </cell>
          <cell r="AH69">
            <v>3.2362459546925626E-2</v>
          </cell>
          <cell r="AL69">
            <v>3.6111111111111205E-2</v>
          </cell>
          <cell r="AP69">
            <v>6.5312554718963467E-2</v>
          </cell>
          <cell r="AR69" t="str">
            <v>Year</v>
          </cell>
          <cell r="AU69">
            <v>0.18483412322274884</v>
          </cell>
          <cell r="AY69">
            <v>4.0462427745664664E-2</v>
          </cell>
          <cell r="BC69">
            <v>2.9411764705882248E-2</v>
          </cell>
          <cell r="BG69">
            <v>0.10919540229885061</v>
          </cell>
          <cell r="BI69" t="str">
            <v>Year</v>
          </cell>
          <cell r="BL69">
            <v>0</v>
          </cell>
          <cell r="BP69">
            <v>0</v>
          </cell>
          <cell r="BT69">
            <v>2.2058823529411686E-2</v>
          </cell>
          <cell r="BX69">
            <v>3.0612244897959107E-2</v>
          </cell>
          <cell r="CB69">
            <v>0</v>
          </cell>
          <cell r="CF69">
            <v>-5.8064516129031629E-3</v>
          </cell>
          <cell r="CH69" t="str">
            <v>Year</v>
          </cell>
          <cell r="CK69">
            <v>-0.12013536379018608</v>
          </cell>
          <cell r="CO69">
            <v>-3.0487804878048808E-2</v>
          </cell>
          <cell r="CS69">
            <v>1.1111111111111072E-2</v>
          </cell>
          <cell r="CW69">
            <v>-9.9999999999999978E-2</v>
          </cell>
          <cell r="DA69">
            <v>-8.8888888888888906E-2</v>
          </cell>
          <cell r="DE69">
            <v>5.1647144189903571E-2</v>
          </cell>
        </row>
        <row r="71">
          <cell r="B71" t="str">
            <v>2007E</v>
          </cell>
          <cell r="CH71" t="str">
            <v>2007E</v>
          </cell>
          <cell r="DH71" t="str">
            <v>Quarterly Mix:</v>
          </cell>
        </row>
        <row r="72">
          <cell r="A72" t="str">
            <v>z_qp_1c07</v>
          </cell>
          <cell r="B72" t="str">
            <v>1QA</v>
          </cell>
          <cell r="C72">
            <v>0</v>
          </cell>
          <cell r="D72">
            <v>0</v>
          </cell>
          <cell r="E72">
            <v>121</v>
          </cell>
          <cell r="G72">
            <v>0</v>
          </cell>
          <cell r="H72">
            <v>0</v>
          </cell>
          <cell r="I72">
            <v>104</v>
          </cell>
          <cell r="K72">
            <v>0</v>
          </cell>
          <cell r="L72">
            <v>0</v>
          </cell>
          <cell r="M72">
            <v>101</v>
          </cell>
          <cell r="O72">
            <v>0</v>
          </cell>
          <cell r="P72">
            <v>0</v>
          </cell>
          <cell r="Q72">
            <v>326</v>
          </cell>
          <cell r="S72" t="str">
            <v>1QA</v>
          </cell>
          <cell r="T72">
            <v>0</v>
          </cell>
          <cell r="U72">
            <v>0</v>
          </cell>
          <cell r="V72">
            <v>561</v>
          </cell>
          <cell r="X72">
            <v>0</v>
          </cell>
          <cell r="Y72">
            <v>0</v>
          </cell>
          <cell r="Z72">
            <v>153</v>
          </cell>
          <cell r="AB72">
            <v>0</v>
          </cell>
          <cell r="AC72">
            <v>0</v>
          </cell>
          <cell r="AD72">
            <v>338</v>
          </cell>
          <cell r="AF72">
            <v>0</v>
          </cell>
          <cell r="AG72">
            <v>0</v>
          </cell>
          <cell r="AH72">
            <v>319</v>
          </cell>
          <cell r="AJ72">
            <v>0</v>
          </cell>
          <cell r="AK72">
            <v>0</v>
          </cell>
          <cell r="AL72">
            <v>88</v>
          </cell>
          <cell r="AN72">
            <v>0</v>
          </cell>
          <cell r="AO72">
            <v>0</v>
          </cell>
          <cell r="AP72">
            <v>1459</v>
          </cell>
          <cell r="AR72" t="str">
            <v>1QA</v>
          </cell>
          <cell r="AS72">
            <v>0</v>
          </cell>
          <cell r="AT72">
            <v>0</v>
          </cell>
          <cell r="AU72">
            <v>115</v>
          </cell>
          <cell r="AW72">
            <v>0</v>
          </cell>
          <cell r="AX72">
            <v>0</v>
          </cell>
          <cell r="AY72">
            <v>85</v>
          </cell>
          <cell r="BA72">
            <v>0</v>
          </cell>
          <cell r="BB72">
            <v>0</v>
          </cell>
          <cell r="BC72">
            <v>24</v>
          </cell>
          <cell r="BE72">
            <v>0</v>
          </cell>
          <cell r="BF72">
            <v>0</v>
          </cell>
          <cell r="BG72">
            <v>224</v>
          </cell>
          <cell r="BI72" t="str">
            <v>1QA</v>
          </cell>
          <cell r="BJ72">
            <v>0</v>
          </cell>
          <cell r="BK72">
            <v>0</v>
          </cell>
          <cell r="BL72">
            <v>119</v>
          </cell>
          <cell r="BN72">
            <v>0</v>
          </cell>
          <cell r="BO72">
            <v>0</v>
          </cell>
          <cell r="BP72">
            <v>69</v>
          </cell>
          <cell r="BR72">
            <v>0</v>
          </cell>
          <cell r="BS72">
            <v>0</v>
          </cell>
          <cell r="BT72">
            <v>33</v>
          </cell>
          <cell r="BV72">
            <v>0</v>
          </cell>
          <cell r="BW72">
            <v>0</v>
          </cell>
          <cell r="BX72">
            <v>25</v>
          </cell>
          <cell r="BZ72">
            <v>0</v>
          </cell>
          <cell r="CA72">
            <v>0</v>
          </cell>
          <cell r="CB72">
            <v>0.24</v>
          </cell>
          <cell r="CD72">
            <v>0</v>
          </cell>
          <cell r="CE72">
            <v>0</v>
          </cell>
          <cell r="CF72">
            <v>246.24</v>
          </cell>
          <cell r="CH72" t="str">
            <v>1QA</v>
          </cell>
          <cell r="CI72">
            <v>0</v>
          </cell>
          <cell r="CJ72">
            <v>0</v>
          </cell>
          <cell r="CK72">
            <v>133</v>
          </cell>
          <cell r="CM72">
            <v>0</v>
          </cell>
          <cell r="CN72">
            <v>0</v>
          </cell>
          <cell r="CO72">
            <v>39</v>
          </cell>
          <cell r="CQ72">
            <v>0</v>
          </cell>
          <cell r="CR72">
            <v>0</v>
          </cell>
          <cell r="CS72">
            <v>22</v>
          </cell>
          <cell r="CU72">
            <v>0</v>
          </cell>
          <cell r="CV72">
            <v>0</v>
          </cell>
          <cell r="CW72">
            <v>2</v>
          </cell>
          <cell r="CY72">
            <v>0</v>
          </cell>
          <cell r="CZ72">
            <v>0</v>
          </cell>
          <cell r="DA72">
            <v>196</v>
          </cell>
          <cell r="DC72">
            <v>0</v>
          </cell>
          <cell r="DD72">
            <v>0</v>
          </cell>
          <cell r="DE72">
            <v>2451.2399999999998</v>
          </cell>
          <cell r="DH72">
            <v>0.24</v>
          </cell>
        </row>
        <row r="73">
          <cell r="A73" t="str">
            <v>z_qp_2c07</v>
          </cell>
          <cell r="B73" t="str">
            <v>2QA</v>
          </cell>
          <cell r="C73">
            <v>0</v>
          </cell>
          <cell r="D73">
            <v>0</v>
          </cell>
          <cell r="E73">
            <v>118</v>
          </cell>
          <cell r="G73">
            <v>0</v>
          </cell>
          <cell r="H73">
            <v>0</v>
          </cell>
          <cell r="I73">
            <v>117</v>
          </cell>
          <cell r="K73">
            <v>0</v>
          </cell>
          <cell r="L73">
            <v>0</v>
          </cell>
          <cell r="M73">
            <v>109</v>
          </cell>
          <cell r="O73">
            <v>0</v>
          </cell>
          <cell r="P73">
            <v>0</v>
          </cell>
          <cell r="Q73">
            <v>344</v>
          </cell>
          <cell r="S73" t="str">
            <v>2QA</v>
          </cell>
          <cell r="T73">
            <v>0</v>
          </cell>
          <cell r="U73">
            <v>0</v>
          </cell>
          <cell r="V73">
            <v>577</v>
          </cell>
          <cell r="X73">
            <v>0</v>
          </cell>
          <cell r="Y73">
            <v>0</v>
          </cell>
          <cell r="Z73">
            <v>157</v>
          </cell>
          <cell r="AB73">
            <v>0</v>
          </cell>
          <cell r="AC73">
            <v>0</v>
          </cell>
          <cell r="AD73">
            <v>366</v>
          </cell>
          <cell r="AF73">
            <v>0</v>
          </cell>
          <cell r="AG73">
            <v>0</v>
          </cell>
          <cell r="AH73">
            <v>318</v>
          </cell>
          <cell r="AJ73">
            <v>0</v>
          </cell>
          <cell r="AK73">
            <v>0</v>
          </cell>
          <cell r="AL73">
            <v>93</v>
          </cell>
          <cell r="AN73">
            <v>0</v>
          </cell>
          <cell r="AO73">
            <v>0</v>
          </cell>
          <cell r="AP73">
            <v>1511</v>
          </cell>
          <cell r="AR73" t="str">
            <v>2QA</v>
          </cell>
          <cell r="AS73">
            <v>0</v>
          </cell>
          <cell r="AT73">
            <v>0</v>
          </cell>
          <cell r="AU73">
            <v>117</v>
          </cell>
          <cell r="AW73">
            <v>0</v>
          </cell>
          <cell r="AX73">
            <v>0</v>
          </cell>
          <cell r="AY73">
            <v>84</v>
          </cell>
          <cell r="BA73">
            <v>0</v>
          </cell>
          <cell r="BB73">
            <v>0</v>
          </cell>
          <cell r="BC73">
            <v>27</v>
          </cell>
          <cell r="BE73">
            <v>0</v>
          </cell>
          <cell r="BF73">
            <v>0</v>
          </cell>
          <cell r="BG73">
            <v>228</v>
          </cell>
          <cell r="BI73" t="str">
            <v>2QA</v>
          </cell>
          <cell r="BJ73">
            <v>0</v>
          </cell>
          <cell r="BK73">
            <v>0</v>
          </cell>
          <cell r="BL73">
            <v>116</v>
          </cell>
          <cell r="BN73">
            <v>0</v>
          </cell>
          <cell r="BO73">
            <v>0</v>
          </cell>
          <cell r="BP73">
            <v>69</v>
          </cell>
          <cell r="BR73">
            <v>0</v>
          </cell>
          <cell r="BS73">
            <v>0</v>
          </cell>
          <cell r="BT73">
            <v>36</v>
          </cell>
          <cell r="BV73">
            <v>0</v>
          </cell>
          <cell r="BW73">
            <v>0</v>
          </cell>
          <cell r="BX73">
            <v>28</v>
          </cell>
          <cell r="BZ73">
            <v>0</v>
          </cell>
          <cell r="CA73">
            <v>0</v>
          </cell>
          <cell r="CB73">
            <v>1</v>
          </cell>
          <cell r="CD73">
            <v>0</v>
          </cell>
          <cell r="CE73">
            <v>0</v>
          </cell>
          <cell r="CF73">
            <v>250</v>
          </cell>
          <cell r="CH73" t="str">
            <v>2QA</v>
          </cell>
          <cell r="CI73">
            <v>0</v>
          </cell>
          <cell r="CJ73">
            <v>0</v>
          </cell>
          <cell r="CK73">
            <v>141</v>
          </cell>
          <cell r="CM73">
            <v>0</v>
          </cell>
          <cell r="CN73">
            <v>0</v>
          </cell>
          <cell r="CO73">
            <v>40</v>
          </cell>
          <cell r="CQ73">
            <v>0</v>
          </cell>
          <cell r="CR73">
            <v>0</v>
          </cell>
          <cell r="CS73">
            <v>23</v>
          </cell>
          <cell r="CU73">
            <v>0</v>
          </cell>
          <cell r="CV73">
            <v>0</v>
          </cell>
          <cell r="CW73">
            <v>2</v>
          </cell>
          <cell r="CY73">
            <v>0</v>
          </cell>
          <cell r="CZ73">
            <v>0</v>
          </cell>
          <cell r="DA73">
            <v>206</v>
          </cell>
          <cell r="DC73">
            <v>0</v>
          </cell>
          <cell r="DD73">
            <v>0</v>
          </cell>
          <cell r="DE73">
            <v>2539</v>
          </cell>
          <cell r="DH73">
            <v>0.24</v>
          </cell>
        </row>
        <row r="74">
          <cell r="A74" t="str">
            <v>z_qp_3c07</v>
          </cell>
          <cell r="B74" t="str">
            <v>3QE</v>
          </cell>
          <cell r="C74">
            <v>0</v>
          </cell>
          <cell r="D74">
            <v>0</v>
          </cell>
          <cell r="E74">
            <v>117</v>
          </cell>
          <cell r="G74">
            <v>0</v>
          </cell>
          <cell r="H74">
            <v>0</v>
          </cell>
          <cell r="I74">
            <v>103</v>
          </cell>
          <cell r="K74">
            <v>0</v>
          </cell>
          <cell r="L74">
            <v>0</v>
          </cell>
          <cell r="M74">
            <v>105</v>
          </cell>
          <cell r="O74">
            <v>0</v>
          </cell>
          <cell r="P74">
            <v>0</v>
          </cell>
          <cell r="Q74">
            <v>325</v>
          </cell>
          <cell r="S74" t="str">
            <v>3QE</v>
          </cell>
          <cell r="T74">
            <v>0</v>
          </cell>
          <cell r="U74">
            <v>0</v>
          </cell>
          <cell r="V74">
            <v>592</v>
          </cell>
          <cell r="X74">
            <v>0</v>
          </cell>
          <cell r="Y74">
            <v>0</v>
          </cell>
          <cell r="Z74">
            <v>167</v>
          </cell>
          <cell r="AB74">
            <v>0</v>
          </cell>
          <cell r="AC74">
            <v>0</v>
          </cell>
          <cell r="AD74">
            <v>375</v>
          </cell>
          <cell r="AF74">
            <v>0</v>
          </cell>
          <cell r="AG74">
            <v>0</v>
          </cell>
          <cell r="AH74">
            <v>320</v>
          </cell>
          <cell r="AJ74">
            <v>0</v>
          </cell>
          <cell r="AK74">
            <v>0</v>
          </cell>
          <cell r="AL74">
            <v>96</v>
          </cell>
          <cell r="AN74">
            <v>0</v>
          </cell>
          <cell r="AO74">
            <v>0</v>
          </cell>
          <cell r="AP74">
            <v>1550</v>
          </cell>
          <cell r="AR74" t="str">
            <v>3QE</v>
          </cell>
          <cell r="AS74">
            <v>0</v>
          </cell>
          <cell r="AT74">
            <v>0</v>
          </cell>
          <cell r="AU74">
            <v>130</v>
          </cell>
          <cell r="AW74">
            <v>0</v>
          </cell>
          <cell r="AX74">
            <v>0</v>
          </cell>
          <cell r="AY74">
            <v>91</v>
          </cell>
          <cell r="BA74">
            <v>0</v>
          </cell>
          <cell r="BB74">
            <v>0</v>
          </cell>
          <cell r="BC74">
            <v>27</v>
          </cell>
          <cell r="BE74">
            <v>0</v>
          </cell>
          <cell r="BF74">
            <v>0</v>
          </cell>
          <cell r="BG74">
            <v>248</v>
          </cell>
          <cell r="BI74" t="str">
            <v>3QE</v>
          </cell>
          <cell r="BJ74">
            <v>0</v>
          </cell>
          <cell r="BK74">
            <v>0</v>
          </cell>
          <cell r="BL74">
            <v>117</v>
          </cell>
          <cell r="BN74">
            <v>0</v>
          </cell>
          <cell r="BO74">
            <v>0</v>
          </cell>
          <cell r="BP74">
            <v>68</v>
          </cell>
          <cell r="BR74">
            <v>0</v>
          </cell>
          <cell r="BS74">
            <v>0</v>
          </cell>
          <cell r="BT74">
            <v>34</v>
          </cell>
          <cell r="BV74">
            <v>0</v>
          </cell>
          <cell r="BW74">
            <v>0</v>
          </cell>
          <cell r="BX74">
            <v>23</v>
          </cell>
          <cell r="BZ74">
            <v>0</v>
          </cell>
          <cell r="CA74">
            <v>0</v>
          </cell>
          <cell r="CB74">
            <v>0</v>
          </cell>
          <cell r="CD74">
            <v>0</v>
          </cell>
          <cell r="CE74">
            <v>0</v>
          </cell>
          <cell r="CF74">
            <v>242</v>
          </cell>
          <cell r="CH74" t="str">
            <v>3QE</v>
          </cell>
          <cell r="CI74">
            <v>0</v>
          </cell>
          <cell r="CJ74">
            <v>0</v>
          </cell>
          <cell r="CK74">
            <v>123</v>
          </cell>
          <cell r="CM74">
            <v>0</v>
          </cell>
          <cell r="CN74">
            <v>0</v>
          </cell>
          <cell r="CO74">
            <v>35</v>
          </cell>
          <cell r="CQ74">
            <v>0</v>
          </cell>
          <cell r="CR74">
            <v>0</v>
          </cell>
          <cell r="CS74">
            <v>23</v>
          </cell>
          <cell r="CU74">
            <v>0</v>
          </cell>
          <cell r="CV74">
            <v>0</v>
          </cell>
          <cell r="CW74">
            <v>2</v>
          </cell>
          <cell r="CY74">
            <v>0</v>
          </cell>
          <cell r="CZ74">
            <v>0</v>
          </cell>
          <cell r="DA74">
            <v>183</v>
          </cell>
          <cell r="DC74">
            <v>0</v>
          </cell>
          <cell r="DD74">
            <v>0</v>
          </cell>
          <cell r="DE74">
            <v>2548</v>
          </cell>
          <cell r="DH74">
            <v>0.26</v>
          </cell>
        </row>
        <row r="75">
          <cell r="A75" t="str">
            <v>z_qp_4c07</v>
          </cell>
          <cell r="B75" t="str">
            <v>4QE</v>
          </cell>
          <cell r="C75">
            <v>0</v>
          </cell>
          <cell r="D75">
            <v>0</v>
          </cell>
          <cell r="E75">
            <v>118</v>
          </cell>
          <cell r="G75">
            <v>0</v>
          </cell>
          <cell r="H75">
            <v>0</v>
          </cell>
          <cell r="I75">
            <v>110</v>
          </cell>
          <cell r="K75">
            <v>0</v>
          </cell>
          <cell r="L75">
            <v>0</v>
          </cell>
          <cell r="M75">
            <v>108</v>
          </cell>
          <cell r="O75">
            <v>0</v>
          </cell>
          <cell r="P75">
            <v>0</v>
          </cell>
          <cell r="Q75">
            <v>336</v>
          </cell>
          <cell r="S75" t="str">
            <v>4QE</v>
          </cell>
          <cell r="T75">
            <v>0</v>
          </cell>
          <cell r="U75">
            <v>0</v>
          </cell>
          <cell r="V75">
            <v>610</v>
          </cell>
          <cell r="X75">
            <v>0</v>
          </cell>
          <cell r="Y75">
            <v>0</v>
          </cell>
          <cell r="Z75">
            <v>170</v>
          </cell>
          <cell r="AB75">
            <v>0</v>
          </cell>
          <cell r="AC75">
            <v>0</v>
          </cell>
          <cell r="AD75">
            <v>369</v>
          </cell>
          <cell r="AF75">
            <v>0</v>
          </cell>
          <cell r="AG75">
            <v>0</v>
          </cell>
          <cell r="AH75">
            <v>319</v>
          </cell>
          <cell r="AJ75">
            <v>0</v>
          </cell>
          <cell r="AK75">
            <v>0</v>
          </cell>
          <cell r="AL75">
            <v>96</v>
          </cell>
          <cell r="AN75">
            <v>0</v>
          </cell>
          <cell r="AO75">
            <v>0</v>
          </cell>
          <cell r="AP75">
            <v>1564</v>
          </cell>
          <cell r="AR75" t="str">
            <v>4QE</v>
          </cell>
          <cell r="AS75">
            <v>0</v>
          </cell>
          <cell r="AT75">
            <v>0</v>
          </cell>
          <cell r="AU75">
            <v>138</v>
          </cell>
          <cell r="AW75">
            <v>0</v>
          </cell>
          <cell r="AX75">
            <v>0</v>
          </cell>
          <cell r="AY75">
            <v>100</v>
          </cell>
          <cell r="BA75">
            <v>0</v>
          </cell>
          <cell r="BB75">
            <v>0</v>
          </cell>
          <cell r="BC75">
            <v>27</v>
          </cell>
          <cell r="BE75">
            <v>0</v>
          </cell>
          <cell r="BF75">
            <v>0</v>
          </cell>
          <cell r="BG75">
            <v>265</v>
          </cell>
          <cell r="BI75" t="str">
            <v>4QE</v>
          </cell>
          <cell r="BJ75">
            <v>0</v>
          </cell>
          <cell r="BK75">
            <v>0</v>
          </cell>
          <cell r="BL75">
            <v>118</v>
          </cell>
          <cell r="BN75">
            <v>0</v>
          </cell>
          <cell r="BO75">
            <v>0</v>
          </cell>
          <cell r="BP75">
            <v>69</v>
          </cell>
          <cell r="BR75">
            <v>0</v>
          </cell>
          <cell r="BS75">
            <v>0</v>
          </cell>
          <cell r="BT75">
            <v>36</v>
          </cell>
          <cell r="BV75">
            <v>0</v>
          </cell>
          <cell r="BW75">
            <v>0</v>
          </cell>
          <cell r="BX75">
            <v>25</v>
          </cell>
          <cell r="BZ75">
            <v>0</v>
          </cell>
          <cell r="CA75">
            <v>0</v>
          </cell>
          <cell r="CB75">
            <v>0</v>
          </cell>
          <cell r="CD75">
            <v>0</v>
          </cell>
          <cell r="CE75">
            <v>0</v>
          </cell>
          <cell r="CF75">
            <v>248</v>
          </cell>
          <cell r="CH75" t="str">
            <v>4QE</v>
          </cell>
          <cell r="CI75">
            <v>0</v>
          </cell>
          <cell r="CJ75">
            <v>0</v>
          </cell>
          <cell r="CK75">
            <v>123</v>
          </cell>
          <cell r="CM75">
            <v>0</v>
          </cell>
          <cell r="CN75">
            <v>0</v>
          </cell>
          <cell r="CO75">
            <v>45</v>
          </cell>
          <cell r="CQ75">
            <v>0</v>
          </cell>
          <cell r="CR75">
            <v>0</v>
          </cell>
          <cell r="CS75">
            <v>23</v>
          </cell>
          <cell r="CU75">
            <v>0</v>
          </cell>
          <cell r="CV75">
            <v>0</v>
          </cell>
          <cell r="CW75">
            <v>3</v>
          </cell>
          <cell r="CY75">
            <v>0</v>
          </cell>
          <cell r="CZ75">
            <v>0</v>
          </cell>
          <cell r="DA75">
            <v>194</v>
          </cell>
          <cell r="DC75">
            <v>0</v>
          </cell>
          <cell r="DD75">
            <v>0</v>
          </cell>
          <cell r="DE75">
            <v>2607</v>
          </cell>
          <cell r="DH75">
            <v>0.26</v>
          </cell>
        </row>
        <row r="76">
          <cell r="A76" t="str">
            <v>z_qp_fy07</v>
          </cell>
          <cell r="B76" t="str">
            <v>Year</v>
          </cell>
          <cell r="C76">
            <v>0</v>
          </cell>
          <cell r="D76">
            <v>0</v>
          </cell>
          <cell r="E76">
            <v>474</v>
          </cell>
          <cell r="G76">
            <v>0</v>
          </cell>
          <cell r="H76">
            <v>0</v>
          </cell>
          <cell r="I76">
            <v>434</v>
          </cell>
          <cell r="K76">
            <v>0</v>
          </cell>
          <cell r="L76">
            <v>0</v>
          </cell>
          <cell r="M76">
            <v>423</v>
          </cell>
          <cell r="O76">
            <v>0</v>
          </cell>
          <cell r="P76">
            <v>0</v>
          </cell>
          <cell r="Q76">
            <v>1331</v>
          </cell>
          <cell r="S76" t="str">
            <v>Year</v>
          </cell>
          <cell r="T76">
            <v>0</v>
          </cell>
          <cell r="U76">
            <v>0</v>
          </cell>
          <cell r="V76">
            <v>2340</v>
          </cell>
          <cell r="X76">
            <v>0</v>
          </cell>
          <cell r="Y76">
            <v>0</v>
          </cell>
          <cell r="Z76">
            <v>647</v>
          </cell>
          <cell r="AB76">
            <v>0</v>
          </cell>
          <cell r="AC76">
            <v>0</v>
          </cell>
          <cell r="AD76">
            <v>1448</v>
          </cell>
          <cell r="AF76">
            <v>0</v>
          </cell>
          <cell r="AG76">
            <v>0</v>
          </cell>
          <cell r="AH76">
            <v>1276</v>
          </cell>
          <cell r="AJ76">
            <v>0</v>
          </cell>
          <cell r="AK76">
            <v>0</v>
          </cell>
          <cell r="AL76">
            <v>373</v>
          </cell>
          <cell r="AN76">
            <v>0</v>
          </cell>
          <cell r="AO76">
            <v>0</v>
          </cell>
          <cell r="AP76">
            <v>6084</v>
          </cell>
          <cell r="AR76" t="str">
            <v>Year</v>
          </cell>
          <cell r="AS76">
            <v>0</v>
          </cell>
          <cell r="AT76">
            <v>0</v>
          </cell>
          <cell r="AU76">
            <v>500</v>
          </cell>
          <cell r="AW76">
            <v>0</v>
          </cell>
          <cell r="AX76">
            <v>0</v>
          </cell>
          <cell r="AY76">
            <v>360</v>
          </cell>
          <cell r="BA76">
            <v>0</v>
          </cell>
          <cell r="BB76">
            <v>0</v>
          </cell>
          <cell r="BC76">
            <v>105</v>
          </cell>
          <cell r="BE76">
            <v>0</v>
          </cell>
          <cell r="BF76">
            <v>0</v>
          </cell>
          <cell r="BG76">
            <v>965</v>
          </cell>
          <cell r="BI76" t="str">
            <v>Year</v>
          </cell>
          <cell r="BJ76">
            <v>0</v>
          </cell>
          <cell r="BK76">
            <v>0</v>
          </cell>
          <cell r="BL76">
            <v>470</v>
          </cell>
          <cell r="BN76">
            <v>0</v>
          </cell>
          <cell r="BO76">
            <v>0</v>
          </cell>
          <cell r="BP76">
            <v>275</v>
          </cell>
          <cell r="BR76">
            <v>0</v>
          </cell>
          <cell r="BS76">
            <v>0</v>
          </cell>
          <cell r="BT76">
            <v>139</v>
          </cell>
          <cell r="BV76">
            <v>0</v>
          </cell>
          <cell r="BW76">
            <v>0</v>
          </cell>
          <cell r="BX76">
            <v>101</v>
          </cell>
          <cell r="BZ76">
            <v>0</v>
          </cell>
          <cell r="CA76">
            <v>0</v>
          </cell>
          <cell r="CB76">
            <v>1.24</v>
          </cell>
          <cell r="CD76">
            <v>0</v>
          </cell>
          <cell r="CE76">
            <v>0</v>
          </cell>
          <cell r="CF76">
            <v>986.24</v>
          </cell>
          <cell r="CH76" t="str">
            <v>Year</v>
          </cell>
          <cell r="CI76">
            <v>0</v>
          </cell>
          <cell r="CJ76">
            <v>0</v>
          </cell>
          <cell r="CK76">
            <v>520</v>
          </cell>
          <cell r="CM76">
            <v>0</v>
          </cell>
          <cell r="CN76">
            <v>0</v>
          </cell>
          <cell r="CO76">
            <v>159</v>
          </cell>
          <cell r="CQ76">
            <v>0</v>
          </cell>
          <cell r="CR76">
            <v>0</v>
          </cell>
          <cell r="CS76">
            <v>91</v>
          </cell>
          <cell r="CU76">
            <v>0</v>
          </cell>
          <cell r="CV76">
            <v>0</v>
          </cell>
          <cell r="CW76">
            <v>9</v>
          </cell>
          <cell r="CY76">
            <v>0</v>
          </cell>
          <cell r="CZ76">
            <v>0</v>
          </cell>
          <cell r="DA76">
            <v>779</v>
          </cell>
          <cell r="DC76">
            <v>0</v>
          </cell>
          <cell r="DD76">
            <v>0</v>
          </cell>
          <cell r="DE76">
            <v>10145.24</v>
          </cell>
        </row>
        <row r="77">
          <cell r="E77">
            <v>473.70800000000003</v>
          </cell>
          <cell r="I77">
            <v>433.88200000000001</v>
          </cell>
          <cell r="M77">
            <v>422.91</v>
          </cell>
          <cell r="Q77">
            <v>1330.5</v>
          </cell>
          <cell r="V77">
            <v>2340.288</v>
          </cell>
          <cell r="Z77">
            <v>647.36</v>
          </cell>
          <cell r="AD77">
            <v>1448.37</v>
          </cell>
          <cell r="AH77">
            <v>1275.5520000000001</v>
          </cell>
          <cell r="AL77">
            <v>372.6</v>
          </cell>
          <cell r="AP77">
            <v>6084.17</v>
          </cell>
          <cell r="AU77">
            <v>500.49199999999996</v>
          </cell>
          <cell r="AY77">
            <v>359.84</v>
          </cell>
          <cell r="BC77">
            <v>104.55</v>
          </cell>
          <cell r="BG77">
            <v>964.88199999999983</v>
          </cell>
          <cell r="BL77">
            <v>470</v>
          </cell>
          <cell r="BP77">
            <v>275</v>
          </cell>
          <cell r="BT77">
            <v>138.72</v>
          </cell>
          <cell r="BX77">
            <v>100.94</v>
          </cell>
          <cell r="CB77">
            <v>1</v>
          </cell>
          <cell r="CF77">
            <v>985.66000000000008</v>
          </cell>
          <cell r="CK77">
            <v>520.08000000000004</v>
          </cell>
          <cell r="CO77">
            <v>159.08000000000001</v>
          </cell>
          <cell r="CS77">
            <v>90.9</v>
          </cell>
          <cell r="CW77">
            <v>8.5</v>
          </cell>
          <cell r="DA77">
            <v>778.56000000000006</v>
          </cell>
          <cell r="DE77">
            <v>10143.772000000001</v>
          </cell>
        </row>
        <row r="79">
          <cell r="B79" t="str">
            <v>2008E/07E</v>
          </cell>
          <cell r="S79" t="str">
            <v>2008E/07E</v>
          </cell>
          <cell r="AR79" t="str">
            <v>2008E/07E</v>
          </cell>
          <cell r="BI79" t="str">
            <v>2008E/07E</v>
          </cell>
          <cell r="CH79" t="str">
            <v>2008E/07E</v>
          </cell>
        </row>
        <row r="80">
          <cell r="B80" t="str">
            <v>1QE</v>
          </cell>
          <cell r="E80">
            <v>7.0000000000000007E-2</v>
          </cell>
          <cell r="I80">
            <v>0.06</v>
          </cell>
          <cell r="M80">
            <v>0.08</v>
          </cell>
          <cell r="Q80">
            <v>6.990797546012284E-2</v>
          </cell>
          <cell r="S80" t="str">
            <v>1QE</v>
          </cell>
          <cell r="V80">
            <v>0.06</v>
          </cell>
          <cell r="Z80">
            <v>0.15</v>
          </cell>
          <cell r="AD80">
            <v>0.03</v>
          </cell>
          <cell r="AH80">
            <v>0.04</v>
          </cell>
          <cell r="AL80">
            <v>5.0000000000000001E-3</v>
          </cell>
          <cell r="AP80">
            <v>5.4797806716929465E-2</v>
          </cell>
          <cell r="AR80" t="str">
            <v>1QE</v>
          </cell>
          <cell r="AU80">
            <v>0.18</v>
          </cell>
          <cell r="AY80">
            <v>0.04</v>
          </cell>
          <cell r="BC80">
            <v>5.0000000000000001E-3</v>
          </cell>
          <cell r="BG80">
            <v>0.10812500000000003</v>
          </cell>
          <cell r="BI80" t="str">
            <v>1QE</v>
          </cell>
          <cell r="BL80">
            <v>0</v>
          </cell>
          <cell r="BP80">
            <v>0</v>
          </cell>
          <cell r="BT80">
            <v>1.4999999999999999E-2</v>
          </cell>
          <cell r="BX80">
            <v>0.01</v>
          </cell>
          <cell r="CB80">
            <v>0</v>
          </cell>
          <cell r="CF80">
            <v>3.0255035737491998E-3</v>
          </cell>
          <cell r="CH80" t="str">
            <v>1QE</v>
          </cell>
          <cell r="CK80">
            <v>-7.0000000000000007E-2</v>
          </cell>
          <cell r="CO80">
            <v>-0.03</v>
          </cell>
          <cell r="CS80">
            <v>0</v>
          </cell>
          <cell r="CW80">
            <v>-0.15</v>
          </cell>
          <cell r="DA80">
            <v>-5.500000000000016E-2</v>
          </cell>
          <cell r="DE80">
            <v>4.7700347579184399E-2</v>
          </cell>
        </row>
        <row r="81">
          <cell r="B81" t="str">
            <v>2QE</v>
          </cell>
          <cell r="E81">
            <v>0.08</v>
          </cell>
          <cell r="I81">
            <v>0.04</v>
          </cell>
          <cell r="M81">
            <v>0.08</v>
          </cell>
          <cell r="Q81">
            <v>6.6395348837209323E-2</v>
          </cell>
          <cell r="S81" t="str">
            <v>2QE</v>
          </cell>
          <cell r="V81">
            <v>0.06</v>
          </cell>
          <cell r="Z81">
            <v>0.15</v>
          </cell>
          <cell r="AD81">
            <v>0.03</v>
          </cell>
          <cell r="AH81">
            <v>0.04</v>
          </cell>
          <cell r="AL81">
            <v>0.01</v>
          </cell>
          <cell r="AP81">
            <v>5.4798146922568014E-2</v>
          </cell>
          <cell r="AR81" t="str">
            <v>2QE</v>
          </cell>
          <cell r="AU81">
            <v>0.18</v>
          </cell>
          <cell r="AY81">
            <v>0.04</v>
          </cell>
          <cell r="BC81">
            <v>5.0000000000000001E-3</v>
          </cell>
          <cell r="BG81">
            <v>0.10769736842105271</v>
          </cell>
          <cell r="BI81" t="str">
            <v>2QE</v>
          </cell>
          <cell r="BL81">
            <v>0</v>
          </cell>
          <cell r="BP81">
            <v>0</v>
          </cell>
          <cell r="BT81">
            <v>1.4999999999999999E-2</v>
          </cell>
          <cell r="BX81">
            <v>0.01</v>
          </cell>
          <cell r="CB81">
            <v>0</v>
          </cell>
          <cell r="CF81">
            <v>3.2799999999999496E-3</v>
          </cell>
          <cell r="CH81" t="str">
            <v>2QE</v>
          </cell>
          <cell r="CK81">
            <v>-7.0000000000000007E-2</v>
          </cell>
          <cell r="CO81">
            <v>-0.03</v>
          </cell>
          <cell r="CS81">
            <v>0</v>
          </cell>
          <cell r="CW81">
            <v>-0.15</v>
          </cell>
          <cell r="DA81">
            <v>-5.5194174757281611E-2</v>
          </cell>
          <cell r="DE81">
            <v>4.7122883024813156E-2</v>
          </cell>
        </row>
        <row r="82">
          <cell r="B82" t="str">
            <v>3QE</v>
          </cell>
          <cell r="E82">
            <v>0.08</v>
          </cell>
          <cell r="I82">
            <v>0.05</v>
          </cell>
          <cell r="M82">
            <v>0.08</v>
          </cell>
          <cell r="Q82">
            <v>7.0492307692307854E-2</v>
          </cell>
          <cell r="S82" t="str">
            <v>3QE</v>
          </cell>
          <cell r="V82">
            <v>0.06</v>
          </cell>
          <cell r="Z82">
            <v>0.14000000000000001</v>
          </cell>
          <cell r="AD82">
            <v>0.03</v>
          </cell>
          <cell r="AH82">
            <v>0.02</v>
          </cell>
          <cell r="AL82">
            <v>0.01</v>
          </cell>
          <cell r="AP82">
            <v>5.0006451612903291E-2</v>
          </cell>
          <cell r="AR82" t="str">
            <v>3QE</v>
          </cell>
          <cell r="AU82">
            <v>0.125</v>
          </cell>
          <cell r="AY82">
            <v>0.04</v>
          </cell>
          <cell r="BC82">
            <v>5.0000000000000001E-3</v>
          </cell>
          <cell r="BG82">
            <v>8.0745967741935321E-2</v>
          </cell>
          <cell r="BI82" t="str">
            <v>3QE</v>
          </cell>
          <cell r="BL82">
            <v>0</v>
          </cell>
          <cell r="BP82">
            <v>0</v>
          </cell>
          <cell r="BT82">
            <v>0.02</v>
          </cell>
          <cell r="BX82">
            <v>0.01</v>
          </cell>
          <cell r="CB82">
            <v>0</v>
          </cell>
          <cell r="CF82">
            <v>3.7603305785123275E-3</v>
          </cell>
          <cell r="CH82" t="str">
            <v>3QE</v>
          </cell>
          <cell r="CK82">
            <v>-7.0000000000000007E-2</v>
          </cell>
          <cell r="CO82">
            <v>-0.03</v>
          </cell>
          <cell r="CS82">
            <v>0</v>
          </cell>
          <cell r="CW82">
            <v>-0.15</v>
          </cell>
          <cell r="DA82">
            <v>-5.4426229508196866E-2</v>
          </cell>
          <cell r="DE82">
            <v>4.3718602825745689E-2</v>
          </cell>
        </row>
        <row r="83">
          <cell r="B83" t="str">
            <v>4QE</v>
          </cell>
          <cell r="E83">
            <v>0.09</v>
          </cell>
          <cell r="I83">
            <v>0.05</v>
          </cell>
          <cell r="M83">
            <v>0.08</v>
          </cell>
          <cell r="Q83">
            <v>7.3690476190476195E-2</v>
          </cell>
          <cell r="S83" t="str">
            <v>4QE</v>
          </cell>
          <cell r="V83">
            <v>6.0999999999999999E-2</v>
          </cell>
          <cell r="Z83">
            <v>0.16</v>
          </cell>
          <cell r="AD83">
            <v>3.1E-2</v>
          </cell>
          <cell r="AH83">
            <v>0.02</v>
          </cell>
          <cell r="AL83">
            <v>0.01</v>
          </cell>
          <cell r="AP83">
            <v>5.3189897698209698E-2</v>
          </cell>
          <cell r="AR83" t="str">
            <v>4QE</v>
          </cell>
          <cell r="AU83">
            <v>0.13</v>
          </cell>
          <cell r="AY83">
            <v>0.04</v>
          </cell>
          <cell r="BC83">
            <v>5.0000000000000001E-3</v>
          </cell>
          <cell r="BG83">
            <v>8.3301886792452873E-2</v>
          </cell>
          <cell r="BI83" t="str">
            <v>4QE</v>
          </cell>
          <cell r="BL83">
            <v>0</v>
          </cell>
          <cell r="BP83">
            <v>0</v>
          </cell>
          <cell r="BT83">
            <v>0.02</v>
          </cell>
          <cell r="BX83">
            <v>0.01</v>
          </cell>
          <cell r="CB83">
            <v>0</v>
          </cell>
          <cell r="CF83">
            <v>3.9112903225806406E-3</v>
          </cell>
          <cell r="CH83" t="str">
            <v>4QE</v>
          </cell>
          <cell r="CK83">
            <v>-7.0000000000000007E-2</v>
          </cell>
          <cell r="CO83">
            <v>-0.03</v>
          </cell>
          <cell r="CS83">
            <v>0</v>
          </cell>
          <cell r="CW83">
            <v>-0.15</v>
          </cell>
          <cell r="DA83">
            <v>-5.3659793814432977E-2</v>
          </cell>
          <cell r="DE83">
            <v>4.625393172228609E-2</v>
          </cell>
        </row>
        <row r="84">
          <cell r="B84" t="str">
            <v>Year</v>
          </cell>
          <cell r="E84">
            <v>8.0000000000000071E-2</v>
          </cell>
          <cell r="I84">
            <v>5.0000000000000044E-2</v>
          </cell>
          <cell r="M84">
            <v>8.0000000000000071E-2</v>
          </cell>
          <cell r="Q84">
            <v>7.0216865839909826E-2</v>
          </cell>
          <cell r="S84" t="str">
            <v>Year</v>
          </cell>
          <cell r="V84">
            <v>6.0000000000000053E-2</v>
          </cell>
          <cell r="Z84">
            <v>0.14999999999999991</v>
          </cell>
          <cell r="AD84">
            <v>3.0000000000000027E-2</v>
          </cell>
          <cell r="AH84">
            <v>3.0000000000000027E-2</v>
          </cell>
          <cell r="AL84">
            <v>9.9999999999997868E-3</v>
          </cell>
          <cell r="AP84">
            <v>5.3082826416750439E-2</v>
          </cell>
          <cell r="AR84" t="str">
            <v>Year</v>
          </cell>
          <cell r="AU84">
            <v>0.15000000000000013</v>
          </cell>
          <cell r="AY84">
            <v>4.0000000000000036E-2</v>
          </cell>
          <cell r="BC84">
            <v>1.0000000000000009E-2</v>
          </cell>
          <cell r="BG84">
            <v>9.3807222023003956E-2</v>
          </cell>
          <cell r="BI84" t="str">
            <v>Year</v>
          </cell>
          <cell r="BL84">
            <v>0</v>
          </cell>
          <cell r="BP84">
            <v>0</v>
          </cell>
          <cell r="BT84">
            <v>2.0000000000000018E-2</v>
          </cell>
          <cell r="BX84">
            <v>1.0000000000000009E-2</v>
          </cell>
          <cell r="CB84">
            <v>0</v>
          </cell>
          <cell r="CF84">
            <v>3.8388490960370447E-3</v>
          </cell>
          <cell r="CH84" t="str">
            <v>Year</v>
          </cell>
          <cell r="CK84">
            <v>-7.0000000000000062E-2</v>
          </cell>
          <cell r="CO84">
            <v>-3.0000000000000249E-2</v>
          </cell>
          <cell r="CS84">
            <v>0</v>
          </cell>
          <cell r="CW84">
            <v>-0.15000000000000002</v>
          </cell>
          <cell r="DA84">
            <v>-5.4527589395807707E-2</v>
          </cell>
          <cell r="DE84">
            <v>4.615957259291692E-2</v>
          </cell>
        </row>
        <row r="86">
          <cell r="B86" t="str">
            <v>2008E</v>
          </cell>
          <cell r="CH86" t="str">
            <v>2008E</v>
          </cell>
        </row>
        <row r="87">
          <cell r="B87" t="str">
            <v>1QE</v>
          </cell>
          <cell r="C87">
            <v>0</v>
          </cell>
          <cell r="D87">
            <v>0</v>
          </cell>
          <cell r="E87">
            <v>129.47</v>
          </cell>
          <cell r="G87">
            <v>0</v>
          </cell>
          <cell r="H87">
            <v>0</v>
          </cell>
          <cell r="I87">
            <v>110.24000000000001</v>
          </cell>
          <cell r="K87">
            <v>0</v>
          </cell>
          <cell r="L87">
            <v>0</v>
          </cell>
          <cell r="M87">
            <v>109.08000000000001</v>
          </cell>
          <cell r="O87">
            <v>0</v>
          </cell>
          <cell r="P87">
            <v>0</v>
          </cell>
          <cell r="Q87">
            <v>348.79</v>
          </cell>
          <cell r="S87" t="str">
            <v>1QE</v>
          </cell>
          <cell r="T87">
            <v>0</v>
          </cell>
          <cell r="U87">
            <v>0</v>
          </cell>
          <cell r="V87">
            <v>594.66000000000008</v>
          </cell>
          <cell r="X87">
            <v>0</v>
          </cell>
          <cell r="Y87">
            <v>0</v>
          </cell>
          <cell r="Z87">
            <v>175.95</v>
          </cell>
          <cell r="AB87">
            <v>0</v>
          </cell>
          <cell r="AC87">
            <v>0</v>
          </cell>
          <cell r="AD87">
            <v>348.14</v>
          </cell>
          <cell r="AF87">
            <v>0</v>
          </cell>
          <cell r="AG87">
            <v>0</v>
          </cell>
          <cell r="AH87">
            <v>331.76</v>
          </cell>
          <cell r="AJ87">
            <v>0</v>
          </cell>
          <cell r="AK87">
            <v>0</v>
          </cell>
          <cell r="AL87">
            <v>88.44</v>
          </cell>
          <cell r="AN87">
            <v>0</v>
          </cell>
          <cell r="AO87">
            <v>0</v>
          </cell>
          <cell r="AP87">
            <v>1538.95</v>
          </cell>
          <cell r="AR87" t="str">
            <v>1QE</v>
          </cell>
          <cell r="AS87">
            <v>0</v>
          </cell>
          <cell r="AT87">
            <v>0</v>
          </cell>
          <cell r="AU87">
            <v>135.69999999999999</v>
          </cell>
          <cell r="AW87">
            <v>0</v>
          </cell>
          <cell r="AX87">
            <v>0</v>
          </cell>
          <cell r="AY87">
            <v>88.4</v>
          </cell>
          <cell r="BA87">
            <v>0</v>
          </cell>
          <cell r="BB87">
            <v>0</v>
          </cell>
          <cell r="BC87">
            <v>24.119999999999997</v>
          </cell>
          <cell r="BE87">
            <v>0</v>
          </cell>
          <cell r="BF87">
            <v>0</v>
          </cell>
          <cell r="BG87">
            <v>248.22</v>
          </cell>
          <cell r="BI87" t="str">
            <v>1QE</v>
          </cell>
          <cell r="BJ87">
            <v>0</v>
          </cell>
          <cell r="BK87">
            <v>0</v>
          </cell>
          <cell r="BL87">
            <v>119</v>
          </cell>
          <cell r="BN87">
            <v>0</v>
          </cell>
          <cell r="BO87">
            <v>0</v>
          </cell>
          <cell r="BP87">
            <v>69</v>
          </cell>
          <cell r="BR87">
            <v>0</v>
          </cell>
          <cell r="BS87">
            <v>0</v>
          </cell>
          <cell r="BT87">
            <v>33.494999999999997</v>
          </cell>
          <cell r="BV87">
            <v>0</v>
          </cell>
          <cell r="BW87">
            <v>0</v>
          </cell>
          <cell r="BX87">
            <v>25.25</v>
          </cell>
          <cell r="BZ87">
            <v>0</v>
          </cell>
          <cell r="CA87">
            <v>0</v>
          </cell>
          <cell r="CB87">
            <v>0.24</v>
          </cell>
          <cell r="CD87">
            <v>0</v>
          </cell>
          <cell r="CE87">
            <v>0</v>
          </cell>
          <cell r="CF87">
            <v>246.98500000000001</v>
          </cell>
          <cell r="CH87" t="str">
            <v>1QE</v>
          </cell>
          <cell r="CI87">
            <v>0</v>
          </cell>
          <cell r="CJ87">
            <v>0</v>
          </cell>
          <cell r="CK87">
            <v>123.69</v>
          </cell>
          <cell r="CM87">
            <v>0</v>
          </cell>
          <cell r="CN87">
            <v>0</v>
          </cell>
          <cell r="CO87">
            <v>37.83</v>
          </cell>
          <cell r="CQ87">
            <v>0</v>
          </cell>
          <cell r="CR87">
            <v>0</v>
          </cell>
          <cell r="CS87">
            <v>22</v>
          </cell>
          <cell r="CU87">
            <v>0</v>
          </cell>
          <cell r="CV87">
            <v>0</v>
          </cell>
          <cell r="CW87">
            <v>1.7</v>
          </cell>
          <cell r="CY87">
            <v>0</v>
          </cell>
          <cell r="CZ87">
            <v>0</v>
          </cell>
          <cell r="DA87">
            <v>185.21999999999997</v>
          </cell>
          <cell r="DC87">
            <v>0</v>
          </cell>
          <cell r="DD87">
            <v>0</v>
          </cell>
          <cell r="DE87">
            <v>2568.165</v>
          </cell>
        </row>
        <row r="88">
          <cell r="B88" t="str">
            <v>2QE</v>
          </cell>
          <cell r="C88">
            <v>0</v>
          </cell>
          <cell r="D88">
            <v>0</v>
          </cell>
          <cell r="E88">
            <v>127.44000000000001</v>
          </cell>
          <cell r="G88">
            <v>0</v>
          </cell>
          <cell r="H88">
            <v>0</v>
          </cell>
          <cell r="I88">
            <v>121.68</v>
          </cell>
          <cell r="K88">
            <v>0</v>
          </cell>
          <cell r="L88">
            <v>0</v>
          </cell>
          <cell r="M88">
            <v>117.72000000000001</v>
          </cell>
          <cell r="O88">
            <v>0</v>
          </cell>
          <cell r="P88">
            <v>0</v>
          </cell>
          <cell r="Q88">
            <v>366.84000000000003</v>
          </cell>
          <cell r="S88" t="str">
            <v>2QE</v>
          </cell>
          <cell r="T88">
            <v>0</v>
          </cell>
          <cell r="U88">
            <v>0</v>
          </cell>
          <cell r="V88">
            <v>611.62</v>
          </cell>
          <cell r="X88">
            <v>0</v>
          </cell>
          <cell r="Y88">
            <v>0</v>
          </cell>
          <cell r="Z88">
            <v>180.54999999999998</v>
          </cell>
          <cell r="AB88">
            <v>0</v>
          </cell>
          <cell r="AC88">
            <v>0</v>
          </cell>
          <cell r="AD88">
            <v>376.98</v>
          </cell>
          <cell r="AF88">
            <v>0</v>
          </cell>
          <cell r="AG88">
            <v>0</v>
          </cell>
          <cell r="AH88">
            <v>330.72</v>
          </cell>
          <cell r="AJ88">
            <v>0</v>
          </cell>
          <cell r="AK88">
            <v>0</v>
          </cell>
          <cell r="AL88">
            <v>93.93</v>
          </cell>
          <cell r="AN88">
            <v>0</v>
          </cell>
          <cell r="AO88">
            <v>0</v>
          </cell>
          <cell r="AP88">
            <v>1593.8000000000002</v>
          </cell>
          <cell r="AR88" t="str">
            <v>2QE</v>
          </cell>
          <cell r="AS88">
            <v>0</v>
          </cell>
          <cell r="AT88">
            <v>0</v>
          </cell>
          <cell r="AU88">
            <v>138.06</v>
          </cell>
          <cell r="AW88">
            <v>0</v>
          </cell>
          <cell r="AX88">
            <v>0</v>
          </cell>
          <cell r="AY88">
            <v>87.36</v>
          </cell>
          <cell r="BA88">
            <v>0</v>
          </cell>
          <cell r="BB88">
            <v>0</v>
          </cell>
          <cell r="BC88">
            <v>27.134999999999998</v>
          </cell>
          <cell r="BE88">
            <v>0</v>
          </cell>
          <cell r="BF88">
            <v>0</v>
          </cell>
          <cell r="BG88">
            <v>252.55500000000001</v>
          </cell>
          <cell r="BI88" t="str">
            <v>2QE</v>
          </cell>
          <cell r="BJ88">
            <v>0</v>
          </cell>
          <cell r="BK88">
            <v>0</v>
          </cell>
          <cell r="BL88">
            <v>116</v>
          </cell>
          <cell r="BN88">
            <v>0</v>
          </cell>
          <cell r="BO88">
            <v>0</v>
          </cell>
          <cell r="BP88">
            <v>69</v>
          </cell>
          <cell r="BR88">
            <v>0</v>
          </cell>
          <cell r="BS88">
            <v>0</v>
          </cell>
          <cell r="BT88">
            <v>36.54</v>
          </cell>
          <cell r="BV88">
            <v>0</v>
          </cell>
          <cell r="BW88">
            <v>0</v>
          </cell>
          <cell r="BX88">
            <v>28.28</v>
          </cell>
          <cell r="BZ88">
            <v>0</v>
          </cell>
          <cell r="CA88">
            <v>0</v>
          </cell>
          <cell r="CB88">
            <v>1</v>
          </cell>
          <cell r="CD88">
            <v>0</v>
          </cell>
          <cell r="CE88">
            <v>0</v>
          </cell>
          <cell r="CF88">
            <v>250.82</v>
          </cell>
          <cell r="CH88" t="str">
            <v>2QE</v>
          </cell>
          <cell r="CI88">
            <v>0</v>
          </cell>
          <cell r="CJ88">
            <v>0</v>
          </cell>
          <cell r="CK88">
            <v>131.13</v>
          </cell>
          <cell r="CM88">
            <v>0</v>
          </cell>
          <cell r="CN88">
            <v>0</v>
          </cell>
          <cell r="CO88">
            <v>38.799999999999997</v>
          </cell>
          <cell r="CQ88">
            <v>0</v>
          </cell>
          <cell r="CR88">
            <v>0</v>
          </cell>
          <cell r="CS88">
            <v>23</v>
          </cell>
          <cell r="CU88">
            <v>0</v>
          </cell>
          <cell r="CV88">
            <v>0</v>
          </cell>
          <cell r="CW88">
            <v>1.7</v>
          </cell>
          <cell r="CY88">
            <v>0</v>
          </cell>
          <cell r="CZ88">
            <v>0</v>
          </cell>
          <cell r="DA88">
            <v>194.63</v>
          </cell>
          <cell r="DC88">
            <v>0</v>
          </cell>
          <cell r="DD88">
            <v>0</v>
          </cell>
          <cell r="DE88">
            <v>2658.6450000000004</v>
          </cell>
        </row>
        <row r="89">
          <cell r="B89" t="str">
            <v>3QE</v>
          </cell>
          <cell r="C89">
            <v>0</v>
          </cell>
          <cell r="D89">
            <v>0</v>
          </cell>
          <cell r="E89">
            <v>126.36000000000001</v>
          </cell>
          <cell r="G89">
            <v>0</v>
          </cell>
          <cell r="H89">
            <v>0</v>
          </cell>
          <cell r="I89">
            <v>108.15</v>
          </cell>
          <cell r="K89">
            <v>0</v>
          </cell>
          <cell r="L89">
            <v>0</v>
          </cell>
          <cell r="M89">
            <v>113.4</v>
          </cell>
          <cell r="O89">
            <v>0</v>
          </cell>
          <cell r="P89">
            <v>0</v>
          </cell>
          <cell r="Q89">
            <v>347.91</v>
          </cell>
          <cell r="S89" t="str">
            <v>3QE</v>
          </cell>
          <cell r="T89">
            <v>0</v>
          </cell>
          <cell r="U89">
            <v>0</v>
          </cell>
          <cell r="V89">
            <v>627.52</v>
          </cell>
          <cell r="X89">
            <v>0</v>
          </cell>
          <cell r="Y89">
            <v>0</v>
          </cell>
          <cell r="Z89">
            <v>190.38000000000002</v>
          </cell>
          <cell r="AB89">
            <v>0</v>
          </cell>
          <cell r="AC89">
            <v>0</v>
          </cell>
          <cell r="AD89">
            <v>386.25</v>
          </cell>
          <cell r="AF89">
            <v>0</v>
          </cell>
          <cell r="AG89">
            <v>0</v>
          </cell>
          <cell r="AH89">
            <v>326.39999999999998</v>
          </cell>
          <cell r="AJ89">
            <v>0</v>
          </cell>
          <cell r="AK89">
            <v>0</v>
          </cell>
          <cell r="AL89">
            <v>96.960000000000008</v>
          </cell>
          <cell r="AN89">
            <v>0</v>
          </cell>
          <cell r="AO89">
            <v>0</v>
          </cell>
          <cell r="AP89">
            <v>1627.5100000000002</v>
          </cell>
          <cell r="AR89" t="str">
            <v>3QE</v>
          </cell>
          <cell r="AS89">
            <v>0</v>
          </cell>
          <cell r="AT89">
            <v>0</v>
          </cell>
          <cell r="AU89">
            <v>146.25</v>
          </cell>
          <cell r="AW89">
            <v>0</v>
          </cell>
          <cell r="AX89">
            <v>0</v>
          </cell>
          <cell r="AY89">
            <v>94.64</v>
          </cell>
          <cell r="BA89">
            <v>0</v>
          </cell>
          <cell r="BB89">
            <v>0</v>
          </cell>
          <cell r="BC89">
            <v>27.134999999999998</v>
          </cell>
          <cell r="BE89">
            <v>0</v>
          </cell>
          <cell r="BF89">
            <v>0</v>
          </cell>
          <cell r="BG89">
            <v>268.02499999999998</v>
          </cell>
          <cell r="BI89" t="str">
            <v>3QE</v>
          </cell>
          <cell r="BJ89">
            <v>0</v>
          </cell>
          <cell r="BK89">
            <v>0</v>
          </cell>
          <cell r="BL89">
            <v>117</v>
          </cell>
          <cell r="BN89">
            <v>0</v>
          </cell>
          <cell r="BO89">
            <v>0</v>
          </cell>
          <cell r="BP89">
            <v>68</v>
          </cell>
          <cell r="BR89">
            <v>0</v>
          </cell>
          <cell r="BS89">
            <v>0</v>
          </cell>
          <cell r="BT89">
            <v>34.68</v>
          </cell>
          <cell r="BV89">
            <v>0</v>
          </cell>
          <cell r="BW89">
            <v>0</v>
          </cell>
          <cell r="BX89">
            <v>23.23</v>
          </cell>
          <cell r="BZ89">
            <v>0</v>
          </cell>
          <cell r="CA89">
            <v>0</v>
          </cell>
          <cell r="CB89">
            <v>0</v>
          </cell>
          <cell r="CD89">
            <v>0</v>
          </cell>
          <cell r="CE89">
            <v>0</v>
          </cell>
          <cell r="CF89">
            <v>242.91</v>
          </cell>
          <cell r="CH89" t="str">
            <v>3QE</v>
          </cell>
          <cell r="CI89">
            <v>0</v>
          </cell>
          <cell r="CJ89">
            <v>0</v>
          </cell>
          <cell r="CK89">
            <v>114.38999999999999</v>
          </cell>
          <cell r="CM89">
            <v>0</v>
          </cell>
          <cell r="CN89">
            <v>0</v>
          </cell>
          <cell r="CO89">
            <v>33.949999999999996</v>
          </cell>
          <cell r="CQ89">
            <v>0</v>
          </cell>
          <cell r="CR89">
            <v>0</v>
          </cell>
          <cell r="CS89">
            <v>23</v>
          </cell>
          <cell r="CU89">
            <v>0</v>
          </cell>
          <cell r="CV89">
            <v>0</v>
          </cell>
          <cell r="CW89">
            <v>1.7</v>
          </cell>
          <cell r="CY89">
            <v>0</v>
          </cell>
          <cell r="CZ89">
            <v>0</v>
          </cell>
          <cell r="DA89">
            <v>173.03999999999996</v>
          </cell>
          <cell r="DC89">
            <v>0</v>
          </cell>
          <cell r="DD89">
            <v>0</v>
          </cell>
          <cell r="DE89">
            <v>2659.395</v>
          </cell>
        </row>
        <row r="90">
          <cell r="B90" t="str">
            <v>4QE</v>
          </cell>
          <cell r="C90">
            <v>0</v>
          </cell>
          <cell r="D90">
            <v>0</v>
          </cell>
          <cell r="E90">
            <v>128.62</v>
          </cell>
          <cell r="G90">
            <v>0</v>
          </cell>
          <cell r="H90">
            <v>0</v>
          </cell>
          <cell r="I90">
            <v>115.5</v>
          </cell>
          <cell r="K90">
            <v>0</v>
          </cell>
          <cell r="L90">
            <v>0</v>
          </cell>
          <cell r="M90">
            <v>116.64000000000001</v>
          </cell>
          <cell r="O90">
            <v>0</v>
          </cell>
          <cell r="P90">
            <v>0</v>
          </cell>
          <cell r="Q90">
            <v>360.76</v>
          </cell>
          <cell r="S90" t="str">
            <v>4QE</v>
          </cell>
          <cell r="T90">
            <v>0</v>
          </cell>
          <cell r="U90">
            <v>0</v>
          </cell>
          <cell r="V90">
            <v>647.20999999999992</v>
          </cell>
          <cell r="X90">
            <v>0</v>
          </cell>
          <cell r="Y90">
            <v>0</v>
          </cell>
          <cell r="Z90">
            <v>197.2</v>
          </cell>
          <cell r="AB90">
            <v>0</v>
          </cell>
          <cell r="AC90">
            <v>0</v>
          </cell>
          <cell r="AD90">
            <v>380.43899999999996</v>
          </cell>
          <cell r="AF90">
            <v>0</v>
          </cell>
          <cell r="AG90">
            <v>0</v>
          </cell>
          <cell r="AH90">
            <v>325.38</v>
          </cell>
          <cell r="AJ90">
            <v>0</v>
          </cell>
          <cell r="AK90">
            <v>0</v>
          </cell>
          <cell r="AL90">
            <v>96.960000000000008</v>
          </cell>
          <cell r="AN90">
            <v>0</v>
          </cell>
          <cell r="AO90">
            <v>0</v>
          </cell>
          <cell r="AP90">
            <v>1647.1889999999999</v>
          </cell>
          <cell r="AR90" t="str">
            <v>4QE</v>
          </cell>
          <cell r="AS90">
            <v>0</v>
          </cell>
          <cell r="AT90">
            <v>0</v>
          </cell>
          <cell r="AU90">
            <v>155.94</v>
          </cell>
          <cell r="AW90">
            <v>0</v>
          </cell>
          <cell r="AX90">
            <v>0</v>
          </cell>
          <cell r="AY90">
            <v>104</v>
          </cell>
          <cell r="BA90">
            <v>0</v>
          </cell>
          <cell r="BB90">
            <v>0</v>
          </cell>
          <cell r="BC90">
            <v>27.134999999999998</v>
          </cell>
          <cell r="BE90">
            <v>0</v>
          </cell>
          <cell r="BF90">
            <v>0</v>
          </cell>
          <cell r="BG90">
            <v>287.07499999999999</v>
          </cell>
          <cell r="BI90" t="str">
            <v>4QE</v>
          </cell>
          <cell r="BJ90">
            <v>0</v>
          </cell>
          <cell r="BK90">
            <v>0</v>
          </cell>
          <cell r="BL90">
            <v>118</v>
          </cell>
          <cell r="BN90">
            <v>0</v>
          </cell>
          <cell r="BO90">
            <v>0</v>
          </cell>
          <cell r="BP90">
            <v>69</v>
          </cell>
          <cell r="BR90">
            <v>0</v>
          </cell>
          <cell r="BS90">
            <v>0</v>
          </cell>
          <cell r="BT90">
            <v>36.72</v>
          </cell>
          <cell r="BV90">
            <v>0</v>
          </cell>
          <cell r="BW90">
            <v>0</v>
          </cell>
          <cell r="BX90">
            <v>25.25</v>
          </cell>
          <cell r="BZ90">
            <v>0</v>
          </cell>
          <cell r="CA90">
            <v>0</v>
          </cell>
          <cell r="CB90">
            <v>0</v>
          </cell>
          <cell r="CD90">
            <v>0</v>
          </cell>
          <cell r="CE90">
            <v>0</v>
          </cell>
          <cell r="CF90">
            <v>248.97</v>
          </cell>
          <cell r="CH90" t="str">
            <v>4QE</v>
          </cell>
          <cell r="CI90">
            <v>0</v>
          </cell>
          <cell r="CJ90">
            <v>0</v>
          </cell>
          <cell r="CK90">
            <v>114.38999999999999</v>
          </cell>
          <cell r="CM90">
            <v>0</v>
          </cell>
          <cell r="CN90">
            <v>0</v>
          </cell>
          <cell r="CO90">
            <v>43.65</v>
          </cell>
          <cell r="CQ90">
            <v>0</v>
          </cell>
          <cell r="CR90">
            <v>0</v>
          </cell>
          <cell r="CS90">
            <v>23</v>
          </cell>
          <cell r="CU90">
            <v>0</v>
          </cell>
          <cell r="CV90">
            <v>0</v>
          </cell>
          <cell r="CW90">
            <v>2.5499999999999998</v>
          </cell>
          <cell r="CY90">
            <v>0</v>
          </cell>
          <cell r="CZ90">
            <v>0</v>
          </cell>
          <cell r="DA90">
            <v>183.59</v>
          </cell>
          <cell r="DC90">
            <v>0</v>
          </cell>
          <cell r="DD90">
            <v>0</v>
          </cell>
          <cell r="DE90">
            <v>2727.5839999999998</v>
          </cell>
        </row>
        <row r="91">
          <cell r="B91" t="str">
            <v>Year</v>
          </cell>
          <cell r="C91">
            <v>0</v>
          </cell>
          <cell r="D91">
            <v>0</v>
          </cell>
          <cell r="E91">
            <v>511.89000000000004</v>
          </cell>
          <cell r="G91">
            <v>0</v>
          </cell>
          <cell r="H91">
            <v>0</v>
          </cell>
          <cell r="I91">
            <v>455.57000000000005</v>
          </cell>
          <cell r="K91">
            <v>0</v>
          </cell>
          <cell r="L91">
            <v>0</v>
          </cell>
          <cell r="M91">
            <v>456.84000000000003</v>
          </cell>
          <cell r="O91">
            <v>0</v>
          </cell>
          <cell r="P91">
            <v>0</v>
          </cell>
          <cell r="Q91">
            <v>1424.3000000000002</v>
          </cell>
          <cell r="S91" t="str">
            <v>Year</v>
          </cell>
          <cell r="T91">
            <v>0</v>
          </cell>
          <cell r="U91">
            <v>0</v>
          </cell>
          <cell r="V91">
            <v>2481.0100000000002</v>
          </cell>
          <cell r="X91">
            <v>0</v>
          </cell>
          <cell r="Y91">
            <v>0</v>
          </cell>
          <cell r="Z91">
            <v>744.07999999999993</v>
          </cell>
          <cell r="AB91">
            <v>0</v>
          </cell>
          <cell r="AC91">
            <v>0</v>
          </cell>
          <cell r="AD91">
            <v>1491.8089999999997</v>
          </cell>
          <cell r="AF91">
            <v>0</v>
          </cell>
          <cell r="AG91">
            <v>0</v>
          </cell>
          <cell r="AH91">
            <v>1314.26</v>
          </cell>
          <cell r="AJ91">
            <v>0</v>
          </cell>
          <cell r="AK91">
            <v>0</v>
          </cell>
          <cell r="AL91">
            <v>376.29000000000008</v>
          </cell>
          <cell r="AN91">
            <v>0</v>
          </cell>
          <cell r="AO91">
            <v>0</v>
          </cell>
          <cell r="AP91">
            <v>6407.4490000000005</v>
          </cell>
          <cell r="AR91" t="str">
            <v>Year</v>
          </cell>
          <cell r="AS91">
            <v>0</v>
          </cell>
          <cell r="AT91">
            <v>0</v>
          </cell>
          <cell r="AU91">
            <v>575.95000000000005</v>
          </cell>
          <cell r="AW91">
            <v>0</v>
          </cell>
          <cell r="AX91">
            <v>0</v>
          </cell>
          <cell r="AY91">
            <v>374.4</v>
          </cell>
          <cell r="BA91">
            <v>0</v>
          </cell>
          <cell r="BB91">
            <v>0</v>
          </cell>
          <cell r="BC91">
            <v>105.52499999999998</v>
          </cell>
          <cell r="BE91">
            <v>0</v>
          </cell>
          <cell r="BF91">
            <v>0</v>
          </cell>
          <cell r="BG91">
            <v>1055.875</v>
          </cell>
          <cell r="BI91" t="str">
            <v>Year</v>
          </cell>
          <cell r="BJ91">
            <v>0</v>
          </cell>
          <cell r="BK91">
            <v>0</v>
          </cell>
          <cell r="BL91">
            <v>470</v>
          </cell>
          <cell r="BN91">
            <v>0</v>
          </cell>
          <cell r="BO91">
            <v>0</v>
          </cell>
          <cell r="BP91">
            <v>275</v>
          </cell>
          <cell r="BR91">
            <v>0</v>
          </cell>
          <cell r="BS91">
            <v>0</v>
          </cell>
          <cell r="BT91">
            <v>141.435</v>
          </cell>
          <cell r="BV91">
            <v>0</v>
          </cell>
          <cell r="BW91">
            <v>0</v>
          </cell>
          <cell r="BX91">
            <v>102.01</v>
          </cell>
          <cell r="BZ91">
            <v>0</v>
          </cell>
          <cell r="CA91">
            <v>0</v>
          </cell>
          <cell r="CB91">
            <v>1.24</v>
          </cell>
          <cell r="CD91">
            <v>0</v>
          </cell>
          <cell r="CE91">
            <v>0</v>
          </cell>
          <cell r="CF91">
            <v>989.68500000000006</v>
          </cell>
          <cell r="CH91" t="str">
            <v>Year</v>
          </cell>
          <cell r="CI91">
            <v>0</v>
          </cell>
          <cell r="CJ91">
            <v>0</v>
          </cell>
          <cell r="CK91">
            <v>483.59999999999997</v>
          </cell>
          <cell r="CM91">
            <v>0</v>
          </cell>
          <cell r="CN91">
            <v>0</v>
          </cell>
          <cell r="CO91">
            <v>154.22999999999999</v>
          </cell>
          <cell r="CQ91">
            <v>0</v>
          </cell>
          <cell r="CR91">
            <v>0</v>
          </cell>
          <cell r="CS91">
            <v>91</v>
          </cell>
          <cell r="CU91">
            <v>0</v>
          </cell>
          <cell r="CV91">
            <v>0</v>
          </cell>
          <cell r="CW91">
            <v>7.6499999999999995</v>
          </cell>
          <cell r="CY91">
            <v>0</v>
          </cell>
          <cell r="CZ91">
            <v>0</v>
          </cell>
          <cell r="DA91">
            <v>736.4799999999999</v>
          </cell>
          <cell r="DC91">
            <v>0</v>
          </cell>
          <cell r="DD91">
            <v>0</v>
          </cell>
          <cell r="DE91">
            <v>10613.789000000001</v>
          </cell>
        </row>
        <row r="92">
          <cell r="E92">
            <v>511.60464000000007</v>
          </cell>
          <cell r="I92">
            <v>455.5761</v>
          </cell>
          <cell r="M92">
            <v>456.74280000000005</v>
          </cell>
          <cell r="Q92">
            <v>1423.92354</v>
          </cell>
          <cell r="V92">
            <v>2480.7052800000001</v>
          </cell>
          <cell r="Z92">
            <v>744.46399999999994</v>
          </cell>
          <cell r="AD92">
            <v>1491.8210999999999</v>
          </cell>
          <cell r="AH92">
            <v>1313.8185600000002</v>
          </cell>
          <cell r="AL92">
            <v>376.32599999999996</v>
          </cell>
          <cell r="AP92">
            <v>6407.1349400000008</v>
          </cell>
          <cell r="AU92">
            <v>575.56579999999997</v>
          </cell>
          <cell r="AY92">
            <v>374.23360000000002</v>
          </cell>
          <cell r="BC92">
            <v>105.5955</v>
          </cell>
          <cell r="BG92">
            <v>1055.3949</v>
          </cell>
          <cell r="BL92">
            <v>470</v>
          </cell>
          <cell r="BP92">
            <v>275</v>
          </cell>
          <cell r="BT92">
            <v>141.49440000000001</v>
          </cell>
          <cell r="BX92">
            <v>101.9494</v>
          </cell>
          <cell r="CB92">
            <v>1</v>
          </cell>
          <cell r="CF92">
            <v>989.44380000000001</v>
          </cell>
          <cell r="CK92">
            <v>483.67439999999999</v>
          </cell>
          <cell r="CO92">
            <v>154.30759999999998</v>
          </cell>
          <cell r="CS92">
            <v>90.9</v>
          </cell>
          <cell r="CW92">
            <v>7.2249999999999996</v>
          </cell>
          <cell r="DA92">
            <v>736.10699999999997</v>
          </cell>
          <cell r="DE92">
            <v>10612.00418</v>
          </cell>
        </row>
        <row r="96">
          <cell r="B96" t="str">
            <v>E = Morgan Stanley Research Estimates           A = Actual          Source: Company data, Morgan Stanley Research</v>
          </cell>
          <cell r="S96" t="str">
            <v>E = Morgan Stanley Research Estimates           A = Actual          Source: Company data, Morgan Stanley Research</v>
          </cell>
          <cell r="AR96" t="str">
            <v>E = Morgan Stanley Research Estimates           A = Actual          Source: Company data, Morgan Stanley Research</v>
          </cell>
          <cell r="BI96" t="str">
            <v>E = Morgan Stanley Research Estimates           A = Actual          Source: Company data, Morgan Stanley Research</v>
          </cell>
          <cell r="CH96" t="str">
            <v>E = Morgan Stanley Research Estimates           A = Actual          Source: Company data, Morgan Stanley Research</v>
          </cell>
        </row>
      </sheetData>
      <sheetData sheetId="8">
        <row r="1">
          <cell r="A1" t="str">
            <v>Exhibit 10</v>
          </cell>
        </row>
        <row r="2">
          <cell r="A2" t="str">
            <v>Covidien</v>
          </cell>
        </row>
        <row r="3">
          <cell r="A3" t="str">
            <v>Annual Sales and Operating Income Comparisons 2004-2011E</v>
          </cell>
        </row>
        <row r="4">
          <cell r="A4" t="str">
            <v>($ Millions Except EPS)</v>
          </cell>
        </row>
        <row r="5">
          <cell r="A5" t="str">
            <v>Segment numbers subject to change</v>
          </cell>
        </row>
        <row r="6">
          <cell r="A6" t="str">
            <v xml:space="preserve"> </v>
          </cell>
          <cell r="E6" t="str">
            <v>2004A</v>
          </cell>
          <cell r="I6" t="str">
            <v>2005A</v>
          </cell>
          <cell r="M6" t="str">
            <v>2006A</v>
          </cell>
          <cell r="Q6" t="str">
            <v>2007E</v>
          </cell>
          <cell r="U6" t="str">
            <v>2008E</v>
          </cell>
          <cell r="Y6" t="str">
            <v>2009E</v>
          </cell>
          <cell r="AC6" t="str">
            <v>2010E</v>
          </cell>
          <cell r="AG6" t="str">
            <v>2011E</v>
          </cell>
          <cell r="AK6" t="str">
            <v>2012E</v>
          </cell>
        </row>
        <row r="7">
          <cell r="A7" t="str">
            <v xml:space="preserve"> Sales</v>
          </cell>
          <cell r="D7" t="str">
            <v>Sales</v>
          </cell>
          <cell r="E7" t="str">
            <v>Inc.</v>
          </cell>
          <cell r="F7" t="str">
            <v>Margin</v>
          </cell>
          <cell r="H7" t="str">
            <v>Sales</v>
          </cell>
          <cell r="I7" t="str">
            <v>Inc.</v>
          </cell>
          <cell r="J7" t="str">
            <v>Margin</v>
          </cell>
          <cell r="L7" t="str">
            <v>Sales</v>
          </cell>
          <cell r="M7" t="str">
            <v>Inc.</v>
          </cell>
          <cell r="N7" t="str">
            <v>Margin</v>
          </cell>
          <cell r="P7" t="str">
            <v>Sales</v>
          </cell>
          <cell r="Q7" t="str">
            <v>Inc.</v>
          </cell>
          <cell r="R7" t="str">
            <v>Margin</v>
          </cell>
          <cell r="T7" t="str">
            <v>Sales</v>
          </cell>
          <cell r="U7" t="str">
            <v>Inc.</v>
          </cell>
          <cell r="V7" t="str">
            <v>Margin</v>
          </cell>
          <cell r="X7" t="str">
            <v>Sales</v>
          </cell>
          <cell r="Y7" t="str">
            <v>Inc.</v>
          </cell>
          <cell r="Z7" t="str">
            <v>Margin</v>
          </cell>
          <cell r="AB7" t="str">
            <v>Sales</v>
          </cell>
          <cell r="AC7" t="str">
            <v>Inc.</v>
          </cell>
          <cell r="AD7" t="str">
            <v>Margin</v>
          </cell>
          <cell r="AF7" t="str">
            <v>Sales</v>
          </cell>
          <cell r="AG7" t="str">
            <v>Inc.</v>
          </cell>
          <cell r="AH7" t="str">
            <v>Margin</v>
          </cell>
          <cell r="AJ7" t="str">
            <v>Sales</v>
          </cell>
          <cell r="AK7" t="str">
            <v>Inc.</v>
          </cell>
          <cell r="AL7" t="str">
            <v>Margin</v>
          </cell>
        </row>
        <row r="9">
          <cell r="A9" t="str">
            <v>Medical Devices</v>
          </cell>
          <cell r="D9">
            <v>5167</v>
          </cell>
          <cell r="E9">
            <v>1666</v>
          </cell>
          <cell r="F9">
            <v>0.3224308109154248</v>
          </cell>
          <cell r="H9">
            <v>5585</v>
          </cell>
          <cell r="I9">
            <v>1649</v>
          </cell>
          <cell r="J9">
            <v>0.29525514771709938</v>
          </cell>
          <cell r="L9">
            <v>5711</v>
          </cell>
          <cell r="M9">
            <v>1824</v>
          </cell>
          <cell r="N9">
            <v>0.31938364559621785</v>
          </cell>
          <cell r="P9">
            <v>6084.17</v>
          </cell>
          <cell r="Q9">
            <v>1763</v>
          </cell>
          <cell r="R9">
            <v>0.2898</v>
          </cell>
          <cell r="T9">
            <v>6407.4490000000005</v>
          </cell>
          <cell r="U9">
            <v>1821</v>
          </cell>
          <cell r="V9">
            <v>0.28420000000000001</v>
          </cell>
          <cell r="X9">
            <v>6612.6292077999997</v>
          </cell>
          <cell r="Y9">
            <v>1924</v>
          </cell>
          <cell r="Z9">
            <v>0.29099999999999998</v>
          </cell>
          <cell r="AB9">
            <v>6829.8554406140011</v>
          </cell>
          <cell r="AC9">
            <v>2049</v>
          </cell>
          <cell r="AD9">
            <v>0.3</v>
          </cell>
          <cell r="AF9">
            <v>7059.7200495455809</v>
          </cell>
          <cell r="AG9">
            <v>2222</v>
          </cell>
          <cell r="AH9">
            <v>0.31480000000000002</v>
          </cell>
          <cell r="AJ9" t="e">
            <v>#REF!</v>
          </cell>
          <cell r="AK9" t="e">
            <v>#REF!</v>
          </cell>
          <cell r="AL9">
            <v>0.22</v>
          </cell>
        </row>
        <row r="11">
          <cell r="A11" t="str">
            <v>Imaging Solutions</v>
          </cell>
          <cell r="D11">
            <v>907</v>
          </cell>
          <cell r="E11">
            <v>234</v>
          </cell>
          <cell r="F11">
            <v>0.2579933847850055</v>
          </cell>
          <cell r="H11">
            <v>938</v>
          </cell>
          <cell r="I11">
            <v>223</v>
          </cell>
          <cell r="J11">
            <v>0.23773987206823027</v>
          </cell>
          <cell r="L11">
            <v>870</v>
          </cell>
          <cell r="M11">
            <v>123</v>
          </cell>
          <cell r="N11">
            <v>0.14137931034482759</v>
          </cell>
          <cell r="P11">
            <v>964.88199999999995</v>
          </cell>
          <cell r="Q11">
            <v>135</v>
          </cell>
          <cell r="R11">
            <v>0.14000000000000001</v>
          </cell>
          <cell r="T11">
            <v>1055.875</v>
          </cell>
          <cell r="U11">
            <v>148</v>
          </cell>
          <cell r="V11">
            <v>0.14000000000000001</v>
          </cell>
          <cell r="X11">
            <v>1121.492107</v>
          </cell>
          <cell r="Y11">
            <v>159</v>
          </cell>
          <cell r="Z11">
            <v>0.14199999999999999</v>
          </cell>
          <cell r="AB11">
            <v>1189.6880422700001</v>
          </cell>
          <cell r="AC11">
            <v>178</v>
          </cell>
          <cell r="AD11">
            <v>0.15</v>
          </cell>
          <cell r="AF11">
            <v>1264.2640383127002</v>
          </cell>
          <cell r="AG11">
            <v>196</v>
          </cell>
          <cell r="AH11">
            <v>0.155</v>
          </cell>
          <cell r="AJ11" t="e">
            <v>#REF!</v>
          </cell>
          <cell r="AK11" t="e">
            <v>#REF!</v>
          </cell>
          <cell r="AL11">
            <v>0.2364</v>
          </cell>
        </row>
        <row r="13">
          <cell r="A13" t="str">
            <v>Pharma Products</v>
          </cell>
          <cell r="D13">
            <v>1073</v>
          </cell>
          <cell r="E13">
            <v>268</v>
          </cell>
          <cell r="F13">
            <v>0.24976700838769805</v>
          </cell>
          <cell r="H13">
            <v>1156</v>
          </cell>
          <cell r="I13">
            <v>310</v>
          </cell>
          <cell r="J13">
            <v>0.26816608996539792</v>
          </cell>
          <cell r="L13">
            <v>1219</v>
          </cell>
          <cell r="M13">
            <v>300</v>
          </cell>
          <cell r="N13">
            <v>0.24610336341263331</v>
          </cell>
          <cell r="P13">
            <v>1330.5</v>
          </cell>
          <cell r="Q13">
            <v>319.32</v>
          </cell>
          <cell r="R13">
            <v>0.24</v>
          </cell>
          <cell r="T13">
            <v>1424.3</v>
          </cell>
          <cell r="U13">
            <v>334.71049999999997</v>
          </cell>
          <cell r="V13">
            <v>0.23499999999999999</v>
          </cell>
          <cell r="X13">
            <v>1501.3563342000002</v>
          </cell>
          <cell r="Y13">
            <v>360.32552020800006</v>
          </cell>
          <cell r="Z13">
            <v>0.24</v>
          </cell>
          <cell r="AB13">
            <v>1583.6152735860005</v>
          </cell>
          <cell r="AC13">
            <v>395.90381839650013</v>
          </cell>
          <cell r="AD13">
            <v>0.25</v>
          </cell>
          <cell r="AF13">
            <v>1671.0316931383804</v>
          </cell>
          <cell r="AG13">
            <v>426.11308175028699</v>
          </cell>
          <cell r="AH13">
            <v>0.255</v>
          </cell>
        </row>
        <row r="15">
          <cell r="A15" t="str">
            <v>Medical Supplies</v>
          </cell>
          <cell r="D15">
            <v>1050</v>
          </cell>
          <cell r="E15">
            <v>202</v>
          </cell>
          <cell r="F15">
            <v>0.19238095238095237</v>
          </cell>
          <cell r="H15">
            <v>1026</v>
          </cell>
          <cell r="I15">
            <v>174</v>
          </cell>
          <cell r="J15">
            <v>0.16959064327485379</v>
          </cell>
          <cell r="L15">
            <v>992</v>
          </cell>
          <cell r="M15">
            <v>143</v>
          </cell>
          <cell r="N15">
            <v>0.14415322580645162</v>
          </cell>
          <cell r="P15">
            <v>985.66</v>
          </cell>
          <cell r="Q15">
            <v>137.9924</v>
          </cell>
          <cell r="R15">
            <v>0.14000000000000001</v>
          </cell>
          <cell r="T15">
            <v>989.68499999999995</v>
          </cell>
          <cell r="U15">
            <v>138.55590000000001</v>
          </cell>
          <cell r="V15">
            <v>0.14000000000000001</v>
          </cell>
          <cell r="X15">
            <v>993.293182</v>
          </cell>
          <cell r="Y15">
            <v>139.06104548000002</v>
          </cell>
          <cell r="Z15">
            <v>0.14000000000000001</v>
          </cell>
          <cell r="AB15">
            <v>997.20935670000006</v>
          </cell>
          <cell r="AC15">
            <v>144.5953567215</v>
          </cell>
          <cell r="AD15">
            <v>0.14499999999999999</v>
          </cell>
          <cell r="AF15">
            <v>1001.1935580045999</v>
          </cell>
          <cell r="AG15">
            <v>150.17903370068998</v>
          </cell>
          <cell r="AH15">
            <v>0.15</v>
          </cell>
        </row>
        <row r="17">
          <cell r="A17" t="str">
            <v>Retail Products</v>
          </cell>
          <cell r="D17">
            <v>912</v>
          </cell>
          <cell r="E17">
            <v>193</v>
          </cell>
          <cell r="F17">
            <v>0.21162280701754385</v>
          </cell>
          <cell r="H17">
            <v>830</v>
          </cell>
          <cell r="I17">
            <v>84</v>
          </cell>
          <cell r="J17">
            <v>0.10120481927710843</v>
          </cell>
          <cell r="L17">
            <v>855</v>
          </cell>
          <cell r="M17">
            <v>44</v>
          </cell>
          <cell r="N17">
            <v>5.146198830409357E-2</v>
          </cell>
          <cell r="P17">
            <v>778.56</v>
          </cell>
          <cell r="Q17">
            <v>54.499200000000002</v>
          </cell>
          <cell r="R17">
            <v>7.0000000000000007E-2</v>
          </cell>
          <cell r="T17">
            <v>736.48</v>
          </cell>
          <cell r="U17">
            <v>51.553600000000003</v>
          </cell>
          <cell r="V17">
            <v>7.0000000000000007E-2</v>
          </cell>
          <cell r="X17">
            <v>706.21030199999996</v>
          </cell>
          <cell r="Y17">
            <v>49.434721140000001</v>
          </cell>
          <cell r="Z17">
            <v>7.0000000000000007E-2</v>
          </cell>
          <cell r="AB17">
            <v>677.82422933999999</v>
          </cell>
          <cell r="AC17">
            <v>47.447696053800001</v>
          </cell>
          <cell r="AD17">
            <v>7.0000000000000007E-2</v>
          </cell>
          <cell r="AF17">
            <v>672.44638204659987</v>
          </cell>
          <cell r="AG17">
            <v>47.071246743261995</v>
          </cell>
          <cell r="AH17">
            <v>7.0000000000000007E-2</v>
          </cell>
        </row>
        <row r="19">
          <cell r="A19" t="str">
            <v xml:space="preserve"> Total</v>
          </cell>
          <cell r="D19">
            <v>9109</v>
          </cell>
          <cell r="E19">
            <v>2563</v>
          </cell>
          <cell r="F19">
            <v>0.28137007355362825</v>
          </cell>
          <cell r="H19">
            <v>9535</v>
          </cell>
          <cell r="I19">
            <v>2440</v>
          </cell>
          <cell r="J19">
            <v>0.25589931830099633</v>
          </cell>
          <cell r="L19">
            <v>9647</v>
          </cell>
          <cell r="M19">
            <v>2434</v>
          </cell>
          <cell r="N19">
            <v>0.25230641650253965</v>
          </cell>
          <cell r="P19">
            <v>10143.771999999999</v>
          </cell>
          <cell r="Q19">
            <v>2409.8116000000005</v>
          </cell>
          <cell r="R19">
            <v>0.23756563140417594</v>
          </cell>
          <cell r="T19">
            <v>10613.788999999999</v>
          </cell>
          <cell r="U19">
            <v>2493.8200000000002</v>
          </cell>
          <cell r="V19">
            <v>0.23496038973452368</v>
          </cell>
          <cell r="X19">
            <v>10934.981132999999</v>
          </cell>
          <cell r="Y19">
            <v>2631.8212868279998</v>
          </cell>
          <cell r="Z19">
            <v>0.24067908804027013</v>
          </cell>
          <cell r="AB19">
            <v>11278.192342510001</v>
          </cell>
          <cell r="AC19">
            <v>2814.9468711718005</v>
          </cell>
          <cell r="AD19">
            <v>0.24959202553778437</v>
          </cell>
          <cell r="AF19">
            <v>11668.65572104786</v>
          </cell>
          <cell r="AG19">
            <v>3041.363362194239</v>
          </cell>
          <cell r="AH19">
            <v>0.26064385092005443</v>
          </cell>
          <cell r="AJ19" t="e">
            <v>#REF!</v>
          </cell>
          <cell r="AK19" t="e">
            <v>#REF!</v>
          </cell>
          <cell r="AL19" t="e">
            <v>#REF!</v>
          </cell>
        </row>
        <row r="21">
          <cell r="A21" t="str">
            <v>Corp Exp.</v>
          </cell>
          <cell r="D21" t="str">
            <v xml:space="preserve">     --</v>
          </cell>
          <cell r="E21">
            <v>-301</v>
          </cell>
          <cell r="F21">
            <v>-3.3044241958502578E-2</v>
          </cell>
          <cell r="H21" t="str">
            <v xml:space="preserve">     --</v>
          </cell>
          <cell r="I21">
            <v>-302</v>
          </cell>
          <cell r="J21">
            <v>-3.167278447823807E-2</v>
          </cell>
          <cell r="L21" t="str">
            <v xml:space="preserve">     --</v>
          </cell>
          <cell r="M21">
            <v>-306</v>
          </cell>
          <cell r="N21">
            <v>-3.1719705607961023E-2</v>
          </cell>
          <cell r="P21" t="str">
            <v xml:space="preserve">     --</v>
          </cell>
          <cell r="Q21">
            <v>-382.5</v>
          </cell>
          <cell r="R21">
            <v>-3.7707866462298248E-2</v>
          </cell>
          <cell r="T21" t="str">
            <v xml:space="preserve">     --</v>
          </cell>
          <cell r="U21">
            <v>-420.75</v>
          </cell>
          <cell r="V21">
            <v>-3.9641828191610003E-2</v>
          </cell>
          <cell r="X21" t="str">
            <v xml:space="preserve">     --</v>
          </cell>
          <cell r="Y21">
            <v>-441.78750000000002</v>
          </cell>
          <cell r="Z21">
            <v>-4.0401304275391667E-2</v>
          </cell>
          <cell r="AB21" t="str">
            <v xml:space="preserve">     --</v>
          </cell>
          <cell r="AC21">
            <v>-461.66793750000005</v>
          </cell>
          <cell r="AD21">
            <v>-4.0934568544275615E-2</v>
          </cell>
          <cell r="AF21" t="str">
            <v xml:space="preserve">     --</v>
          </cell>
          <cell r="AG21">
            <v>-475.51797562500008</v>
          </cell>
          <cell r="AH21">
            <v>-4.0751735846252045E-2</v>
          </cell>
          <cell r="AJ21" t="str">
            <v xml:space="preserve">     --</v>
          </cell>
          <cell r="AK21">
            <v>-489.78351489375007</v>
          </cell>
          <cell r="AL21" t="e">
            <v>#REF!</v>
          </cell>
        </row>
        <row r="22">
          <cell r="A22" t="str">
            <v>Net Interest</v>
          </cell>
          <cell r="D22" t="str">
            <v xml:space="preserve">     --</v>
          </cell>
          <cell r="E22">
            <v>-203</v>
          </cell>
          <cell r="F22">
            <v>-2.2285651553408718E-2</v>
          </cell>
          <cell r="H22" t="str">
            <v xml:space="preserve">     --</v>
          </cell>
          <cell r="I22">
            <v>-166</v>
          </cell>
          <cell r="J22">
            <v>-1.740954378605139E-2</v>
          </cell>
          <cell r="L22" t="str">
            <v xml:space="preserve">     --</v>
          </cell>
          <cell r="M22">
            <v>-139</v>
          </cell>
          <cell r="N22">
            <v>-1.4408624442831969E-2</v>
          </cell>
          <cell r="P22" t="str">
            <v xml:space="preserve">     --</v>
          </cell>
          <cell r="Q22">
            <v>-167.48066668896431</v>
          </cell>
          <cell r="R22">
            <v>-1.6510689188298427E-2</v>
          </cell>
          <cell r="T22" t="str">
            <v xml:space="preserve">     --</v>
          </cell>
          <cell r="U22">
            <v>-208.85833949511016</v>
          </cell>
          <cell r="V22">
            <v>-1.9678018801307449E-2</v>
          </cell>
          <cell r="X22" t="str">
            <v xml:space="preserve">     --</v>
          </cell>
          <cell r="Y22">
            <v>-161.85356002128907</v>
          </cell>
          <cell r="Z22">
            <v>-1.480144849384708E-2</v>
          </cell>
          <cell r="AB22" t="str">
            <v xml:space="preserve">     --</v>
          </cell>
          <cell r="AC22">
            <v>-107.86961385533124</v>
          </cell>
          <cell r="AD22">
            <v>-9.5644417633087182E-3</v>
          </cell>
          <cell r="AF22" t="str">
            <v xml:space="preserve">     --</v>
          </cell>
          <cell r="AG22">
            <v>-44.757989671304159</v>
          </cell>
          <cell r="AH22">
            <v>-3.8357451570509471E-3</v>
          </cell>
          <cell r="AJ22" t="str">
            <v xml:space="preserve">     --</v>
          </cell>
          <cell r="AK22">
            <v>147.66985546260599</v>
          </cell>
          <cell r="AL22" t="e">
            <v>#REF!</v>
          </cell>
        </row>
        <row r="24">
          <cell r="A24" t="str">
            <v xml:space="preserve"> Net Other</v>
          </cell>
          <cell r="D24" t="str">
            <v xml:space="preserve">     --</v>
          </cell>
          <cell r="E24">
            <v>-504</v>
          </cell>
          <cell r="F24">
            <v>-5.5329893511911296E-2</v>
          </cell>
          <cell r="H24" t="str">
            <v xml:space="preserve">     --</v>
          </cell>
          <cell r="I24">
            <v>-468</v>
          </cell>
          <cell r="J24">
            <v>-4.908232826428946E-2</v>
          </cell>
          <cell r="L24" t="str">
            <v xml:space="preserve">     --</v>
          </cell>
          <cell r="M24">
            <v>-445</v>
          </cell>
          <cell r="N24">
            <v>-4.612833005079299E-2</v>
          </cell>
          <cell r="P24" t="str">
            <v xml:space="preserve">     --</v>
          </cell>
          <cell r="Q24">
            <v>-549.98066668896433</v>
          </cell>
          <cell r="R24">
            <v>-5.4218555650596682E-2</v>
          </cell>
          <cell r="T24" t="str">
            <v xml:space="preserve">     --</v>
          </cell>
          <cell r="U24">
            <v>-629.60833949511016</v>
          </cell>
          <cell r="V24">
            <v>-5.9319846992917445E-2</v>
          </cell>
          <cell r="X24" t="str">
            <v xml:space="preserve">     --</v>
          </cell>
          <cell r="Y24">
            <v>-603.64106002128915</v>
          </cell>
          <cell r="Z24">
            <v>-5.5202752769238743E-2</v>
          </cell>
          <cell r="AB24" t="str">
            <v xml:space="preserve">     --</v>
          </cell>
          <cell r="AC24">
            <v>-569.53755135533129</v>
          </cell>
          <cell r="AD24">
            <v>-5.0499010307584337E-2</v>
          </cell>
          <cell r="AF24" t="str">
            <v xml:space="preserve">     --</v>
          </cell>
          <cell r="AG24">
            <v>-520.27596529630421</v>
          </cell>
          <cell r="AH24">
            <v>-4.4587481003302988E-2</v>
          </cell>
          <cell r="AJ24" t="str">
            <v xml:space="preserve">     --</v>
          </cell>
          <cell r="AK24">
            <v>-342.11365943114407</v>
          </cell>
          <cell r="AL24" t="e">
            <v>#REF!</v>
          </cell>
        </row>
        <row r="26">
          <cell r="A26" t="str">
            <v>Pretax Inc.</v>
          </cell>
          <cell r="D26" t="str">
            <v xml:space="preserve">     --</v>
          </cell>
          <cell r="E26">
            <v>2059</v>
          </cell>
          <cell r="F26">
            <v>0.22604018004171697</v>
          </cell>
          <cell r="H26" t="str">
            <v xml:space="preserve">     --</v>
          </cell>
          <cell r="I26">
            <v>1972</v>
          </cell>
          <cell r="J26">
            <v>0.20681699003670687</v>
          </cell>
          <cell r="L26" t="str">
            <v xml:space="preserve">     --</v>
          </cell>
          <cell r="M26">
            <v>1989</v>
          </cell>
          <cell r="N26">
            <v>0.20617808645174665</v>
          </cell>
          <cell r="P26" t="str">
            <v xml:space="preserve">     --</v>
          </cell>
          <cell r="Q26">
            <v>1859.830933311036</v>
          </cell>
          <cell r="R26">
            <v>0.18334707575357925</v>
          </cell>
          <cell r="T26" t="str">
            <v xml:space="preserve">     --</v>
          </cell>
          <cell r="U26">
            <v>1864.21166050489</v>
          </cell>
          <cell r="V26">
            <v>0.17564054274160623</v>
          </cell>
          <cell r="X26" t="str">
            <v xml:space="preserve">     --</v>
          </cell>
          <cell r="Y26">
            <v>2028.1802268067106</v>
          </cell>
          <cell r="Z26">
            <v>0.18547633527103138</v>
          </cell>
          <cell r="AB26" t="str">
            <v xml:space="preserve">     --</v>
          </cell>
          <cell r="AC26">
            <v>2245.4093198164692</v>
          </cell>
          <cell r="AD26">
            <v>0.19909301523020004</v>
          </cell>
          <cell r="AF26" t="str">
            <v xml:space="preserve">     --</v>
          </cell>
          <cell r="AG26">
            <v>2521.0873968979349</v>
          </cell>
          <cell r="AH26">
            <v>0.21605636991675148</v>
          </cell>
          <cell r="AJ26" t="str">
            <v xml:space="preserve">     --</v>
          </cell>
          <cell r="AK26" t="e">
            <v>#REF!</v>
          </cell>
          <cell r="AL26" t="e">
            <v>#REF!</v>
          </cell>
        </row>
        <row r="27">
          <cell r="A27" t="str">
            <v>Pretax (Check)</v>
          </cell>
          <cell r="E27">
            <v>2022</v>
          </cell>
          <cell r="I27">
            <v>2006</v>
          </cell>
          <cell r="M27">
            <v>1989</v>
          </cell>
          <cell r="Q27">
            <v>1859.5193333110356</v>
          </cell>
          <cell r="U27">
            <v>0</v>
          </cell>
          <cell r="Y27">
            <v>2027.4956829787097</v>
          </cell>
          <cell r="AC27">
            <v>2246.0317402546707</v>
          </cell>
          <cell r="AG27">
            <v>2521.5142528411575</v>
          </cell>
          <cell r="AK27">
            <v>2884.4396730209892</v>
          </cell>
        </row>
        <row r="29">
          <cell r="A29" t="str">
            <v>Taxes (Rate)</v>
          </cell>
          <cell r="D29" t="str">
            <v xml:space="preserve">     --</v>
          </cell>
          <cell r="E29">
            <v>602</v>
          </cell>
          <cell r="F29">
            <v>0.29240850642927796</v>
          </cell>
          <cell r="H29" t="str">
            <v xml:space="preserve">     --</v>
          </cell>
          <cell r="I29">
            <v>590</v>
          </cell>
          <cell r="J29">
            <v>0.29922731804586239</v>
          </cell>
          <cell r="L29" t="str">
            <v xml:space="preserve">     --</v>
          </cell>
          <cell r="M29">
            <v>494</v>
          </cell>
          <cell r="N29">
            <v>0.24836601307189543</v>
          </cell>
          <cell r="P29" t="str">
            <v xml:space="preserve">     --</v>
          </cell>
          <cell r="Q29">
            <v>484</v>
          </cell>
          <cell r="R29">
            <v>0.26013673211219851</v>
          </cell>
          <cell r="T29" t="str">
            <v xml:space="preserve">     --</v>
          </cell>
          <cell r="U29">
            <v>588</v>
          </cell>
          <cell r="V29">
            <v>0.31550192672148886</v>
          </cell>
          <cell r="X29" t="str">
            <v xml:space="preserve">     --</v>
          </cell>
          <cell r="Y29">
            <v>588</v>
          </cell>
          <cell r="Z29">
            <v>0.28999999999999998</v>
          </cell>
          <cell r="AB29" t="str">
            <v xml:space="preserve">     --</v>
          </cell>
          <cell r="AC29">
            <v>629</v>
          </cell>
          <cell r="AD29">
            <v>0.28000000000000003</v>
          </cell>
          <cell r="AF29" t="str">
            <v xml:space="preserve">     --</v>
          </cell>
          <cell r="AG29">
            <v>655</v>
          </cell>
          <cell r="AH29">
            <v>0.26</v>
          </cell>
          <cell r="AJ29" t="str">
            <v xml:space="preserve">     --</v>
          </cell>
          <cell r="AK29" t="e">
            <v>#REF!</v>
          </cell>
          <cell r="AL29">
            <v>0.26</v>
          </cell>
        </row>
        <row r="31">
          <cell r="A31" t="str">
            <v>Net Income</v>
          </cell>
          <cell r="D31" t="str">
            <v xml:space="preserve">     --</v>
          </cell>
          <cell r="E31">
            <v>1457</v>
          </cell>
          <cell r="F31">
            <v>0.15995169612471183</v>
          </cell>
          <cell r="H31" t="str">
            <v xml:space="preserve">     --</v>
          </cell>
          <cell r="I31">
            <v>1382</v>
          </cell>
          <cell r="J31">
            <v>0.1449396958573676</v>
          </cell>
          <cell r="L31" t="str">
            <v xml:space="preserve">     --</v>
          </cell>
          <cell r="M31">
            <v>1495</v>
          </cell>
          <cell r="N31">
            <v>0.15497045713693375</v>
          </cell>
          <cell r="P31" t="str">
            <v xml:space="preserve">     --</v>
          </cell>
          <cell r="Q31">
            <v>1375.830933311036</v>
          </cell>
          <cell r="R31">
            <v>0.13563306956337703</v>
          </cell>
          <cell r="T31" t="str">
            <v xml:space="preserve">     --</v>
          </cell>
          <cell r="U31">
            <v>1276.21166050489</v>
          </cell>
          <cell r="V31">
            <v>0.12024091118684291</v>
          </cell>
          <cell r="X31" t="str">
            <v xml:space="preserve">     --</v>
          </cell>
          <cell r="Y31">
            <v>1440.1802268067106</v>
          </cell>
          <cell r="Z31">
            <v>0.13170395168405735</v>
          </cell>
          <cell r="AB31" t="str">
            <v xml:space="preserve">     --</v>
          </cell>
          <cell r="AC31">
            <v>1616.4093198164692</v>
          </cell>
          <cell r="AD31">
            <v>0.14332166633866184</v>
          </cell>
          <cell r="AF31" t="str">
            <v xml:space="preserve">     --</v>
          </cell>
          <cell r="AG31">
            <v>1866.0873968979349</v>
          </cell>
          <cell r="AH31">
            <v>0.15992308295906754</v>
          </cell>
          <cell r="AJ31" t="str">
            <v xml:space="preserve">     --</v>
          </cell>
          <cell r="AK31" t="e">
            <v>#REF!</v>
          </cell>
          <cell r="AL31" t="e">
            <v>#REF!</v>
          </cell>
        </row>
        <row r="32">
          <cell r="E32">
            <v>1457</v>
          </cell>
          <cell r="I32">
            <v>1382</v>
          </cell>
          <cell r="M32">
            <v>1495</v>
          </cell>
          <cell r="Q32">
            <v>1375.7900506440487</v>
          </cell>
          <cell r="U32">
            <v>1276.3566294338334</v>
          </cell>
          <cell r="Y32">
            <v>1439.5219349148838</v>
          </cell>
          <cell r="AC32">
            <v>1617.1428529833629</v>
          </cell>
          <cell r="AG32">
            <v>1865.9205471024566</v>
          </cell>
          <cell r="AK32">
            <v>2145.8086291678251</v>
          </cell>
        </row>
        <row r="34">
          <cell r="A34" t="str">
            <v>Adj. Net Income</v>
          </cell>
          <cell r="D34" t="str">
            <v xml:space="preserve">     --</v>
          </cell>
          <cell r="E34">
            <v>1457</v>
          </cell>
          <cell r="F34">
            <v>0.15995169612471183</v>
          </cell>
          <cell r="H34" t="str">
            <v xml:space="preserve">     --</v>
          </cell>
          <cell r="I34">
            <v>1382</v>
          </cell>
          <cell r="J34">
            <v>0.1449396958573676</v>
          </cell>
          <cell r="L34" t="str">
            <v xml:space="preserve">     --</v>
          </cell>
          <cell r="M34">
            <v>1495</v>
          </cell>
          <cell r="N34">
            <v>0.15497045713693375</v>
          </cell>
          <cell r="P34" t="str">
            <v xml:space="preserve">     --</v>
          </cell>
          <cell r="Q34">
            <v>1375.7900506440487</v>
          </cell>
          <cell r="R34">
            <v>0.13562903924142311</v>
          </cell>
          <cell r="T34" t="str">
            <v xml:space="preserve">     --</v>
          </cell>
          <cell r="U34">
            <v>1276.3566294338334</v>
          </cell>
          <cell r="V34">
            <v>0.12025456973318704</v>
          </cell>
          <cell r="X34" t="str">
            <v xml:space="preserve">     --</v>
          </cell>
          <cell r="Y34">
            <v>1439.5219349148838</v>
          </cell>
          <cell r="Z34">
            <v>0.13164375113283369</v>
          </cell>
          <cell r="AB34" t="str">
            <v xml:space="preserve">     --</v>
          </cell>
          <cell r="AC34">
            <v>1617.1428529833629</v>
          </cell>
          <cell r="AD34">
            <v>0.14338670629760356</v>
          </cell>
          <cell r="AF34" t="str">
            <v xml:space="preserve">     --</v>
          </cell>
          <cell r="AG34">
            <v>1865.9205471024566</v>
          </cell>
          <cell r="AH34">
            <v>0.15990878398586383</v>
          </cell>
          <cell r="AJ34" t="str">
            <v xml:space="preserve">     --</v>
          </cell>
          <cell r="AK34" t="e">
            <v>#REF!</v>
          </cell>
          <cell r="AL34" t="e">
            <v>#REF!</v>
          </cell>
        </row>
        <row r="35">
          <cell r="A35" t="str">
            <v>(incl. After-tax int from convert)</v>
          </cell>
        </row>
        <row r="36">
          <cell r="A36" t="str">
            <v>Diluted Shares Out</v>
          </cell>
          <cell r="D36" t="str">
            <v xml:space="preserve">     --</v>
          </cell>
          <cell r="E36" t="str">
            <v>NM</v>
          </cell>
          <cell r="F36" t="str">
            <v xml:space="preserve">     --</v>
          </cell>
          <cell r="H36" t="str">
            <v xml:space="preserve">     --</v>
          </cell>
          <cell r="I36" t="str">
            <v>NM</v>
          </cell>
          <cell r="J36" t="str">
            <v xml:space="preserve">     --</v>
          </cell>
          <cell r="L36" t="str">
            <v xml:space="preserve">     --</v>
          </cell>
          <cell r="M36">
            <v>507</v>
          </cell>
          <cell r="N36" t="str">
            <v xml:space="preserve">     --</v>
          </cell>
          <cell r="P36" t="str">
            <v xml:space="preserve">     --</v>
          </cell>
          <cell r="Q36">
            <v>500</v>
          </cell>
          <cell r="R36" t="str">
            <v xml:space="preserve">     --</v>
          </cell>
          <cell r="T36" t="str">
            <v xml:space="preserve">     --</v>
          </cell>
          <cell r="U36">
            <v>500</v>
          </cell>
          <cell r="V36" t="str">
            <v xml:space="preserve">     --</v>
          </cell>
          <cell r="X36" t="str">
            <v xml:space="preserve">     --</v>
          </cell>
          <cell r="Y36">
            <v>500</v>
          </cell>
          <cell r="Z36" t="str">
            <v xml:space="preserve">     --</v>
          </cell>
          <cell r="AB36" t="str">
            <v xml:space="preserve">     --</v>
          </cell>
          <cell r="AC36">
            <v>500</v>
          </cell>
          <cell r="AD36" t="str">
            <v xml:space="preserve">     --</v>
          </cell>
          <cell r="AF36" t="str">
            <v xml:space="preserve">     --</v>
          </cell>
          <cell r="AG36">
            <v>500</v>
          </cell>
          <cell r="AH36" t="str">
            <v xml:space="preserve">     --</v>
          </cell>
          <cell r="AJ36" t="str">
            <v xml:space="preserve">     --</v>
          </cell>
          <cell r="AK36">
            <v>500</v>
          </cell>
          <cell r="AL36" t="str">
            <v xml:space="preserve">     --</v>
          </cell>
        </row>
        <row r="37">
          <cell r="F37" t="str">
            <v xml:space="preserve"> </v>
          </cell>
          <cell r="J37" t="str">
            <v xml:space="preserve"> </v>
          </cell>
          <cell r="N37" t="str">
            <v xml:space="preserve"> </v>
          </cell>
          <cell r="R37" t="str">
            <v xml:space="preserve"> </v>
          </cell>
          <cell r="V37" t="str">
            <v xml:space="preserve"> </v>
          </cell>
          <cell r="Z37" t="str">
            <v xml:space="preserve"> </v>
          </cell>
          <cell r="AD37" t="str">
            <v xml:space="preserve"> </v>
          </cell>
          <cell r="AH37" t="str">
            <v xml:space="preserve"> </v>
          </cell>
          <cell r="AL37" t="str">
            <v xml:space="preserve"> </v>
          </cell>
        </row>
        <row r="38">
          <cell r="A38" t="str">
            <v xml:space="preserve">EPS </v>
          </cell>
          <cell r="D38" t="str">
            <v xml:space="preserve">     --</v>
          </cell>
          <cell r="E38" t="str">
            <v>NM</v>
          </cell>
          <cell r="F38" t="str">
            <v xml:space="preserve">     --</v>
          </cell>
          <cell r="H38" t="str">
            <v xml:space="preserve">     --</v>
          </cell>
          <cell r="I38" t="str">
            <v>NM</v>
          </cell>
          <cell r="J38" t="str">
            <v xml:space="preserve">     --</v>
          </cell>
          <cell r="L38" t="str">
            <v xml:space="preserve">     --</v>
          </cell>
          <cell r="M38">
            <v>2.9487179487179489</v>
          </cell>
          <cell r="N38" t="str">
            <v xml:space="preserve">     --</v>
          </cell>
          <cell r="P38" t="str">
            <v xml:space="preserve">     --</v>
          </cell>
          <cell r="Q38">
            <v>2.7516618666220718</v>
          </cell>
          <cell r="R38" t="str">
            <v xml:space="preserve">     --</v>
          </cell>
          <cell r="T38" t="str">
            <v xml:space="preserve">     --</v>
          </cell>
          <cell r="U38">
            <v>2.5524233210097802</v>
          </cell>
          <cell r="V38" t="str">
            <v xml:space="preserve">     --</v>
          </cell>
          <cell r="X38" t="str">
            <v xml:space="preserve">     --</v>
          </cell>
          <cell r="Y38">
            <v>2.8803604536134211</v>
          </cell>
          <cell r="Z38" t="str">
            <v xml:space="preserve">     --</v>
          </cell>
          <cell r="AB38" t="str">
            <v xml:space="preserve">     --</v>
          </cell>
          <cell r="AC38">
            <v>3.2328186396329381</v>
          </cell>
          <cell r="AD38" t="str">
            <v xml:space="preserve">     --</v>
          </cell>
          <cell r="AF38" t="str">
            <v xml:space="preserve">     --</v>
          </cell>
          <cell r="AG38">
            <v>3.73217479379587</v>
          </cell>
          <cell r="AH38" t="str">
            <v xml:space="preserve">     --</v>
          </cell>
          <cell r="AJ38" t="str">
            <v xml:space="preserve">     --</v>
          </cell>
          <cell r="AK38" t="e">
            <v>#REF!</v>
          </cell>
          <cell r="AL38" t="str">
            <v xml:space="preserve">     --</v>
          </cell>
        </row>
        <row r="39">
          <cell r="A39" t="str">
            <v>EPS Check</v>
          </cell>
          <cell r="E39" t="str">
            <v>NM</v>
          </cell>
          <cell r="I39" t="str">
            <v>NM</v>
          </cell>
          <cell r="M39">
            <v>2.9487179487179489</v>
          </cell>
          <cell r="Q39">
            <v>2.7515801012880976</v>
          </cell>
          <cell r="U39">
            <v>2.5527132588676666</v>
          </cell>
          <cell r="Y39">
            <v>2.8790438698297676</v>
          </cell>
          <cell r="AC39">
            <v>3.2342857059667258</v>
          </cell>
          <cell r="AG39">
            <v>3.7318410942049129</v>
          </cell>
          <cell r="AK39">
            <v>4.2916172583356502</v>
          </cell>
        </row>
        <row r="40">
          <cell r="A40" t="str">
            <v>Less Spec. Items</v>
          </cell>
        </row>
        <row r="42">
          <cell r="A42" t="str">
            <v xml:space="preserve">E = Morgan Stanley Research Estimates       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/>
      <sheetData sheetId="18"/>
      <sheetData sheetId="19"/>
      <sheetData sheetId="2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4"/>
      <sheetName val="2005"/>
      <sheetName val="2006"/>
      <sheetName val="2007"/>
      <sheetName val="2004Chart"/>
      <sheetName val="2005Chart"/>
      <sheetName val="2006Chart"/>
      <sheetName val="2007Chart"/>
      <sheetName val="AVGChart"/>
      <sheetName val="HiLowChart"/>
      <sheetName val="WLPPHistoryChart"/>
      <sheetName val="Variables"/>
      <sheetName val="O&amp;VBac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B1" t="b">
            <v>0</v>
          </cell>
        </row>
        <row r="2">
          <cell r="B2" t="b">
            <v>0</v>
          </cell>
        </row>
        <row r="3">
          <cell r="B3" t="str">
            <v>OfficeReady 3.0</v>
          </cell>
        </row>
        <row r="4">
          <cell r="B4">
            <v>1</v>
          </cell>
        </row>
      </sheetData>
      <sheetData sheetId="1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ile77763533"/>
      <sheetName val="SUMMARY"/>
      <sheetName val="BKLG"/>
      <sheetName val="#REF"/>
      <sheetName val="Q3FY02 Summary"/>
      <sheetName val="Rev_98"/>
      <sheetName val="Agent Name"/>
      <sheetName val="Q1FY03 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 Forma Assumptions"/>
      <sheetName val="ProForma"/>
      <sheetName val="Elizabeth"/>
      <sheetName val="Belinda"/>
      <sheetName val="Prices"/>
      <sheetName val="Clients L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5"/>
      <sheetName val="Inputs"/>
      <sheetName val="CRITERIA1"/>
      <sheetName val="v_headers"/>
    </sheetNames>
    <definedNames>
      <definedName name="ChangeRange"/>
      <definedName name="ContentsHelp"/>
      <definedName name="CreateTable"/>
      <definedName name="DeleteRange"/>
      <definedName name="DeleteTable"/>
      <definedName name="MerrillPrintIt"/>
      <definedName name="NewRange"/>
      <definedName name="RedefinePrintTableRange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ity-UPIS ADDITION"/>
      <sheetName val="Sensitivity template-Capital Ad"/>
      <sheetName val="fifo cost allocation gross"/>
    </sheetNames>
    <definedNames>
      <definedName name="Data.Top.Left"/>
    </definedNames>
    <sheetDataSet>
      <sheetData sheetId="0">
        <row r="507">
          <cell r="A507" t="str">
            <v>KY</v>
          </cell>
        </row>
      </sheetData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Historical"/>
      <sheetName val="ExecSummary"/>
      <sheetName val="StateSummary"/>
      <sheetName val="START"/>
      <sheetName val="1401-BFV"/>
      <sheetName val="END"/>
      <sheetName val="Migration Tool"/>
      <sheetName val="BaseModel"/>
      <sheetName val="Assumptions List"/>
      <sheetName val="CusCt NonSeasonal"/>
      <sheetName val="CusCt Seasonal"/>
      <sheetName val="Meter Counts"/>
      <sheetName val="Fixed Tariff"/>
      <sheetName val="Base Usage"/>
      <sheetName val="Seasonal Usage"/>
      <sheetName val="% Usage No Pay"/>
      <sheetName val="Usage Tariff"/>
      <sheetName val="DSIC Rate"/>
      <sheetName val="Fixed Surch %"/>
      <sheetName val="Vol Surch Rate"/>
      <sheetName val="Total Rev Surch Rate %"/>
      <sheetName val="Other Surch"/>
      <sheetName val="Pre-GRC OORs"/>
      <sheetName val="Rate Increase"/>
      <sheetName val="NRW"/>
      <sheetName val="Unbilled Days"/>
      <sheetName val="SV_Upload"/>
      <sheetName val="SV_Upload_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4">
          <cell r="E14" t="str">
            <v>Leap Year?</v>
          </cell>
        </row>
        <row r="16">
          <cell r="E16" t="str">
            <v>N</v>
          </cell>
        </row>
        <row r="17">
          <cell r="E17" t="str">
            <v>N</v>
          </cell>
        </row>
        <row r="18">
          <cell r="E18" t="str">
            <v>N</v>
          </cell>
        </row>
        <row r="19">
          <cell r="E19" t="str">
            <v>Y</v>
          </cell>
        </row>
        <row r="20">
          <cell r="E20" t="str">
            <v>N</v>
          </cell>
        </row>
        <row r="21">
          <cell r="E21" t="str">
            <v>N</v>
          </cell>
        </row>
        <row r="22">
          <cell r="E22" t="str">
            <v>Y</v>
          </cell>
        </row>
        <row r="36">
          <cell r="E36" t="str">
            <v>Cost Center to Load Dollars (with "E")</v>
          </cell>
        </row>
        <row r="37">
          <cell r="C37" t="str">
            <v>1401-BFV</v>
          </cell>
          <cell r="E37" t="str">
            <v>E140100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 t="e">
            <v>#NUM!</v>
          </cell>
        </row>
        <row r="31">
          <cell r="Q31">
            <v>-1.0881521731857982E-3</v>
          </cell>
        </row>
        <row r="32">
          <cell r="Q32" t="e">
            <v>#NUM!</v>
          </cell>
        </row>
        <row r="33">
          <cell r="Q33">
            <v>0.15949401564927332</v>
          </cell>
        </row>
        <row r="36">
          <cell r="Q36">
            <v>2.3009067315085396E-2</v>
          </cell>
        </row>
        <row r="37">
          <cell r="Q37">
            <v>3.0077591444833383E-2</v>
          </cell>
        </row>
        <row r="38">
          <cell r="Q38">
            <v>3.1971180357838476E-2</v>
          </cell>
        </row>
        <row r="41">
          <cell r="Q41">
            <v>-0.11771078289511054</v>
          </cell>
        </row>
        <row r="45">
          <cell r="Q45" t="e">
            <v>#NUM!</v>
          </cell>
        </row>
        <row r="46">
          <cell r="Q46" t="e">
            <v>#DIV/0!</v>
          </cell>
        </row>
        <row r="61">
          <cell r="D61">
            <v>149</v>
          </cell>
          <cell r="E61">
            <v>149</v>
          </cell>
        </row>
        <row r="62">
          <cell r="D62">
            <v>150</v>
          </cell>
          <cell r="E62">
            <v>150</v>
          </cell>
        </row>
      </sheetData>
      <sheetData sheetId="1">
        <row r="182">
          <cell r="C182">
            <v>-26.20464731719936</v>
          </cell>
          <cell r="D182">
            <v>-10.524675965855652</v>
          </cell>
          <cell r="E182">
            <v>2.1779991757852635</v>
          </cell>
          <cell r="F182">
            <v>1.834495392929238</v>
          </cell>
          <cell r="G182">
            <v>6.1887524986712581</v>
          </cell>
          <cell r="H182">
            <v>10.664329936052688</v>
          </cell>
          <cell r="I182">
            <v>10.756319327329575</v>
          </cell>
          <cell r="J182">
            <v>11.453194099059159</v>
          </cell>
          <cell r="K182">
            <v>12.78154772031864</v>
          </cell>
          <cell r="L182">
            <v>12.719882783654139</v>
          </cell>
        </row>
        <row r="273">
          <cell r="B273">
            <v>3.6664840227604143E-4</v>
          </cell>
          <cell r="C273">
            <v>3.2577372621744872E-9</v>
          </cell>
          <cell r="D273">
            <v>-5.7597305549442243E-2</v>
          </cell>
          <cell r="E273">
            <v>-4.4033552426224795E-2</v>
          </cell>
          <cell r="F273">
            <v>-5.477001618798448E-2</v>
          </cell>
          <cell r="G273">
            <v>6.9674880680124254</v>
          </cell>
          <cell r="H273">
            <v>-4.6575443976162756E-2</v>
          </cell>
          <cell r="I273">
            <v>-4.1863179578076393E-2</v>
          </cell>
          <cell r="J273">
            <v>0.21695712627144148</v>
          </cell>
          <cell r="K273">
            <v>-7.0755114316705114E-3</v>
          </cell>
          <cell r="L273">
            <v>-7.1144118017089086E-3</v>
          </cell>
        </row>
      </sheetData>
      <sheetData sheetId="2"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510">
          <cell r="C510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</row>
        <row r="532">
          <cell r="C532">
            <v>0</v>
          </cell>
        </row>
      </sheetData>
      <sheetData sheetId="3">
        <row r="182">
          <cell r="C182">
            <v>-26.20464731719936</v>
          </cell>
          <cell r="D182">
            <v>-10.524675965855652</v>
          </cell>
          <cell r="E182">
            <v>2.1779991757852635</v>
          </cell>
          <cell r="F182">
            <v>1.834495392929238</v>
          </cell>
          <cell r="G182">
            <v>6.1887524986712581</v>
          </cell>
          <cell r="H182">
            <v>10.664329936052688</v>
          </cell>
          <cell r="I182">
            <v>10.756319327329575</v>
          </cell>
          <cell r="J182">
            <v>11.453194099059159</v>
          </cell>
          <cell r="K182">
            <v>12.78154772031864</v>
          </cell>
          <cell r="L182">
            <v>12.719882783654139</v>
          </cell>
        </row>
        <row r="273">
          <cell r="B273">
            <v>3.6664840227604143E-4</v>
          </cell>
          <cell r="C273">
            <v>3.2577372621744872E-9</v>
          </cell>
          <cell r="D273">
            <v>-5.7597305549442243E-2</v>
          </cell>
          <cell r="E273">
            <v>-4.4033552426224795E-2</v>
          </cell>
          <cell r="F273">
            <v>-5.477001618798448E-2</v>
          </cell>
          <cell r="G273">
            <v>6.9674880680124254</v>
          </cell>
          <cell r="H273">
            <v>-4.6575443976162756E-2</v>
          </cell>
          <cell r="I273">
            <v>-4.1863179578076393E-2</v>
          </cell>
          <cell r="J273">
            <v>0.21695712627144148</v>
          </cell>
          <cell r="K273">
            <v>-7.0755114316705114E-3</v>
          </cell>
          <cell r="L273">
            <v>-7.1144118017089086E-3</v>
          </cell>
        </row>
        <row r="306">
          <cell r="B306">
            <v>-281.38404396676009</v>
          </cell>
          <cell r="C306">
            <v>-307.58869128395935</v>
          </cell>
          <cell r="D306">
            <v>-318.11336724981481</v>
          </cell>
          <cell r="E306">
            <v>-317.65584105709803</v>
          </cell>
          <cell r="F306">
            <v>-317.25889688005265</v>
          </cell>
          <cell r="G306">
            <v>-314.05248255813149</v>
          </cell>
          <cell r="H306">
            <v>-311.38222136823441</v>
          </cell>
          <cell r="I306">
            <v>-308.67764755506391</v>
          </cell>
          <cell r="J306">
            <v>-305.65850701550499</v>
          </cell>
          <cell r="K306">
            <v>-302.24950301276982</v>
          </cell>
          <cell r="L306">
            <v>-299.08159737307182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2">
          <cell r="B312">
            <v>448.26355031443211</v>
          </cell>
          <cell r="C312">
            <v>451.21597765097005</v>
          </cell>
          <cell r="D312">
            <v>443.89960954343258</v>
          </cell>
          <cell r="E312">
            <v>436.13839611687786</v>
          </cell>
          <cell r="F312">
            <v>428.59842806449331</v>
          </cell>
          <cell r="G312">
            <v>423.90828354028793</v>
          </cell>
          <cell r="H312">
            <v>402.33714513437394</v>
          </cell>
          <cell r="I312">
            <v>387.70093713242426</v>
          </cell>
          <cell r="J312">
            <v>374.36847426014043</v>
          </cell>
          <cell r="K312">
            <v>369.93092120673532</v>
          </cell>
          <cell r="L312">
            <v>366.15877945603256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35">
          <cell r="C335">
            <v>-4.7403335088347376E-6</v>
          </cell>
          <cell r="D335">
            <v>-4.7403336793649942E-6</v>
          </cell>
          <cell r="E335">
            <v>-4.7403341341123451E-6</v>
          </cell>
          <cell r="F335">
            <v>-4.7403342477991828E-6</v>
          </cell>
          <cell r="G335">
            <v>-4.7403343614860205E-6</v>
          </cell>
          <cell r="H335">
            <v>-4.7403345888596959E-6</v>
          </cell>
          <cell r="I335">
            <v>-4.740334986763628E-6</v>
          </cell>
          <cell r="J335">
            <v>-4.7403352709807223E-6</v>
          </cell>
          <cell r="K335">
            <v>-4.74033538466756E-6</v>
          </cell>
          <cell r="L335">
            <v>-4.7403357257280732E-6</v>
          </cell>
        </row>
        <row r="714">
          <cell r="D714">
            <v>-478.98037166666666</v>
          </cell>
          <cell r="E714">
            <v>-478.99999999999994</v>
          </cell>
          <cell r="F714">
            <v>-478.99999999999994</v>
          </cell>
          <cell r="G714">
            <v>-478.99999999999989</v>
          </cell>
          <cell r="H714">
            <v>-478.99999999999989</v>
          </cell>
          <cell r="I714">
            <v>-478.99999999999989</v>
          </cell>
          <cell r="J714">
            <v>-478.99999999999994</v>
          </cell>
          <cell r="K714">
            <v>-478.99999999999994</v>
          </cell>
          <cell r="L714">
            <v>-479</v>
          </cell>
        </row>
      </sheetData>
      <sheetData sheetId="4"/>
      <sheetData sheetId="5"/>
      <sheetData sheetId="6">
        <row r="278">
          <cell r="AJ278">
            <v>1</v>
          </cell>
        </row>
        <row r="279">
          <cell r="AJ279">
            <v>1</v>
          </cell>
        </row>
      </sheetData>
      <sheetData sheetId="7">
        <row r="17">
          <cell r="D17">
            <v>150</v>
          </cell>
        </row>
        <row r="76">
          <cell r="B76" t="str">
            <v>On</v>
          </cell>
          <cell r="G76" t="str">
            <v>On</v>
          </cell>
          <cell r="L76" t="str">
            <v>On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86">
          <cell r="I386">
            <v>3.6189099544832501</v>
          </cell>
          <cell r="J386">
            <v>4.6189099544832501</v>
          </cell>
          <cell r="K386">
            <v>5.6189099544832501</v>
          </cell>
          <cell r="L386">
            <v>6.6189099544832501</v>
          </cell>
          <cell r="M386">
            <v>7.6189099544832501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2.0000000000000004E-2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2">
          <cell r="D62">
            <v>831374.54799999995</v>
          </cell>
        </row>
      </sheetData>
      <sheetData sheetId="1"/>
      <sheetData sheetId="2">
        <row r="182">
          <cell r="C182">
            <v>768.06656233948274</v>
          </cell>
        </row>
      </sheetData>
      <sheetData sheetId="3">
        <row r="273">
          <cell r="B273">
            <v>1.195371150970459E-6</v>
          </cell>
          <cell r="G273">
            <v>8929.4168007380722</v>
          </cell>
          <cell r="H273">
            <v>-1143.6243026474331</v>
          </cell>
          <cell r="I273">
            <v>-1789.8090661487695</v>
          </cell>
          <cell r="J273">
            <v>-2458.5946636305634</v>
          </cell>
          <cell r="K273">
            <v>-2467.7122558540095</v>
          </cell>
          <cell r="L273">
            <v>-2437.8808794475226</v>
          </cell>
        </row>
      </sheetData>
      <sheetData sheetId="4"/>
      <sheetData sheetId="5"/>
      <sheetData sheetId="6"/>
      <sheetData sheetId="7">
        <row r="17">
          <cell r="D17">
            <v>1139832.794</v>
          </cell>
        </row>
      </sheetData>
      <sheetData sheetId="8">
        <row r="370">
          <cell r="E370">
            <v>706.65293128619248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1.6199999999999999E-2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 pre"/>
      <sheetName val="SV_Upload"/>
      <sheetName val="SV_Upload post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  <sheetName val="Sheet1"/>
    </sheetNames>
    <sheetDataSet>
      <sheetData sheetId="0">
        <row r="14">
          <cell r="Q14">
            <v>3.8063412246151736E-2</v>
          </cell>
        </row>
        <row r="31">
          <cell r="Q31">
            <v>3.1667660718090246E-3</v>
          </cell>
        </row>
        <row r="32">
          <cell r="Q32">
            <v>2.3614187451218377E-4</v>
          </cell>
        </row>
        <row r="33">
          <cell r="Q33">
            <v>-5.7321677916265441E-4</v>
          </cell>
        </row>
        <row r="36">
          <cell r="Q36">
            <v>4.2669510242534882E-2</v>
          </cell>
        </row>
        <row r="37">
          <cell r="Q37">
            <v>5.5465534284939499E-2</v>
          </cell>
        </row>
        <row r="38">
          <cell r="Q38">
            <v>5.2140522818436029E-2</v>
          </cell>
        </row>
        <row r="41">
          <cell r="Q41">
            <v>4.3267528695169533E-2</v>
          </cell>
        </row>
        <row r="45">
          <cell r="Q45">
            <v>8.5135054074617564E-3</v>
          </cell>
        </row>
        <row r="46">
          <cell r="Q46">
            <v>3.134471799106188E-2</v>
          </cell>
        </row>
        <row r="61">
          <cell r="D61">
            <v>434497.10133589705</v>
          </cell>
          <cell r="E61">
            <v>501000</v>
          </cell>
        </row>
        <row r="62">
          <cell r="D62">
            <v>485000</v>
          </cell>
          <cell r="E62">
            <v>513924</v>
          </cell>
        </row>
        <row r="63">
          <cell r="D63"/>
          <cell r="E63"/>
        </row>
      </sheetData>
      <sheetData sheetId="1">
        <row r="182">
          <cell r="C182">
            <v>32380.760409446601</v>
          </cell>
          <cell r="D182">
            <v>34321.295605193161</v>
          </cell>
          <cell r="E182">
            <v>37441.990154503772</v>
          </cell>
          <cell r="F182">
            <v>37819.413009016367</v>
          </cell>
          <cell r="G182">
            <v>37711.820537434149</v>
          </cell>
          <cell r="H182">
            <v>38303.994609945657</v>
          </cell>
          <cell r="I182">
            <v>39739.576070516749</v>
          </cell>
          <cell r="J182">
            <v>40013.305689242232</v>
          </cell>
          <cell r="K182">
            <v>41018.004235390428</v>
          </cell>
          <cell r="L182">
            <v>41548.965881193777</v>
          </cell>
        </row>
        <row r="273">
          <cell r="L273">
            <v>116.08076223553093</v>
          </cell>
        </row>
      </sheetData>
      <sheetData sheetId="2">
        <row r="182">
          <cell r="C182">
            <v>90.362763994464899</v>
          </cell>
          <cell r="D182">
            <v>211.99999999999932</v>
          </cell>
          <cell r="E182">
            <v>758.00000000000705</v>
          </cell>
          <cell r="F182">
            <v>2772.4889999999896</v>
          </cell>
          <cell r="G182">
            <v>3424.0839999999935</v>
          </cell>
          <cell r="H182">
            <v>3874.0839999999935</v>
          </cell>
          <cell r="I182">
            <v>4324.0840000000044</v>
          </cell>
          <cell r="J182">
            <v>4774.083999999998</v>
          </cell>
          <cell r="K182">
            <v>5224.0839999999953</v>
          </cell>
          <cell r="L182">
            <v>6674.0839999999953</v>
          </cell>
        </row>
        <row r="510">
          <cell r="C510">
            <v>-88.5</v>
          </cell>
        </row>
        <row r="512">
          <cell r="D512">
            <v>-21035.582228874642</v>
          </cell>
          <cell r="E512">
            <v>-11564.503036579932</v>
          </cell>
          <cell r="F512">
            <v>-40390.015160660827</v>
          </cell>
          <cell r="G512">
            <v>-10802.143106114236</v>
          </cell>
          <cell r="H512">
            <v>-11011.405826328975</v>
          </cell>
          <cell r="I512">
            <v>-11251.109727320158</v>
          </cell>
          <cell r="J512">
            <v>-11490.813628311327</v>
          </cell>
          <cell r="K512">
            <v>-11730.51752930251</v>
          </cell>
          <cell r="L512">
            <v>-27664.665536448112</v>
          </cell>
        </row>
        <row r="532">
          <cell r="C532">
            <v>-8.7675289250910282E-10</v>
          </cell>
        </row>
      </sheetData>
      <sheetData sheetId="3">
        <row r="182">
          <cell r="C182">
            <v>32471.123173441127</v>
          </cell>
          <cell r="D182">
            <v>34533.29560519314</v>
          </cell>
          <cell r="E182">
            <v>38199.990154503816</v>
          </cell>
          <cell r="F182">
            <v>40591.902009016354</v>
          </cell>
          <cell r="G182">
            <v>41135.904537434064</v>
          </cell>
          <cell r="H182">
            <v>42178.07860994566</v>
          </cell>
          <cell r="I182">
            <v>44063.660070516729</v>
          </cell>
          <cell r="J182">
            <v>44787.389689242293</v>
          </cell>
          <cell r="K182">
            <v>46242.088235390416</v>
          </cell>
          <cell r="L182">
            <v>48223.049881193787</v>
          </cell>
        </row>
        <row r="273">
          <cell r="B273">
            <v>6.671143637504429E-13</v>
          </cell>
          <cell r="C273">
            <v>-8.7779108071117668E-10</v>
          </cell>
          <cell r="D273">
            <v>-11.837478098212159</v>
          </cell>
          <cell r="E273">
            <v>-0.6857747504609506</v>
          </cell>
          <cell r="F273">
            <v>-2.9198798829197585</v>
          </cell>
          <cell r="G273">
            <v>84.921232646407589</v>
          </cell>
          <cell r="H273">
            <v>84.443546994330518</v>
          </cell>
          <cell r="I273">
            <v>134.69253297588239</v>
          </cell>
          <cell r="J273">
            <v>116.9029164434055</v>
          </cell>
          <cell r="K273">
            <v>123.26979634302461</v>
          </cell>
          <cell r="L273">
            <v>116.08076223465469</v>
          </cell>
        </row>
        <row r="306">
          <cell r="B306">
            <v>395857.30737593421</v>
          </cell>
          <cell r="C306">
            <v>448258.98251184257</v>
          </cell>
          <cell r="D306">
            <v>461478.4301262591</v>
          </cell>
          <cell r="E306">
            <v>518330.6678564832</v>
          </cell>
          <cell r="F306">
            <v>503590.6134844136</v>
          </cell>
          <cell r="G306">
            <v>511271.68381714181</v>
          </cell>
          <cell r="H306">
            <v>523703.55728297826</v>
          </cell>
          <cell r="I306">
            <v>536691.3523797713</v>
          </cell>
          <cell r="J306">
            <v>548571.09586603299</v>
          </cell>
          <cell r="K306">
            <v>560816.6375038462</v>
          </cell>
          <cell r="L306">
            <v>580318.97167108371</v>
          </cell>
        </row>
        <row r="309">
          <cell r="B309">
            <v>298813.67600158072</v>
          </cell>
          <cell r="C309">
            <v>386848.22335140855</v>
          </cell>
          <cell r="D309">
            <v>398597.25325140828</v>
          </cell>
          <cell r="E309">
            <v>448689.88581083226</v>
          </cell>
          <cell r="F309">
            <v>542551.51365400606</v>
          </cell>
          <cell r="G309">
            <v>546653.70163283544</v>
          </cell>
          <cell r="H309">
            <v>554740.88043666736</v>
          </cell>
          <cell r="I309">
            <v>564827.59122049913</v>
          </cell>
          <cell r="J309">
            <v>574913.86580433045</v>
          </cell>
          <cell r="K309">
            <v>582999.73385816161</v>
          </cell>
          <cell r="L309">
            <v>599361.46878880437</v>
          </cell>
        </row>
        <row r="312">
          <cell r="B312">
            <v>53752.010273710861</v>
          </cell>
          <cell r="C312">
            <v>27526.180312179342</v>
          </cell>
          <cell r="D312">
            <v>77104.744725365686</v>
          </cell>
          <cell r="E312">
            <v>63255.543807192626</v>
          </cell>
          <cell r="F312">
            <v>73732.039875569128</v>
          </cell>
          <cell r="G312">
            <v>70645.410964047012</v>
          </cell>
          <cell r="H312">
            <v>70725.746147527607</v>
          </cell>
          <cell r="I312">
            <v>70177.30324999927</v>
          </cell>
          <cell r="J312">
            <v>68376.852657188443</v>
          </cell>
          <cell r="K312">
            <v>67106.735782769276</v>
          </cell>
          <cell r="L312">
            <v>65531.061014969091</v>
          </cell>
        </row>
        <row r="313">
          <cell r="B313">
            <v>52302.804560000004</v>
          </cell>
          <cell r="C313">
            <v>4.1356400000005964</v>
          </cell>
          <cell r="D313">
            <v>4.1356400000005964</v>
          </cell>
          <cell r="E313">
            <v>4.1356400000005964</v>
          </cell>
          <cell r="F313">
            <v>4.1356400000005964</v>
          </cell>
          <cell r="G313">
            <v>4.1356400000005964</v>
          </cell>
          <cell r="H313">
            <v>4.1356400000005964</v>
          </cell>
          <cell r="I313">
            <v>4.1356400000005964</v>
          </cell>
          <cell r="J313">
            <v>4.1356400000005964</v>
          </cell>
          <cell r="K313">
            <v>4.1356400000005964</v>
          </cell>
          <cell r="L313">
            <v>4.1356400000005964</v>
          </cell>
        </row>
        <row r="335">
          <cell r="C335">
            <v>0</v>
          </cell>
          <cell r="D335">
            <v>0</v>
          </cell>
          <cell r="E335">
            <v>-2.0954757928848267E-9</v>
          </cell>
          <cell r="F335">
            <v>-2.5611370801925659E-9</v>
          </cell>
          <cell r="G335">
            <v>0</v>
          </cell>
          <cell r="H335">
            <v>-2.7939677238464355E-9</v>
          </cell>
          <cell r="I335">
            <v>-3.2596290111541748E-9</v>
          </cell>
          <cell r="J335">
            <v>-3.7252902984619141E-9</v>
          </cell>
          <cell r="K335">
            <v>-3.2596290111541748E-9</v>
          </cell>
          <cell r="L335">
            <v>-2.0954757928848267E-9</v>
          </cell>
        </row>
        <row r="714">
          <cell r="C714"/>
          <cell r="D714">
            <v>-192.31905979139526</v>
          </cell>
          <cell r="E714">
            <v>-236.38854089290453</v>
          </cell>
          <cell r="F714">
            <v>-551.85476689041798</v>
          </cell>
          <cell r="G714">
            <v>-513.8229723011209</v>
          </cell>
          <cell r="H714">
            <v>1003.0833990844417</v>
          </cell>
          <cell r="I714">
            <v>-47.397979393370861</v>
          </cell>
          <cell r="J714">
            <v>-32.622386740122693</v>
          </cell>
          <cell r="K714">
            <v>-20.562959501493879</v>
          </cell>
          <cell r="L714">
            <v>-17.118225838900798</v>
          </cell>
        </row>
      </sheetData>
      <sheetData sheetId="4"/>
      <sheetData sheetId="5"/>
      <sheetData sheetId="6"/>
      <sheetData sheetId="7"/>
      <sheetData sheetId="8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9">
        <row r="15">
          <cell r="D15">
            <v>9.5000000000000001E-2</v>
          </cell>
        </row>
        <row r="17">
          <cell r="D17">
            <v>513924</v>
          </cell>
        </row>
        <row r="76">
          <cell r="B76" t="str">
            <v>Off</v>
          </cell>
          <cell r="G76" t="str">
            <v>On</v>
          </cell>
          <cell r="L76" t="str">
            <v>On</v>
          </cell>
          <cell r="Q76" t="str">
            <v>On</v>
          </cell>
          <cell r="V76" t="str">
            <v>On</v>
          </cell>
          <cell r="AA76" t="str">
            <v>On</v>
          </cell>
          <cell r="AF76" t="str">
            <v>On</v>
          </cell>
          <cell r="AK76" t="str">
            <v>On</v>
          </cell>
          <cell r="AP76" t="str">
            <v>On</v>
          </cell>
          <cell r="AU76" t="str">
            <v>On</v>
          </cell>
        </row>
      </sheetData>
      <sheetData sheetId="10">
        <row r="182">
          <cell r="C182"/>
        </row>
        <row r="370">
          <cell r="M370">
            <v>5540.0839999999998</v>
          </cell>
          <cell r="N370"/>
        </row>
        <row r="372">
          <cell r="D372">
            <v>90.362763994464899</v>
          </cell>
          <cell r="E372">
            <v>212</v>
          </cell>
          <cell r="F372">
            <v>758</v>
          </cell>
          <cell r="G372">
            <v>2772.489</v>
          </cell>
          <cell r="H372">
            <v>3424.0839999999998</v>
          </cell>
          <cell r="I372">
            <v>3874.0839999999998</v>
          </cell>
          <cell r="J372">
            <v>4324.0839999999998</v>
          </cell>
          <cell r="K372">
            <v>4774.0839999999998</v>
          </cell>
          <cell r="L372">
            <v>5224.0839999999998</v>
          </cell>
          <cell r="M372">
            <v>6674.0839999999998</v>
          </cell>
        </row>
        <row r="386">
          <cell r="E386">
            <v>4732</v>
          </cell>
          <cell r="F386">
            <v>2600.7809810491658</v>
          </cell>
          <cell r="G386">
            <v>8464.8115426558925</v>
          </cell>
          <cell r="H386">
            <v>1867.0431858637778</v>
          </cell>
          <cell r="I386">
            <v>1834.741766612229</v>
          </cell>
          <cell r="J386">
            <v>1809.4632878422708</v>
          </cell>
          <cell r="K386">
            <v>1786.8486753717439</v>
          </cell>
          <cell r="L386">
            <v>1768.3568129238859</v>
          </cell>
          <cell r="M386">
            <v>4894.6017681117983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505">
          <cell r="J505">
            <v>2.9600000000000001E-2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0</v>
          </cell>
        </row>
      </sheetData>
      <sheetData sheetId="1"/>
      <sheetData sheetId="2">
        <row r="182">
          <cell r="C182">
            <v>0</v>
          </cell>
        </row>
      </sheetData>
      <sheetData sheetId="3">
        <row r="158">
          <cell r="C158">
            <v>74.383240000000001</v>
          </cell>
        </row>
        <row r="273">
          <cell r="G273">
            <v>237.17020335192959</v>
          </cell>
          <cell r="H273">
            <v>228.66778954065128</v>
          </cell>
          <cell r="I273">
            <v>210.33055299737148</v>
          </cell>
          <cell r="J273">
            <v>305.6988437012634</v>
          </cell>
          <cell r="K273">
            <v>416.29988203165766</v>
          </cell>
          <cell r="L273">
            <v>434.31099501874985</v>
          </cell>
        </row>
      </sheetData>
      <sheetData sheetId="4"/>
      <sheetData sheetId="5"/>
      <sheetData sheetId="6">
        <row r="262">
          <cell r="E262">
            <v>50</v>
          </cell>
        </row>
      </sheetData>
      <sheetData sheetId="7">
        <row r="15">
          <cell r="D15">
            <v>0.105</v>
          </cell>
        </row>
      </sheetData>
      <sheetData sheetId="8">
        <row r="370">
          <cell r="E370">
            <v>3956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4.4633592792100149E-2</v>
          </cell>
        </row>
      </sheetData>
      <sheetData sheetId="20">
        <row r="379">
          <cell r="C379">
            <v>4.4633567333221436E-2</v>
          </cell>
        </row>
      </sheetData>
      <sheetData sheetId="21">
        <row r="571">
          <cell r="Z571">
            <v>219.85754790111878</v>
          </cell>
        </row>
      </sheetData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 t="e">
            <v>#NUM!</v>
          </cell>
        </row>
        <row r="31">
          <cell r="Q31" t="e">
            <v>#NUM!</v>
          </cell>
        </row>
        <row r="32">
          <cell r="Q32" t="e">
            <v>#NUM!</v>
          </cell>
        </row>
        <row r="33">
          <cell r="Q33" t="e">
            <v>#NUM!</v>
          </cell>
        </row>
        <row r="36">
          <cell r="Q36" t="e">
            <v>#NUM!</v>
          </cell>
        </row>
        <row r="37">
          <cell r="Q37" t="e">
            <v>#NUM!</v>
          </cell>
        </row>
        <row r="38">
          <cell r="Q38" t="e">
            <v>#DIV/0!</v>
          </cell>
        </row>
        <row r="41">
          <cell r="Q41" t="e">
            <v>#DIV/0!</v>
          </cell>
        </row>
        <row r="45">
          <cell r="Q45" t="e">
            <v>#NUM!</v>
          </cell>
        </row>
        <row r="46">
          <cell r="Q46" t="e">
            <v>#DIV/0!</v>
          </cell>
        </row>
        <row r="61">
          <cell r="D61"/>
          <cell r="E61"/>
        </row>
        <row r="62">
          <cell r="D62"/>
          <cell r="E62"/>
        </row>
        <row r="63">
          <cell r="D63"/>
          <cell r="E63"/>
        </row>
      </sheetData>
      <sheetData sheetId="1">
        <row r="182">
          <cell r="C182">
            <v>233.14008364240254</v>
          </cell>
          <cell r="D182">
            <v>249.25157209879663</v>
          </cell>
          <cell r="E182">
            <v>262.93770428987227</v>
          </cell>
          <cell r="F182">
            <v>286.87568069182464</v>
          </cell>
          <cell r="G182">
            <v>131.56833614284332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273">
          <cell r="L273">
            <v>613.86206497729245</v>
          </cell>
        </row>
      </sheetData>
      <sheetData sheetId="2"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510">
          <cell r="C510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</row>
        <row r="532">
          <cell r="C532">
            <v>0</v>
          </cell>
        </row>
      </sheetData>
      <sheetData sheetId="3">
        <row r="182">
          <cell r="C182">
            <v>233.14008364240254</v>
          </cell>
          <cell r="D182">
            <v>249.25157209879663</v>
          </cell>
          <cell r="E182">
            <v>262.93770428987227</v>
          </cell>
          <cell r="F182">
            <v>286.87568069182464</v>
          </cell>
          <cell r="G182">
            <v>131.56833614284332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273">
          <cell r="B273">
            <v>1.000263834837824E-3</v>
          </cell>
          <cell r="C273">
            <v>-2.9362850126810371E-2</v>
          </cell>
          <cell r="D273">
            <v>203.87623569685758</v>
          </cell>
          <cell r="E273">
            <v>450.61375797397204</v>
          </cell>
          <cell r="F273">
            <v>711.79278293642506</v>
          </cell>
          <cell r="G273">
            <v>687.58496410685348</v>
          </cell>
          <cell r="H273">
            <v>535.86206497729245</v>
          </cell>
          <cell r="I273">
            <v>535.86206497729245</v>
          </cell>
          <cell r="J273">
            <v>535.86206497729245</v>
          </cell>
          <cell r="K273">
            <v>535.86206497729245</v>
          </cell>
          <cell r="L273">
            <v>613.86206497729245</v>
          </cell>
        </row>
        <row r="306">
          <cell r="B306">
            <v>1234.45268725715</v>
          </cell>
          <cell r="C306">
            <v>1467.9383889084563</v>
          </cell>
          <cell r="D306">
            <v>1717.1899610072528</v>
          </cell>
          <cell r="E306">
            <v>1980.1276652971246</v>
          </cell>
          <cell r="F306">
            <v>2267.0033459889487</v>
          </cell>
          <cell r="G306">
            <v>2398.5716821317915</v>
          </cell>
          <cell r="H306">
            <v>2398.5716821317915</v>
          </cell>
          <cell r="I306">
            <v>2398.5716821317915</v>
          </cell>
          <cell r="J306">
            <v>2398.5716821317915</v>
          </cell>
          <cell r="K306">
            <v>2398.5716821317915</v>
          </cell>
          <cell r="L306">
            <v>2476.5716821317915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2">
          <cell r="B312">
            <v>468.9519431918564</v>
          </cell>
          <cell r="C312">
            <v>41.765943191856323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35">
          <cell r="C335">
            <v>9.354796338811866E-5</v>
          </cell>
          <cell r="D335">
            <v>9.3547963842866011E-5</v>
          </cell>
          <cell r="E335">
            <v>9.3547963842866011E-5</v>
          </cell>
          <cell r="F335">
            <v>9.3547963842866011E-5</v>
          </cell>
          <cell r="G335">
            <v>9.354796338811866E-5</v>
          </cell>
          <cell r="H335">
            <v>9.354796338811866E-5</v>
          </cell>
          <cell r="I335">
            <v>9.354796338811866E-5</v>
          </cell>
          <cell r="J335">
            <v>9.354796338811866E-5</v>
          </cell>
          <cell r="K335">
            <v>9.354796338811866E-5</v>
          </cell>
          <cell r="L335">
            <v>9.354796338811866E-5</v>
          </cell>
        </row>
        <row r="714">
          <cell r="C714"/>
          <cell r="D714">
            <v>-6.8212102632969618E-13</v>
          </cell>
          <cell r="E714">
            <v>1.0800249583553523E-12</v>
          </cell>
          <cell r="F714">
            <v>-6.8212102632969618E-13</v>
          </cell>
          <cell r="G714">
            <v>-1.5916157281026244E-12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7">
          <cell r="D17"/>
        </row>
        <row r="76">
          <cell r="B76" t="str">
            <v>Off</v>
          </cell>
          <cell r="G76" t="str">
            <v>Off</v>
          </cell>
          <cell r="L76" t="str">
            <v>Off</v>
          </cell>
          <cell r="Q76" t="str">
            <v>Off</v>
          </cell>
          <cell r="V76" t="str">
            <v>Off</v>
          </cell>
          <cell r="AA76" t="str">
            <v>On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/>
          <cell r="N370"/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86"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699392</v>
          </cell>
        </row>
      </sheetData>
      <sheetData sheetId="1"/>
      <sheetData sheetId="2">
        <row r="182">
          <cell r="C182">
            <v>357.37814639477574</v>
          </cell>
        </row>
      </sheetData>
      <sheetData sheetId="3">
        <row r="158">
          <cell r="C158">
            <v>18729.883029487395</v>
          </cell>
        </row>
        <row r="273">
          <cell r="G273">
            <v>70.266485661441493</v>
          </cell>
          <cell r="H273">
            <v>64.912296318283552</v>
          </cell>
          <cell r="I273">
            <v>68.863625520754795</v>
          </cell>
          <cell r="J273">
            <v>69.199207732881405</v>
          </cell>
          <cell r="K273">
            <v>68.38501432823432</v>
          </cell>
          <cell r="L273">
            <v>69.078205793902271</v>
          </cell>
        </row>
      </sheetData>
      <sheetData sheetId="4"/>
      <sheetData sheetId="5"/>
      <sheetData sheetId="6">
        <row r="262">
          <cell r="E262">
            <v>700</v>
          </cell>
        </row>
      </sheetData>
      <sheetData sheetId="7">
        <row r="15">
          <cell r="D15">
            <v>9.7500000000000003E-2</v>
          </cell>
        </row>
      </sheetData>
      <sheetData sheetId="8">
        <row r="370">
          <cell r="E370">
            <v>525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2.4281287084809398E-2</v>
          </cell>
        </row>
      </sheetData>
      <sheetData sheetId="20">
        <row r="379">
          <cell r="D379">
            <v>3811.6999999999985</v>
          </cell>
        </row>
      </sheetData>
      <sheetData sheetId="21"/>
      <sheetData sheetId="22"/>
      <sheetData sheetId="23"/>
      <sheetData sheetId="24"/>
      <sheetData sheetId="25"/>
      <sheetData sheetId="26">
        <row r="456">
          <cell r="C456">
            <v>3.1033008749999422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3.2235228996260037E-2</v>
          </cell>
        </row>
        <row r="31">
          <cell r="Q31">
            <v>2.8599128513808115E-4</v>
          </cell>
        </row>
        <row r="32">
          <cell r="Q32">
            <v>0</v>
          </cell>
        </row>
        <row r="33">
          <cell r="Q33">
            <v>0</v>
          </cell>
        </row>
        <row r="36">
          <cell r="Q36">
            <v>0</v>
          </cell>
        </row>
        <row r="37">
          <cell r="Q37">
            <v>0</v>
          </cell>
        </row>
        <row r="38">
          <cell r="Q38">
            <v>0</v>
          </cell>
        </row>
        <row r="41">
          <cell r="Q41">
            <v>0</v>
          </cell>
        </row>
        <row r="45">
          <cell r="Q45">
            <v>9.6199925589373751E-15</v>
          </cell>
        </row>
        <row r="46">
          <cell r="Q46">
            <v>3.3674773089100794E-2</v>
          </cell>
        </row>
        <row r="61">
          <cell r="D61">
            <v>30179</v>
          </cell>
          <cell r="E61">
            <v>30983</v>
          </cell>
        </row>
        <row r="62">
          <cell r="D62">
            <v>25233</v>
          </cell>
          <cell r="E62">
            <v>25233</v>
          </cell>
        </row>
        <row r="63">
          <cell r="D63"/>
          <cell r="E63"/>
        </row>
      </sheetData>
      <sheetData sheetId="1">
        <row r="182">
          <cell r="C182">
            <v>1526.4126102278838</v>
          </cell>
          <cell r="D182">
            <v>1203.9464205865529</v>
          </cell>
          <cell r="E182">
            <v>1732.5141462975312</v>
          </cell>
          <cell r="F182">
            <v>1596.7244454138929</v>
          </cell>
          <cell r="G182">
            <v>2047.9789946514625</v>
          </cell>
          <cell r="H182">
            <v>2014.6615842942194</v>
          </cell>
          <cell r="I182">
            <v>2542.2542780143317</v>
          </cell>
          <cell r="J182">
            <v>2358.5238094840552</v>
          </cell>
          <cell r="K182">
            <v>2162.5742358890893</v>
          </cell>
          <cell r="L182">
            <v>2996.4425547568298</v>
          </cell>
        </row>
        <row r="273">
          <cell r="L273">
            <v>1016.9670278872263</v>
          </cell>
        </row>
      </sheetData>
      <sheetData sheetId="2">
        <row r="182">
          <cell r="C182">
            <v>1.5623333333332985</v>
          </cell>
          <cell r="D182">
            <v>25.000000000000028</v>
          </cell>
          <cell r="E182">
            <v>25.999999999999915</v>
          </cell>
          <cell r="F182">
            <v>27.000000000000085</v>
          </cell>
          <cell r="G182">
            <v>53.000000000000057</v>
          </cell>
          <cell r="H182">
            <v>54.999999999999858</v>
          </cell>
          <cell r="I182">
            <v>56.999999999999901</v>
          </cell>
          <cell r="J182">
            <v>59.000000000000199</v>
          </cell>
          <cell r="K182">
            <v>61.000000000000071</v>
          </cell>
          <cell r="L182">
            <v>88.000000000000341</v>
          </cell>
        </row>
        <row r="510">
          <cell r="C510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-539.49270132052345</v>
          </cell>
          <cell r="H512">
            <v>-12.985402641047015</v>
          </cell>
          <cell r="I512">
            <v>-12.985402641047015</v>
          </cell>
          <cell r="J512">
            <v>-12.985402641047015</v>
          </cell>
          <cell r="K512">
            <v>-12.985402641047015</v>
          </cell>
          <cell r="L512">
            <v>-573.73391395731335</v>
          </cell>
        </row>
        <row r="532">
          <cell r="C532">
            <v>0</v>
          </cell>
        </row>
      </sheetData>
      <sheetData sheetId="3">
        <row r="182">
          <cell r="C182">
            <v>1527.9749435612175</v>
          </cell>
          <cell r="D182">
            <v>1228.9464205865506</v>
          </cell>
          <cell r="E182">
            <v>1758.5141462975312</v>
          </cell>
          <cell r="F182">
            <v>1623.7244454138938</v>
          </cell>
          <cell r="G182">
            <v>2100.9789946514602</v>
          </cell>
          <cell r="H182">
            <v>2069.6615842942197</v>
          </cell>
          <cell r="I182">
            <v>2599.2542780143303</v>
          </cell>
          <cell r="J182">
            <v>2417.5238094840538</v>
          </cell>
          <cell r="K182">
            <v>2223.5742358890921</v>
          </cell>
          <cell r="L182">
            <v>3084.4425547568326</v>
          </cell>
        </row>
        <row r="273">
          <cell r="B273">
            <v>9.5724320137158268E-13</v>
          </cell>
          <cell r="C273">
            <v>8.7720766761556493E-13</v>
          </cell>
          <cell r="D273">
            <v>-2.3476925939275475</v>
          </cell>
          <cell r="E273">
            <v>1002.6920175189443</v>
          </cell>
          <cell r="F273">
            <v>327.46486924147678</v>
          </cell>
          <cell r="G273">
            <v>503.4256511010442</v>
          </cell>
          <cell r="H273">
            <v>18.489557729912917</v>
          </cell>
          <cell r="I273">
            <v>21.096885592693226</v>
          </cell>
          <cell r="J273">
            <v>1016.1405193071598</v>
          </cell>
          <cell r="K273">
            <v>1017.7814135381327</v>
          </cell>
          <cell r="L273">
            <v>1016.9670278872261</v>
          </cell>
        </row>
        <row r="306">
          <cell r="B306">
            <v>16509.940603443196</v>
          </cell>
          <cell r="C306">
            <v>17170.649259196729</v>
          </cell>
          <cell r="D306">
            <v>18408.705229151008</v>
          </cell>
          <cell r="E306">
            <v>22973.003364752709</v>
          </cell>
          <cell r="F306">
            <v>24374.850089775682</v>
          </cell>
          <cell r="G306">
            <v>26267.631367907412</v>
          </cell>
          <cell r="H306">
            <v>30766.870272206615</v>
          </cell>
          <cell r="I306">
            <v>33553.993929549943</v>
          </cell>
          <cell r="J306">
            <v>37139.922288335903</v>
          </cell>
          <cell r="K306">
            <v>39675.071726501701</v>
          </cell>
          <cell r="L306">
            <v>41888.830215515831</v>
          </cell>
        </row>
        <row r="309">
          <cell r="B309">
            <v>14270</v>
          </cell>
          <cell r="C309">
            <v>16770</v>
          </cell>
          <cell r="D309">
            <v>18770</v>
          </cell>
          <cell r="E309">
            <v>18770</v>
          </cell>
          <cell r="F309">
            <v>18770</v>
          </cell>
          <cell r="G309">
            <v>19036.499999999985</v>
          </cell>
          <cell r="H309">
            <v>15766.499999999985</v>
          </cell>
          <cell r="I309">
            <v>15766.499999999985</v>
          </cell>
          <cell r="J309">
            <v>15766.499999999985</v>
          </cell>
          <cell r="K309">
            <v>15766.499999999985</v>
          </cell>
          <cell r="L309">
            <v>16043.499999999993</v>
          </cell>
        </row>
        <row r="312">
          <cell r="B312">
            <v>1494.0519567069412</v>
          </cell>
          <cell r="C312">
            <v>2963.4213291152332</v>
          </cell>
          <cell r="D312">
            <v>1598.6174418099645</v>
          </cell>
          <cell r="E312">
            <v>588.52716666666629</v>
          </cell>
          <cell r="F312">
            <v>118.52716666666629</v>
          </cell>
          <cell r="G312">
            <v>118.52716666666629</v>
          </cell>
          <cell r="H312">
            <v>886.45466521367337</v>
          </cell>
          <cell r="I312">
            <v>713.06918162360762</v>
          </cell>
          <cell r="J312">
            <v>460.44046534614267</v>
          </cell>
          <cell r="K312">
            <v>168.44046534614267</v>
          </cell>
          <cell r="L312">
            <v>538.69195402987634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35"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-5.8207660913467407E-11</v>
          </cell>
        </row>
        <row r="714">
          <cell r="C714"/>
          <cell r="D714">
            <v>-1.5023537969227618E-12</v>
          </cell>
          <cell r="E714">
            <v>-4.0927261579781771E-12</v>
          </cell>
          <cell r="F714">
            <v>-3.5242919693700969E-12</v>
          </cell>
          <cell r="G714">
            <v>-1.7621459846850485E-12</v>
          </cell>
          <cell r="H714">
            <v>-2.6147972675971687E-12</v>
          </cell>
          <cell r="I714">
            <v>-2.4584778657299466E-12</v>
          </cell>
          <cell r="J714">
            <v>-1.9326762412674725E-12</v>
          </cell>
          <cell r="K714">
            <v>1.1368683772161603E-12</v>
          </cell>
          <cell r="L714">
            <v>-9.0949470177292824E-13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5">
          <cell r="D15">
            <v>0.10199999999999999</v>
          </cell>
        </row>
        <row r="17">
          <cell r="D17">
            <v>25233</v>
          </cell>
        </row>
        <row r="76">
          <cell r="B76" t="str">
            <v>Off</v>
          </cell>
          <cell r="G76" t="str">
            <v>On</v>
          </cell>
          <cell r="L76" t="str">
            <v>On</v>
          </cell>
          <cell r="Q76" t="str">
            <v>On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On</v>
          </cell>
        </row>
      </sheetData>
      <sheetData sheetId="8">
        <row r="182">
          <cell r="C182"/>
        </row>
        <row r="370">
          <cell r="M370">
            <v>55</v>
          </cell>
          <cell r="N370"/>
        </row>
        <row r="372">
          <cell r="D372">
            <v>1.5623333333332985</v>
          </cell>
          <cell r="E372">
            <v>25</v>
          </cell>
          <cell r="F372">
            <v>26</v>
          </cell>
          <cell r="G372">
            <v>27</v>
          </cell>
          <cell r="H372">
            <v>53</v>
          </cell>
          <cell r="I372">
            <v>55</v>
          </cell>
          <cell r="J372">
            <v>57</v>
          </cell>
          <cell r="K372">
            <v>59</v>
          </cell>
          <cell r="L372">
            <v>61</v>
          </cell>
          <cell r="M372">
            <v>88</v>
          </cell>
        </row>
        <row r="386">
          <cell r="E386">
            <v>0</v>
          </cell>
          <cell r="F386">
            <v>0</v>
          </cell>
          <cell r="G386">
            <v>0</v>
          </cell>
          <cell r="H386">
            <v>118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98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3.4760397859043841E-2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823706</v>
          </cell>
        </row>
      </sheetData>
      <sheetData sheetId="1"/>
      <sheetData sheetId="2">
        <row r="182">
          <cell r="C182">
            <v>608.08801116578115</v>
          </cell>
        </row>
      </sheetData>
      <sheetData sheetId="3">
        <row r="158">
          <cell r="C158">
            <v>23286.385613323426</v>
          </cell>
        </row>
        <row r="273">
          <cell r="G273">
            <v>2681.688667532499</v>
          </cell>
          <cell r="H273">
            <v>-1401.4328752004108</v>
          </cell>
          <cell r="I273">
            <v>-1392.7857108733106</v>
          </cell>
          <cell r="J273">
            <v>-1565.3269985144793</v>
          </cell>
          <cell r="K273">
            <v>-1840.7980597145915</v>
          </cell>
          <cell r="L273">
            <v>-1871.3044017131097</v>
          </cell>
        </row>
      </sheetData>
      <sheetData sheetId="4"/>
      <sheetData sheetId="5"/>
      <sheetData sheetId="6">
        <row r="262">
          <cell r="E262">
            <v>0</v>
          </cell>
        </row>
      </sheetData>
      <sheetData sheetId="7">
        <row r="15">
          <cell r="D15">
            <v>9.6000000000000002E-2</v>
          </cell>
        </row>
      </sheetData>
      <sheetData sheetId="8">
        <row r="370">
          <cell r="E370">
            <v>627.4233141866564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0</v>
          </cell>
        </row>
      </sheetData>
      <sheetData sheetId="20">
        <row r="379">
          <cell r="C379">
            <v>0</v>
          </cell>
        </row>
      </sheetData>
      <sheetData sheetId="21">
        <row r="571">
          <cell r="Z571">
            <v>46249.140205293799</v>
          </cell>
        </row>
      </sheetData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5.6197221545774306E-2</v>
          </cell>
        </row>
        <row r="31">
          <cell r="Q31">
            <v>1.278062647798946E-2</v>
          </cell>
        </row>
        <row r="32">
          <cell r="Q32">
            <v>-4.5483832467291957E-3</v>
          </cell>
        </row>
        <row r="33">
          <cell r="Q33">
            <v>-3.1364496403315898E-3</v>
          </cell>
        </row>
        <row r="36">
          <cell r="Q36">
            <v>2.6196597579237046E-2</v>
          </cell>
        </row>
        <row r="37">
          <cell r="Q37">
            <v>2.7014103413838062E-2</v>
          </cell>
        </row>
        <row r="38">
          <cell r="Q38">
            <v>1.3168191720776113E-2</v>
          </cell>
        </row>
        <row r="41">
          <cell r="Q41">
            <v>2.9425338313326374E-2</v>
          </cell>
        </row>
        <row r="45">
          <cell r="Q45" t="e">
            <v>#NUM!</v>
          </cell>
        </row>
        <row r="46">
          <cell r="Q46" t="e">
            <v>#DIV/0!</v>
          </cell>
        </row>
        <row r="61">
          <cell r="D61">
            <v>100064.01194917999</v>
          </cell>
          <cell r="E61">
            <v>109960.45269140658</v>
          </cell>
        </row>
        <row r="62">
          <cell r="D62">
            <v>100824</v>
          </cell>
          <cell r="E62">
            <v>107830</v>
          </cell>
        </row>
        <row r="63">
          <cell r="D63"/>
          <cell r="E63"/>
        </row>
      </sheetData>
      <sheetData sheetId="1">
        <row r="182">
          <cell r="C182">
            <v>6199.8173495771762</v>
          </cell>
          <cell r="D182">
            <v>6438.2319496147575</v>
          </cell>
          <cell r="E182">
            <v>6516.9153253991572</v>
          </cell>
          <cell r="F182">
            <v>6955.2935448542512</v>
          </cell>
          <cell r="G182">
            <v>6973.3755225832483</v>
          </cell>
          <cell r="H182">
            <v>7188.0396029086196</v>
          </cell>
          <cell r="I182">
            <v>7357.8799312338579</v>
          </cell>
          <cell r="J182">
            <v>7903.3312327732301</v>
          </cell>
          <cell r="K182">
            <v>8023.6700416324584</v>
          </cell>
          <cell r="L182">
            <v>8235.1787315784622</v>
          </cell>
        </row>
        <row r="273">
          <cell r="L273">
            <v>16.543181257515307</v>
          </cell>
        </row>
      </sheetData>
      <sheetData sheetId="2">
        <row r="182">
          <cell r="C182">
            <v>-17.588476425113384</v>
          </cell>
          <cell r="D182">
            <v>53.999999999999318</v>
          </cell>
          <cell r="E182">
            <v>171.0000000000029</v>
          </cell>
          <cell r="F182">
            <v>238.00000000000051</v>
          </cell>
          <cell r="G182">
            <v>383.00000000000091</v>
          </cell>
          <cell r="H182">
            <v>528.00000000000068</v>
          </cell>
          <cell r="I182">
            <v>673.00000000000114</v>
          </cell>
          <cell r="J182">
            <v>818.00000000000273</v>
          </cell>
          <cell r="K182">
            <v>962.99999999999409</v>
          </cell>
          <cell r="L182">
            <v>1108.0000000000018</v>
          </cell>
        </row>
        <row r="510">
          <cell r="C510">
            <v>-365</v>
          </cell>
        </row>
        <row r="512">
          <cell r="D512">
            <v>-4041.9382351127174</v>
          </cell>
          <cell r="E512">
            <v>-4125.8147053381572</v>
          </cell>
          <cell r="F512">
            <v>-4209.6911755635938</v>
          </cell>
          <cell r="G512">
            <v>-4293.5676457890304</v>
          </cell>
          <cell r="H512">
            <v>-4377.4441160144697</v>
          </cell>
          <cell r="I512">
            <v>-4461.3205862399063</v>
          </cell>
          <cell r="J512">
            <v>-4545.1970564653429</v>
          </cell>
          <cell r="K512">
            <v>-4629.0735266907823</v>
          </cell>
          <cell r="L512">
            <v>-4712.9499969162189</v>
          </cell>
        </row>
        <row r="532">
          <cell r="C532">
            <v>266.79734186799487</v>
          </cell>
        </row>
      </sheetData>
      <sheetData sheetId="3">
        <row r="182">
          <cell r="C182">
            <v>6182.2288731520594</v>
          </cell>
          <cell r="D182">
            <v>6492.231949614752</v>
          </cell>
          <cell r="E182">
            <v>6687.9153253991681</v>
          </cell>
          <cell r="F182">
            <v>7193.2935448542466</v>
          </cell>
          <cell r="G182">
            <v>7356.3755225832556</v>
          </cell>
          <cell r="H182">
            <v>7716.0396029086351</v>
          </cell>
          <cell r="I182">
            <v>8030.8799312338606</v>
          </cell>
          <cell r="J182">
            <v>8721.3312327732492</v>
          </cell>
          <cell r="K182">
            <v>8986.6700416324529</v>
          </cell>
          <cell r="L182">
            <v>9343.1787315784386</v>
          </cell>
        </row>
        <row r="273">
          <cell r="B273">
            <v>-1.4901161193847657E-11</v>
          </cell>
          <cell r="C273">
            <v>266.79733186799899</v>
          </cell>
          <cell r="D273">
            <v>267.55007500801162</v>
          </cell>
          <cell r="E273">
            <v>266.17317942074294</v>
          </cell>
          <cell r="F273">
            <v>268.21573313484726</v>
          </cell>
          <cell r="G273">
            <v>272.97133670938285</v>
          </cell>
          <cell r="H273">
            <v>272.15294519035371</v>
          </cell>
          <cell r="I273">
            <v>283.87320749259061</v>
          </cell>
          <cell r="J273">
            <v>285.61720093755605</v>
          </cell>
          <cell r="K273">
            <v>284.00695800950746</v>
          </cell>
          <cell r="L273">
            <v>283.34052312551103</v>
          </cell>
        </row>
        <row r="306">
          <cell r="B306">
            <v>58403.638567803049</v>
          </cell>
          <cell r="C306">
            <v>68748.069880140232</v>
          </cell>
          <cell r="D306">
            <v>72355.248253166908</v>
          </cell>
          <cell r="E306">
            <v>79016.690685150214</v>
          </cell>
          <cell r="F306">
            <v>85899.163566191783</v>
          </cell>
          <cell r="G306">
            <v>90550.073113461956</v>
          </cell>
          <cell r="H306">
            <v>96513.130288865897</v>
          </cell>
          <cell r="I306">
            <v>102460.19830547998</v>
          </cell>
          <cell r="J306">
            <v>106664.75296744792</v>
          </cell>
          <cell r="K306">
            <v>112679.70446866032</v>
          </cell>
          <cell r="L306">
            <v>118922.8981215774</v>
          </cell>
        </row>
        <row r="309">
          <cell r="B309">
            <v>50070.813078799998</v>
          </cell>
          <cell r="C309">
            <v>49927.265806185198</v>
          </cell>
          <cell r="D309">
            <v>57780.265806185198</v>
          </cell>
          <cell r="E309">
            <v>64629.265806185169</v>
          </cell>
          <cell r="F309">
            <v>68459.26580618514</v>
          </cell>
          <cell r="G309">
            <v>76435.265806185111</v>
          </cell>
          <cell r="H309">
            <v>82328.625806185126</v>
          </cell>
          <cell r="I309">
            <v>86221.985806185141</v>
          </cell>
          <cell r="J309">
            <v>93114.345806185069</v>
          </cell>
          <cell r="K309">
            <v>98305.705806184997</v>
          </cell>
          <cell r="L309">
            <v>103224.06580618492</v>
          </cell>
        </row>
        <row r="312">
          <cell r="B312">
            <v>8362.1136553522319</v>
          </cell>
          <cell r="C312">
            <v>9910.8665986035994</v>
          </cell>
          <cell r="D312">
            <v>12596.577214636663</v>
          </cell>
          <cell r="E312">
            <v>11795.503166500381</v>
          </cell>
          <cell r="F312">
            <v>11170.604428101871</v>
          </cell>
          <cell r="G312">
            <v>10843.223208799353</v>
          </cell>
          <cell r="H312">
            <v>10458.27140783424</v>
          </cell>
          <cell r="I312">
            <v>11941.230828706877</v>
          </cell>
          <cell r="J312">
            <v>11325.615750531542</v>
          </cell>
          <cell r="K312">
            <v>10454.004725652618</v>
          </cell>
          <cell r="L312">
            <v>10472.584041434078</v>
          </cell>
        </row>
        <row r="313">
          <cell r="B313">
            <v>141</v>
          </cell>
          <cell r="C313">
            <v>147</v>
          </cell>
          <cell r="D313">
            <v>147</v>
          </cell>
          <cell r="E313">
            <v>147</v>
          </cell>
          <cell r="F313">
            <v>147</v>
          </cell>
          <cell r="G313">
            <v>147</v>
          </cell>
          <cell r="H313">
            <v>147</v>
          </cell>
          <cell r="I313">
            <v>147</v>
          </cell>
          <cell r="J313">
            <v>147</v>
          </cell>
          <cell r="K313">
            <v>147</v>
          </cell>
          <cell r="L313">
            <v>147</v>
          </cell>
        </row>
        <row r="335">
          <cell r="C335">
            <v>-2.3992612259462476E-2</v>
          </cell>
          <cell r="D335">
            <v>-2.3992612201254815E-2</v>
          </cell>
          <cell r="E335">
            <v>-2.3992612143047154E-2</v>
          </cell>
          <cell r="F335">
            <v>-2.3992612288566306E-2</v>
          </cell>
          <cell r="G335">
            <v>-2.3992612084839493E-2</v>
          </cell>
          <cell r="H335">
            <v>-2.3992612026631832E-2</v>
          </cell>
          <cell r="I335">
            <v>-2.3992611968424171E-2</v>
          </cell>
          <cell r="J335">
            <v>-2.3992611968424171E-2</v>
          </cell>
          <cell r="K335">
            <v>-2.3992612026631832E-2</v>
          </cell>
          <cell r="L335">
            <v>-2.399261191021651E-2</v>
          </cell>
        </row>
        <row r="714">
          <cell r="C714"/>
          <cell r="D714">
            <v>-1.0459189070388675E-11</v>
          </cell>
          <cell r="E714">
            <v>-1.0345502232667059E-11</v>
          </cell>
          <cell r="F714">
            <v>-3.865352482534945E-12</v>
          </cell>
          <cell r="G714">
            <v>-1.0913936421275139E-11</v>
          </cell>
          <cell r="H714">
            <v>3.808509063674137E-12</v>
          </cell>
          <cell r="I714">
            <v>1.7053025658242404E-13</v>
          </cell>
          <cell r="J714">
            <v>-1.2505552149377763E-12</v>
          </cell>
          <cell r="K714">
            <v>6.8212102632969618E-12</v>
          </cell>
          <cell r="L714">
            <v>-3.2969182939268649E-12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7">
          <cell r="D17">
            <v>107829.91099999999</v>
          </cell>
        </row>
        <row r="76">
          <cell r="B76" t="str">
            <v>On</v>
          </cell>
          <cell r="G76" t="str">
            <v>On</v>
          </cell>
          <cell r="L76" t="str">
            <v>Off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>
            <v>1108</v>
          </cell>
          <cell r="N370"/>
        </row>
        <row r="372">
          <cell r="D372">
            <v>-17.588476425113384</v>
          </cell>
          <cell r="E372">
            <v>54</v>
          </cell>
          <cell r="F372">
            <v>171</v>
          </cell>
          <cell r="G372">
            <v>238</v>
          </cell>
          <cell r="H372">
            <v>383</v>
          </cell>
          <cell r="I372">
            <v>528</v>
          </cell>
          <cell r="J372">
            <v>673</v>
          </cell>
          <cell r="K372">
            <v>818</v>
          </cell>
          <cell r="L372">
            <v>963</v>
          </cell>
          <cell r="M372">
            <v>1108</v>
          </cell>
        </row>
        <row r="386">
          <cell r="E386"/>
          <cell r="F386"/>
          <cell r="G386"/>
          <cell r="H386"/>
          <cell r="I386"/>
          <cell r="J386"/>
          <cell r="K386"/>
          <cell r="L386"/>
          <cell r="M386"/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2.1999999999999999E-2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Reg Inputs"/>
      <sheetName val="Base_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0</v>
          </cell>
        </row>
      </sheetData>
      <sheetData sheetId="1"/>
      <sheetData sheetId="2">
        <row r="182">
          <cell r="C182">
            <v>0</v>
          </cell>
        </row>
      </sheetData>
      <sheetData sheetId="3">
        <row r="158">
          <cell r="C158">
            <v>0</v>
          </cell>
        </row>
        <row r="273">
          <cell r="G273">
            <v>-0.4194874408863194</v>
          </cell>
          <cell r="H273">
            <v>-736.74194538046834</v>
          </cell>
          <cell r="I273">
            <v>-736.74194538046834</v>
          </cell>
          <cell r="J273">
            <v>-736.74194538046834</v>
          </cell>
          <cell r="K273">
            <v>-736.74194538046834</v>
          </cell>
          <cell r="L273">
            <v>-736.74194538046834</v>
          </cell>
        </row>
      </sheetData>
      <sheetData sheetId="4"/>
      <sheetData sheetId="5"/>
      <sheetData sheetId="6">
        <row r="76">
          <cell r="B76" t="str">
            <v>Off</v>
          </cell>
        </row>
      </sheetData>
      <sheetData sheetId="7">
        <row r="262">
          <cell r="E262">
            <v>0</v>
          </cell>
        </row>
      </sheetData>
      <sheetData sheetId="8">
        <row r="426">
          <cell r="D426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0</v>
          </cell>
        </row>
      </sheetData>
      <sheetData sheetId="20">
        <row r="379">
          <cell r="C379">
            <v>0</v>
          </cell>
        </row>
      </sheetData>
      <sheetData sheetId="21">
        <row r="571">
          <cell r="Z571">
            <v>0</v>
          </cell>
        </row>
      </sheetData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7.4093481635321673E-2</v>
          </cell>
        </row>
        <row r="31">
          <cell r="Q31">
            <v>4.0741209996636258E-3</v>
          </cell>
        </row>
        <row r="32">
          <cell r="Q32">
            <v>6.7807812833478099E-4</v>
          </cell>
        </row>
        <row r="33">
          <cell r="Q33">
            <v>-4.3999988016103003E-3</v>
          </cell>
        </row>
        <row r="36">
          <cell r="Q36">
            <v>3.233761404859082E-2</v>
          </cell>
        </row>
        <row r="37">
          <cell r="Q37">
            <v>3.1111106039350918E-2</v>
          </cell>
        </row>
        <row r="38">
          <cell r="Q38">
            <v>2.6002073142264239E-2</v>
          </cell>
        </row>
        <row r="41">
          <cell r="Q41">
            <v>3.6899972686036855E-2</v>
          </cell>
        </row>
        <row r="45">
          <cell r="Q45" t="e">
            <v>#NUM!</v>
          </cell>
        </row>
        <row r="46">
          <cell r="Q46" t="e">
            <v>#DIV/0!</v>
          </cell>
        </row>
        <row r="61">
          <cell r="D61">
            <v>893608</v>
          </cell>
          <cell r="E61">
            <v>883385</v>
          </cell>
        </row>
        <row r="62">
          <cell r="D62">
            <v>706386</v>
          </cell>
          <cell r="E62">
            <v>929539</v>
          </cell>
        </row>
        <row r="63">
          <cell r="D63"/>
          <cell r="E63"/>
        </row>
      </sheetData>
      <sheetData sheetId="1">
        <row r="182">
          <cell r="C182">
            <v>47716.080166055217</v>
          </cell>
          <cell r="D182">
            <v>49598.942937469343</v>
          </cell>
          <cell r="E182">
            <v>51818.048733594522</v>
          </cell>
          <cell r="F182">
            <v>54564.711865053316</v>
          </cell>
          <cell r="G182">
            <v>56024.942925886789</v>
          </cell>
          <cell r="H182">
            <v>58046.221406500801</v>
          </cell>
          <cell r="I182">
            <v>59484.629482341552</v>
          </cell>
          <cell r="J182">
            <v>63599.412778683269</v>
          </cell>
          <cell r="K182">
            <v>65531.560082703152</v>
          </cell>
          <cell r="L182">
            <v>67931.15464787597</v>
          </cell>
        </row>
        <row r="273">
          <cell r="L273">
            <v>153.7511438405154</v>
          </cell>
        </row>
      </sheetData>
      <sheetData sheetId="2">
        <row r="182">
          <cell r="C182">
            <v>-10.336448003814155</v>
          </cell>
          <cell r="D182">
            <v>760.00000000000523</v>
          </cell>
          <cell r="E182">
            <v>1500.0000000000018</v>
          </cell>
          <cell r="F182">
            <v>2650.0000000000191</v>
          </cell>
          <cell r="G182">
            <v>3879.9999999999955</v>
          </cell>
          <cell r="H182">
            <v>4849.9999999999927</v>
          </cell>
          <cell r="I182">
            <v>5865.9999999999991</v>
          </cell>
          <cell r="J182">
            <v>6568.9999999999845</v>
          </cell>
          <cell r="K182">
            <v>8081.0000000000073</v>
          </cell>
          <cell r="L182">
            <v>9634.9999999999982</v>
          </cell>
        </row>
        <row r="510">
          <cell r="C510">
            <v>-5534.663096774193</v>
          </cell>
        </row>
        <row r="512">
          <cell r="D512">
            <v>-13294.503904645093</v>
          </cell>
          <cell r="E512">
            <v>-14659.67678251317</v>
          </cell>
          <cell r="F512">
            <v>-16098.48876388707</v>
          </cell>
          <cell r="G512">
            <v>-18471.974473439957</v>
          </cell>
          <cell r="H512">
            <v>-21205.063001390969</v>
          </cell>
          <cell r="I512">
            <v>-24576.091812259619</v>
          </cell>
          <cell r="J512">
            <v>-37569.414036705428</v>
          </cell>
          <cell r="K512">
            <v>-32015.586499660523</v>
          </cell>
          <cell r="L512">
            <v>-35477.887553354718</v>
          </cell>
        </row>
        <row r="532">
          <cell r="C532">
            <v>-1.0000017937272787E-5</v>
          </cell>
        </row>
      </sheetData>
      <sheetData sheetId="3">
        <row r="182">
          <cell r="C182">
            <v>47705.743718051352</v>
          </cell>
          <cell r="D182">
            <v>50358.942937469365</v>
          </cell>
          <cell r="E182">
            <v>53318.048733594514</v>
          </cell>
          <cell r="F182">
            <v>57214.711865053308</v>
          </cell>
          <cell r="G182">
            <v>59904.942925886833</v>
          </cell>
          <cell r="H182">
            <v>62896.221406500779</v>
          </cell>
          <cell r="I182">
            <v>65350.629482341566</v>
          </cell>
          <cell r="J182">
            <v>70168.412778683254</v>
          </cell>
          <cell r="K182">
            <v>73612.560082703218</v>
          </cell>
          <cell r="L182">
            <v>77566.154647875912</v>
          </cell>
        </row>
        <row r="273">
          <cell r="B273">
            <v>-4.4896823167800903E-4</v>
          </cell>
          <cell r="C273">
            <v>-1.9999968717456795E-5</v>
          </cell>
          <cell r="D273">
            <v>-677.92022286044403</v>
          </cell>
          <cell r="E273">
            <v>815.47997129747137</v>
          </cell>
          <cell r="F273">
            <v>95.379251624578501</v>
          </cell>
          <cell r="G273">
            <v>111.21805838741466</v>
          </cell>
          <cell r="H273">
            <v>105.85232752710226</v>
          </cell>
          <cell r="I273">
            <v>122.75339513214408</v>
          </cell>
          <cell r="J273">
            <v>159.45639340961679</v>
          </cell>
          <cell r="K273">
            <v>156.11461182203038</v>
          </cell>
          <cell r="L273">
            <v>153.75113384051565</v>
          </cell>
        </row>
        <row r="306">
          <cell r="B306">
            <v>477979.88025670737</v>
          </cell>
          <cell r="C306">
            <v>567860.81698836118</v>
          </cell>
          <cell r="D306">
            <v>586747.75108403678</v>
          </cell>
          <cell r="E306">
            <v>621042.72855897364</v>
          </cell>
          <cell r="F306">
            <v>646316.69625540287</v>
          </cell>
          <cell r="G306">
            <v>674913.56003366946</v>
          </cell>
          <cell r="H306">
            <v>715241.85078396928</v>
          </cell>
          <cell r="I306">
            <v>758210.6524878114</v>
          </cell>
          <cell r="J306">
            <v>805522.97247724619</v>
          </cell>
          <cell r="K306">
            <v>848914.35833533586</v>
          </cell>
          <cell r="L306">
            <v>894394.61480989633</v>
          </cell>
        </row>
        <row r="309">
          <cell r="B309">
            <v>395146.26164082345</v>
          </cell>
          <cell r="C309">
            <v>373175.53364471701</v>
          </cell>
          <cell r="D309">
            <v>421736.95882543206</v>
          </cell>
          <cell r="E309">
            <v>466802.71993198042</v>
          </cell>
          <cell r="F309">
            <v>481396.13753149105</v>
          </cell>
          <cell r="G309">
            <v>536964.88861629728</v>
          </cell>
          <cell r="H309">
            <v>576700.05231650209</v>
          </cell>
          <cell r="I309">
            <v>607854.22930124251</v>
          </cell>
          <cell r="J309">
            <v>669158.79918935371</v>
          </cell>
          <cell r="K309">
            <v>714264.485559767</v>
          </cell>
          <cell r="L309">
            <v>759721.55125754082</v>
          </cell>
        </row>
        <row r="312">
          <cell r="B312">
            <v>60177.966987686203</v>
          </cell>
          <cell r="C312">
            <v>124801.61741352813</v>
          </cell>
          <cell r="D312">
            <v>142886.44898998798</v>
          </cell>
          <cell r="E312">
            <v>153228.42494358338</v>
          </cell>
          <cell r="F312">
            <v>150960.20418314758</v>
          </cell>
          <cell r="G312">
            <v>136384.52308007076</v>
          </cell>
          <cell r="H312">
            <v>136389.68467641596</v>
          </cell>
          <cell r="I312">
            <v>147761.32339849786</v>
          </cell>
          <cell r="J312">
            <v>135311.89044879246</v>
          </cell>
          <cell r="K312">
            <v>135082.89279569895</v>
          </cell>
          <cell r="L312">
            <v>134156.9372385953</v>
          </cell>
        </row>
        <row r="313">
          <cell r="B313">
            <v>43500</v>
          </cell>
          <cell r="C313">
            <v>22000</v>
          </cell>
          <cell r="D313">
            <v>22000</v>
          </cell>
          <cell r="E313">
            <v>22000</v>
          </cell>
          <cell r="F313">
            <v>22000</v>
          </cell>
          <cell r="G313">
            <v>22000</v>
          </cell>
          <cell r="H313">
            <v>22000</v>
          </cell>
          <cell r="I313">
            <v>22000</v>
          </cell>
          <cell r="J313">
            <v>22000</v>
          </cell>
          <cell r="K313">
            <v>22000</v>
          </cell>
          <cell r="L313">
            <v>22000</v>
          </cell>
        </row>
        <row r="335">
          <cell r="C335">
            <v>1.2856714893132448E-3</v>
          </cell>
          <cell r="D335">
            <v>1.2856712564826012E-3</v>
          </cell>
          <cell r="E335">
            <v>1.2856731191277504E-3</v>
          </cell>
          <cell r="F335">
            <v>1.2856738176196814E-3</v>
          </cell>
          <cell r="G335">
            <v>1.2856724206358194E-3</v>
          </cell>
          <cell r="H335">
            <v>1.2856703251600266E-3</v>
          </cell>
          <cell r="I335">
            <v>1.2856707908213139E-3</v>
          </cell>
          <cell r="J335">
            <v>1.2856703251600266E-3</v>
          </cell>
          <cell r="K335">
            <v>1.2856707908213139E-3</v>
          </cell>
          <cell r="L335">
            <v>1.2856707908213139E-3</v>
          </cell>
        </row>
        <row r="714">
          <cell r="C714"/>
          <cell r="D714">
            <v>-21012.705063527374</v>
          </cell>
          <cell r="E714">
            <v>-21263.381131653074</v>
          </cell>
          <cell r="F714">
            <v>-23954.807494037603</v>
          </cell>
          <cell r="G714">
            <v>-19928.716766525711</v>
          </cell>
          <cell r="H714">
            <v>-22341.498345171312</v>
          </cell>
          <cell r="I714">
            <v>-22564.913328623046</v>
          </cell>
          <cell r="J714">
            <v>-25889.809706417986</v>
          </cell>
          <cell r="K714">
            <v>-21141.303303463683</v>
          </cell>
          <cell r="L714">
            <v>-23709.022129124231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0.99999999999999978</v>
          </cell>
        </row>
        <row r="279">
          <cell r="AJ279">
            <v>0.99999999999999978</v>
          </cell>
        </row>
      </sheetData>
      <sheetData sheetId="7">
        <row r="15">
          <cell r="D15">
            <v>9.7900000000000001E-2</v>
          </cell>
        </row>
        <row r="17">
          <cell r="D17">
            <v>929539</v>
          </cell>
        </row>
        <row r="76">
          <cell r="B76" t="str">
            <v>Off</v>
          </cell>
          <cell r="G76" t="str">
            <v>Off</v>
          </cell>
          <cell r="L76" t="str">
            <v>Off</v>
          </cell>
          <cell r="Q76" t="str">
            <v>On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On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>
            <v>9635</v>
          </cell>
          <cell r="N370"/>
        </row>
        <row r="372">
          <cell r="D372">
            <v>-10.336448003814155</v>
          </cell>
          <cell r="E372">
            <v>760</v>
          </cell>
          <cell r="F372">
            <v>1500</v>
          </cell>
          <cell r="G372">
            <v>2650</v>
          </cell>
          <cell r="H372">
            <v>3880</v>
          </cell>
          <cell r="I372">
            <v>4850</v>
          </cell>
          <cell r="J372">
            <v>5866</v>
          </cell>
          <cell r="K372">
            <v>6569</v>
          </cell>
          <cell r="L372">
            <v>8081</v>
          </cell>
          <cell r="M372">
            <v>9635</v>
          </cell>
        </row>
        <row r="386">
          <cell r="E386"/>
          <cell r="F386"/>
          <cell r="G386"/>
          <cell r="H386"/>
          <cell r="I386"/>
          <cell r="J386"/>
          <cell r="K386"/>
          <cell r="L386"/>
          <cell r="M386"/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0.02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0</v>
          </cell>
        </row>
      </sheetData>
      <sheetData sheetId="1"/>
      <sheetData sheetId="2">
        <row r="182">
          <cell r="C182">
            <v>0</v>
          </cell>
        </row>
      </sheetData>
      <sheetData sheetId="3">
        <row r="158">
          <cell r="C158">
            <v>0</v>
          </cell>
        </row>
        <row r="273">
          <cell r="L273">
            <v>33550.428885527406</v>
          </cell>
        </row>
      </sheetData>
      <sheetData sheetId="4"/>
      <sheetData sheetId="5"/>
      <sheetData sheetId="6">
        <row r="262">
          <cell r="E262">
            <v>0</v>
          </cell>
        </row>
      </sheetData>
      <sheetData sheetId="7">
        <row r="76">
          <cell r="B76" t="str">
            <v>Off</v>
          </cell>
        </row>
      </sheetData>
      <sheetData sheetId="8">
        <row r="426">
          <cell r="D426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0</v>
          </cell>
        </row>
      </sheetData>
      <sheetData sheetId="20">
        <row r="379">
          <cell r="C379">
            <v>0</v>
          </cell>
        </row>
      </sheetData>
      <sheetData sheetId="21">
        <row r="571">
          <cell r="Z571">
            <v>0</v>
          </cell>
        </row>
      </sheetData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7.0163748438574716E-2</v>
          </cell>
        </row>
        <row r="31">
          <cell r="Q31">
            <v>4.7082754806299434E-3</v>
          </cell>
        </row>
        <row r="32">
          <cell r="Q32">
            <v>-1.1995577282691088E-2</v>
          </cell>
        </row>
        <row r="33">
          <cell r="Q33">
            <v>-7.2609017338250842E-3</v>
          </cell>
        </row>
        <row r="36">
          <cell r="Q36">
            <v>3.7219054828204944E-2</v>
          </cell>
        </row>
        <row r="37">
          <cell r="Q37">
            <v>3.4743830853640675E-2</v>
          </cell>
        </row>
        <row r="38">
          <cell r="Q38">
            <v>2.8966306635776096E-2</v>
          </cell>
        </row>
        <row r="41">
          <cell r="Q41">
            <v>4.4805283321401067E-2</v>
          </cell>
        </row>
        <row r="45">
          <cell r="Q45">
            <v>9.2780815311215934E-3</v>
          </cell>
        </row>
        <row r="46">
          <cell r="Q46">
            <v>2.7605123659843595E-2</v>
          </cell>
        </row>
        <row r="61">
          <cell r="D61">
            <v>618444.34101440501</v>
          </cell>
          <cell r="E61">
            <v>678444.34101440501</v>
          </cell>
        </row>
        <row r="62">
          <cell r="D62">
            <v>669401.40899999999</v>
          </cell>
          <cell r="E62">
            <v>669401.40899999999</v>
          </cell>
        </row>
        <row r="63">
          <cell r="D63">
            <v>25682.681</v>
          </cell>
          <cell r="E63">
            <v>71072.706999999995</v>
          </cell>
        </row>
      </sheetData>
      <sheetData sheetId="1">
        <row r="182">
          <cell r="C182">
            <v>40164.320375295458</v>
          </cell>
          <cell r="D182">
            <v>40895.868508328283</v>
          </cell>
          <cell r="E182">
            <v>45799.841456391237</v>
          </cell>
          <cell r="F182">
            <v>47907.058807930007</v>
          </cell>
          <cell r="G182">
            <v>46275.015995579073</v>
          </cell>
          <cell r="H182">
            <v>47283.816747618417</v>
          </cell>
          <cell r="I182">
            <v>50129.277260096911</v>
          </cell>
          <cell r="J182">
            <v>56509.731589405448</v>
          </cell>
          <cell r="K182">
            <v>58535.875830645331</v>
          </cell>
          <cell r="L182">
            <v>56949.658522685611</v>
          </cell>
        </row>
        <row r="273">
          <cell r="L273">
            <v>32.572757796994452</v>
          </cell>
        </row>
      </sheetData>
      <sheetData sheetId="2">
        <row r="182">
          <cell r="C182">
            <v>429.29587891728374</v>
          </cell>
          <cell r="D182">
            <v>1570.1425000000017</v>
          </cell>
          <cell r="E182">
            <v>4640.2849999999971</v>
          </cell>
          <cell r="F182">
            <v>5140.2850000000089</v>
          </cell>
          <cell r="G182">
            <v>6140.2849999999908</v>
          </cell>
          <cell r="H182">
            <v>6640.2849999999926</v>
          </cell>
          <cell r="I182">
            <v>9640.2849999999835</v>
          </cell>
          <cell r="J182">
            <v>10340.285000000014</v>
          </cell>
          <cell r="K182">
            <v>11040.285000000009</v>
          </cell>
          <cell r="L182">
            <v>11740.285000000018</v>
          </cell>
        </row>
        <row r="510">
          <cell r="C510">
            <v>0</v>
          </cell>
        </row>
        <row r="512">
          <cell r="D512">
            <v>-15181.931723015101</v>
          </cell>
          <cell r="E512">
            <v>-61091.590338090631</v>
          </cell>
          <cell r="F512">
            <v>-17001.24895316613</v>
          </cell>
          <cell r="G512">
            <v>-17365.112399196329</v>
          </cell>
          <cell r="H512">
            <v>-17728.975845226534</v>
          </cell>
          <cell r="I512">
            <v>-94002.497906332253</v>
          </cell>
          <cell r="J512">
            <v>-26348.792656644011</v>
          </cell>
          <cell r="K512">
            <v>-26858.201481086304</v>
          </cell>
          <cell r="L512">
            <v>-27367.610305528578</v>
          </cell>
        </row>
        <row r="532">
          <cell r="C532">
            <v>0</v>
          </cell>
        </row>
      </sheetData>
      <sheetData sheetId="3">
        <row r="182">
          <cell r="C182">
            <v>40593.616254212786</v>
          </cell>
          <cell r="D182">
            <v>42466.011008328205</v>
          </cell>
          <cell r="E182">
            <v>50440.126456391219</v>
          </cell>
          <cell r="F182">
            <v>53047.343807930025</v>
          </cell>
          <cell r="G182">
            <v>52415.300995578975</v>
          </cell>
          <cell r="H182">
            <v>53924.101747618362</v>
          </cell>
          <cell r="I182">
            <v>59769.562260096915</v>
          </cell>
          <cell r="J182">
            <v>66850.01658940551</v>
          </cell>
          <cell r="K182">
            <v>69576.160830645385</v>
          </cell>
          <cell r="L182">
            <v>68689.943522685586</v>
          </cell>
        </row>
        <row r="273">
          <cell r="B273">
            <v>-2.2548755235970021E-2</v>
          </cell>
          <cell r="C273">
            <v>37.062157065993631</v>
          </cell>
          <cell r="D273">
            <v>-41.68434629876856</v>
          </cell>
          <cell r="E273">
            <v>64.270243759218829</v>
          </cell>
          <cell r="F273">
            <v>17.803494761968977</v>
          </cell>
          <cell r="G273">
            <v>37.16097315828938</v>
          </cell>
          <cell r="H273">
            <v>33.492054164059482</v>
          </cell>
          <cell r="I273">
            <v>38.040230130307464</v>
          </cell>
          <cell r="J273">
            <v>40.686318579369072</v>
          </cell>
          <cell r="K273">
            <v>34.303081694956745</v>
          </cell>
          <cell r="L273">
            <v>32.572757796991937</v>
          </cell>
        </row>
        <row r="306">
          <cell r="B306">
            <v>390529.12105894432</v>
          </cell>
          <cell r="C306">
            <v>442174.87701641547</v>
          </cell>
          <cell r="D306">
            <v>485671.62439771334</v>
          </cell>
          <cell r="E306">
            <v>523487.32528928271</v>
          </cell>
          <cell r="F306">
            <v>549872.85025712335</v>
          </cell>
          <cell r="G306">
            <v>566160.73669260007</v>
          </cell>
          <cell r="H306">
            <v>592375.3846087791</v>
          </cell>
          <cell r="I306">
            <v>642832.4550376694</v>
          </cell>
          <cell r="J306">
            <v>682818.01518881624</v>
          </cell>
          <cell r="K306">
            <v>710661.29627390555</v>
          </cell>
          <cell r="L306">
            <v>732614.97299722931</v>
          </cell>
        </row>
        <row r="309">
          <cell r="B309">
            <v>323667.26967428735</v>
          </cell>
          <cell r="C309">
            <v>392815.72826609452</v>
          </cell>
          <cell r="D309">
            <v>421922.07926609454</v>
          </cell>
          <cell r="E309">
            <v>487007.73726609454</v>
          </cell>
          <cell r="F309">
            <v>520073.29426609451</v>
          </cell>
          <cell r="G309">
            <v>558214.2462660945</v>
          </cell>
          <cell r="H309">
            <v>602336.18326609454</v>
          </cell>
          <cell r="I309">
            <v>698939.49826609448</v>
          </cell>
          <cell r="J309">
            <v>718982.49726609443</v>
          </cell>
          <cell r="K309">
            <v>750322.86026609445</v>
          </cell>
          <cell r="L309">
            <v>785161.39526609448</v>
          </cell>
        </row>
        <row r="312">
          <cell r="B312">
            <v>45604.448314077898</v>
          </cell>
          <cell r="C312">
            <v>61784.806858614102</v>
          </cell>
          <cell r="D312">
            <v>85871.175521028461</v>
          </cell>
          <cell r="E312">
            <v>81750.391805732841</v>
          </cell>
          <cell r="F312">
            <v>78109.211895998931</v>
          </cell>
          <cell r="G312">
            <v>73391.583810002339</v>
          </cell>
          <cell r="H312">
            <v>71578.163146042905</v>
          </cell>
          <cell r="I312">
            <v>67812.92040432326</v>
          </cell>
          <cell r="J312">
            <v>65393.011902361039</v>
          </cell>
          <cell r="K312">
            <v>63287.680868874711</v>
          </cell>
          <cell r="L312">
            <v>60410.111322977551</v>
          </cell>
        </row>
        <row r="313">
          <cell r="B313">
            <v>27874.152999999998</v>
          </cell>
          <cell r="C313">
            <v>893.649</v>
          </cell>
          <cell r="D313">
            <v>893.649</v>
          </cell>
          <cell r="E313">
            <v>893.649</v>
          </cell>
          <cell r="F313">
            <v>893.649</v>
          </cell>
          <cell r="G313">
            <v>893.649</v>
          </cell>
          <cell r="H313">
            <v>893.649</v>
          </cell>
          <cell r="I313">
            <v>893.649</v>
          </cell>
          <cell r="J313">
            <v>893.649</v>
          </cell>
          <cell r="K313">
            <v>893.649</v>
          </cell>
          <cell r="L313">
            <v>893.649</v>
          </cell>
        </row>
        <row r="335">
          <cell r="C335">
            <v>1.6721896827220917E-6</v>
          </cell>
          <cell r="D335">
            <v>1.6724225133657455E-6</v>
          </cell>
          <cell r="E335">
            <v>1.6726553440093994E-6</v>
          </cell>
          <cell r="F335">
            <v>1.6724225133657455E-6</v>
          </cell>
          <cell r="G335">
            <v>1.6724225133657455E-6</v>
          </cell>
          <cell r="H335">
            <v>1.6728881746530533E-6</v>
          </cell>
          <cell r="I335">
            <v>1.6717240214347839E-6</v>
          </cell>
          <cell r="J335">
            <v>1.6717240214347839E-6</v>
          </cell>
          <cell r="K335">
            <v>1.6759149730205536E-6</v>
          </cell>
          <cell r="L335">
            <v>1.6759149730205536E-6</v>
          </cell>
        </row>
        <row r="714">
          <cell r="C714"/>
          <cell r="D714">
            <v>-2839.0486306514522</v>
          </cell>
          <cell r="E714">
            <v>2582.5209566014569</v>
          </cell>
          <cell r="F714">
            <v>-1.546140993013978E-11</v>
          </cell>
          <cell r="G714">
            <v>-5.0022208597511053E-11</v>
          </cell>
          <cell r="H714">
            <v>1.0913936421275139E-11</v>
          </cell>
          <cell r="I714">
            <v>-3766.0149182541672</v>
          </cell>
          <cell r="J714">
            <v>3425.5672859364013</v>
          </cell>
          <cell r="K714">
            <v>-5.0931703299283981E-11</v>
          </cell>
          <cell r="L714">
            <v>-3.5470293369144201E-11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5">
          <cell r="D15">
            <v>9.7500000000000003E-2</v>
          </cell>
        </row>
        <row r="17">
          <cell r="D17">
            <v>669401.40899999999</v>
          </cell>
        </row>
        <row r="76">
          <cell r="B76" t="str">
            <v>On</v>
          </cell>
          <cell r="G76" t="str">
            <v>On</v>
          </cell>
          <cell r="L76" t="str">
            <v>Off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>
            <v>9600</v>
          </cell>
          <cell r="N370"/>
        </row>
        <row r="372">
          <cell r="D372">
            <v>429.29587891728374</v>
          </cell>
          <cell r="E372">
            <v>1570.1424999999999</v>
          </cell>
          <cell r="F372">
            <v>4640.2849999999999</v>
          </cell>
          <cell r="G372">
            <v>5140.2849999999999</v>
          </cell>
          <cell r="H372">
            <v>6140.2849999999999</v>
          </cell>
          <cell r="I372">
            <v>6640.2849999999999</v>
          </cell>
          <cell r="J372">
            <v>9640.2849999999999</v>
          </cell>
          <cell r="K372">
            <v>10340.285</v>
          </cell>
          <cell r="L372">
            <v>11040.285</v>
          </cell>
          <cell r="M372">
            <v>11740.285</v>
          </cell>
        </row>
        <row r="386">
          <cell r="E386">
            <v>5000</v>
          </cell>
          <cell r="F386">
            <v>20000</v>
          </cell>
          <cell r="G386">
            <v>5000</v>
          </cell>
          <cell r="H386">
            <v>7000</v>
          </cell>
          <cell r="I386">
            <v>5000</v>
          </cell>
          <cell r="J386">
            <v>30000</v>
          </cell>
          <cell r="K386">
            <v>7000</v>
          </cell>
          <cell r="L386">
            <v>7000</v>
          </cell>
          <cell r="M386">
            <v>7000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2.4281287084809398E-2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Reg Inputs"/>
      <sheetName val="Base_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2430227.4939214354</v>
          </cell>
        </row>
      </sheetData>
      <sheetData sheetId="1"/>
      <sheetData sheetId="2">
        <row r="182">
          <cell r="C182">
            <v>4106.0134159539502</v>
          </cell>
        </row>
      </sheetData>
      <sheetData sheetId="3">
        <row r="158">
          <cell r="C158">
            <v>63536.607367884419</v>
          </cell>
        </row>
        <row r="273">
          <cell r="G273">
            <v>9413.7894784966193</v>
          </cell>
          <cell r="H273">
            <v>-1450.2776865562819</v>
          </cell>
          <cell r="I273">
            <v>-1433.177854567858</v>
          </cell>
          <cell r="J273">
            <v>-2207.6567337334109</v>
          </cell>
          <cell r="K273">
            <v>-2786.2555258822676</v>
          </cell>
          <cell r="L273">
            <v>-2827.5371633681161</v>
          </cell>
        </row>
      </sheetData>
      <sheetData sheetId="4"/>
      <sheetData sheetId="5"/>
      <sheetData sheetId="6">
        <row r="15">
          <cell r="D15">
            <v>9.7500000000000003E-2</v>
          </cell>
        </row>
      </sheetData>
      <sheetData sheetId="7">
        <row r="262">
          <cell r="E262"/>
        </row>
      </sheetData>
      <sheetData sheetId="8">
        <row r="370">
          <cell r="E370">
            <v>2511.2499999999995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2.4168009723074386E-2</v>
          </cell>
        </row>
      </sheetData>
      <sheetData sheetId="20">
        <row r="379">
          <cell r="D379">
            <v>30613.74479527085</v>
          </cell>
        </row>
      </sheetData>
      <sheetData sheetId="21"/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es"/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/>
      <sheetData sheetId="1">
        <row r="14">
          <cell r="Q14">
            <v>5.2791575748809105E-2</v>
          </cell>
        </row>
        <row r="31">
          <cell r="Q31">
            <v>1.3828114585859483E-2</v>
          </cell>
        </row>
        <row r="32">
          <cell r="Q32">
            <v>-3.3857151612627337E-3</v>
          </cell>
        </row>
        <row r="33">
          <cell r="Q33">
            <v>-1.1036757767706603E-3</v>
          </cell>
        </row>
        <row r="36">
          <cell r="Q36">
            <v>2.1459237610385901E-2</v>
          </cell>
        </row>
        <row r="37">
          <cell r="Q37">
            <v>2.4686148893163257E-2</v>
          </cell>
        </row>
        <row r="38">
          <cell r="Q38">
            <v>9.1926428267460458E-3</v>
          </cell>
        </row>
        <row r="41">
          <cell r="Q41">
            <v>2.2587843053639197E-2</v>
          </cell>
        </row>
        <row r="45">
          <cell r="Q45">
            <v>-9.1324962925254946E-4</v>
          </cell>
        </row>
        <row r="46">
          <cell r="Q46">
            <v>2.3033850649958221E-2</v>
          </cell>
        </row>
        <row r="61">
          <cell r="D61">
            <v>403866</v>
          </cell>
          <cell r="E61">
            <v>413300</v>
          </cell>
        </row>
        <row r="62">
          <cell r="D62">
            <v>405704</v>
          </cell>
          <cell r="E62">
            <v>405704</v>
          </cell>
        </row>
        <row r="63">
          <cell r="D63">
            <v>0</v>
          </cell>
          <cell r="E63">
            <v>0</v>
          </cell>
        </row>
      </sheetData>
      <sheetData sheetId="2">
        <row r="182">
          <cell r="C182">
            <v>19263.526555336495</v>
          </cell>
          <cell r="D182">
            <v>19675.198273033755</v>
          </cell>
          <cell r="E182">
            <v>20906.439098418494</v>
          </cell>
          <cell r="F182">
            <v>21610.374461034917</v>
          </cell>
          <cell r="G182">
            <v>22570.019211940082</v>
          </cell>
          <cell r="H182">
            <v>23119.130030379383</v>
          </cell>
          <cell r="I182">
            <v>23614.186294207986</v>
          </cell>
          <cell r="J182">
            <v>24251.798604328604</v>
          </cell>
          <cell r="K182">
            <v>25741.632215838938</v>
          </cell>
          <cell r="L182">
            <v>26156.729506041946</v>
          </cell>
        </row>
        <row r="273">
          <cell r="L273">
            <v>8.102507817828819</v>
          </cell>
        </row>
      </sheetData>
      <sheetData sheetId="3">
        <row r="182">
          <cell r="C182">
            <v>149.05071841580832</v>
          </cell>
          <cell r="D182">
            <v>479.80071841581128</v>
          </cell>
          <cell r="E182">
            <v>878.71738508247336</v>
          </cell>
          <cell r="F182">
            <v>1140.139262884481</v>
          </cell>
          <cell r="G182">
            <v>1367.6444001236798</v>
          </cell>
          <cell r="H182">
            <v>1918.2106632011471</v>
          </cell>
          <cell r="I182">
            <v>2418.9574770727568</v>
          </cell>
          <cell r="J182">
            <v>3679.2889147855722</v>
          </cell>
          <cell r="K182">
            <v>4237.9106651678512</v>
          </cell>
          <cell r="L182">
            <v>5137.2969515980512</v>
          </cell>
        </row>
        <row r="510">
          <cell r="C510">
            <v>0</v>
          </cell>
        </row>
        <row r="512">
          <cell r="D512">
            <v>-2025.833685214503</v>
          </cell>
          <cell r="E512">
            <v>-9167.9189538942683</v>
          </cell>
          <cell r="F512">
            <v>-2310.0042225740367</v>
          </cell>
          <cell r="G512">
            <v>-3881.0468569139198</v>
          </cell>
          <cell r="H512">
            <v>-4477.9231764683054</v>
          </cell>
          <cell r="I512">
            <v>-4581.2579173263184</v>
          </cell>
          <cell r="J512">
            <v>-41149.598992045387</v>
          </cell>
          <cell r="K512">
            <v>-6730.8569093717051</v>
          </cell>
          <cell r="L512">
            <v>-6860.0253354442202</v>
          </cell>
        </row>
        <row r="532">
          <cell r="C532">
            <v>-3.9419319364242256E-7</v>
          </cell>
        </row>
      </sheetData>
      <sheetData sheetId="4">
        <row r="182">
          <cell r="C182">
            <v>19412.577273752297</v>
          </cell>
          <cell r="D182">
            <v>20154.998991449564</v>
          </cell>
          <cell r="E182">
            <v>21785.156483500959</v>
          </cell>
          <cell r="F182">
            <v>22750.513723919437</v>
          </cell>
          <cell r="G182">
            <v>23937.663612063792</v>
          </cell>
          <cell r="H182">
            <v>25037.340693580532</v>
          </cell>
          <cell r="I182">
            <v>26033.143771280756</v>
          </cell>
          <cell r="J182">
            <v>27931.087519114135</v>
          </cell>
          <cell r="K182">
            <v>29979.542881006797</v>
          </cell>
          <cell r="L182">
            <v>31294.026457639979</v>
          </cell>
        </row>
        <row r="273">
          <cell r="B273">
            <v>-6.7055225372314448E-11</v>
          </cell>
          <cell r="C273">
            <v>-3.8343018240993844E-7</v>
          </cell>
          <cell r="D273">
            <v>6.9717003327345424</v>
          </cell>
          <cell r="E273">
            <v>9.0527581637667254</v>
          </cell>
          <cell r="F273">
            <v>8.7151835145359655</v>
          </cell>
          <cell r="G273">
            <v>7.4170799479916241</v>
          </cell>
          <cell r="H273">
            <v>11.99786768565491</v>
          </cell>
          <cell r="I273">
            <v>7.7994502643555279</v>
          </cell>
          <cell r="J273">
            <v>7.5064249042916344</v>
          </cell>
          <cell r="K273">
            <v>8.1990388348822307</v>
          </cell>
          <cell r="L273">
            <v>8.102507423634961</v>
          </cell>
        </row>
        <row r="306">
          <cell r="B306">
            <v>197863.48080804729</v>
          </cell>
          <cell r="C306">
            <v>206142.34639965408</v>
          </cell>
          <cell r="D306">
            <v>212148.41991581538</v>
          </cell>
          <cell r="E306">
            <v>222269.59187961544</v>
          </cell>
          <cell r="F306">
            <v>230616.90742405693</v>
          </cell>
          <cell r="G306">
            <v>245453.00913723337</v>
          </cell>
          <cell r="H306">
            <v>254781.57204181299</v>
          </cell>
          <cell r="I306">
            <v>264686.96840135887</v>
          </cell>
          <cell r="J306">
            <v>293289.7482875784</v>
          </cell>
          <cell r="K306">
            <v>306181.49121920904</v>
          </cell>
          <cell r="L306">
            <v>319528.05921496981</v>
          </cell>
        </row>
        <row r="309">
          <cell r="B309">
            <v>207999</v>
          </cell>
          <cell r="C309">
            <v>208002.05153812945</v>
          </cell>
          <cell r="D309">
            <v>209002.05153812957</v>
          </cell>
          <cell r="E309">
            <v>213502.05153812957</v>
          </cell>
          <cell r="F309">
            <v>214502.05153812969</v>
          </cell>
          <cell r="G309">
            <v>216252.0515381298</v>
          </cell>
          <cell r="H309">
            <v>221252.05153812969</v>
          </cell>
          <cell r="I309">
            <v>226252.05153812957</v>
          </cell>
          <cell r="J309">
            <v>247252.05153812945</v>
          </cell>
          <cell r="K309">
            <v>250752.05153812957</v>
          </cell>
          <cell r="L309">
            <v>252752.05153812969</v>
          </cell>
        </row>
        <row r="312">
          <cell r="B312">
            <v>14586.480351634404</v>
          </cell>
          <cell r="C312">
            <v>18155.707100399715</v>
          </cell>
          <cell r="D312">
            <v>17287.356017744278</v>
          </cell>
          <cell r="E312">
            <v>20155.2492021076</v>
          </cell>
          <cell r="F312">
            <v>22701.140128001403</v>
          </cell>
          <cell r="G312">
            <v>21038.178001310651</v>
          </cell>
          <cell r="H312">
            <v>19784.502549388249</v>
          </cell>
          <cell r="I312">
            <v>17325.648612636003</v>
          </cell>
          <cell r="J312">
            <v>14981.44333418896</v>
          </cell>
          <cell r="K312">
            <v>10703.686686280002</v>
          </cell>
          <cell r="L312">
            <v>6561.7977305181339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35"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1.280568540096283E-9</v>
          </cell>
          <cell r="L335">
            <v>1.0477378964424133E-9</v>
          </cell>
        </row>
        <row r="714">
          <cell r="C714"/>
          <cell r="D714">
            <v>-313.28661136188634</v>
          </cell>
          <cell r="E714">
            <v>285.75724429455403</v>
          </cell>
          <cell r="F714">
            <v>-4.5133674575481564E-11</v>
          </cell>
          <cell r="G714">
            <v>2.4783730623312294E-11</v>
          </cell>
          <cell r="H714">
            <v>1.5006662579253316E-11</v>
          </cell>
          <cell r="I714">
            <v>-1.8189894035458565E-12</v>
          </cell>
          <cell r="J714">
            <v>-6.8212102632969618E-12</v>
          </cell>
          <cell r="K714">
            <v>3.1832314562052488E-12</v>
          </cell>
          <cell r="L714">
            <v>4.0017766878008842E-11</v>
          </cell>
        </row>
      </sheetData>
      <sheetData sheetId="5"/>
      <sheetData sheetId="6"/>
      <sheetData sheetId="7">
        <row r="262">
          <cell r="E262"/>
          <cell r="F262"/>
          <cell r="G262">
            <v>0</v>
          </cell>
          <cell r="H262">
            <v>200</v>
          </cell>
          <cell r="I262">
            <v>1000</v>
          </cell>
          <cell r="J262">
            <v>1000</v>
          </cell>
          <cell r="K262">
            <v>1000</v>
          </cell>
          <cell r="L262">
            <v>2300</v>
          </cell>
          <cell r="M262">
            <v>1600</v>
          </cell>
        </row>
        <row r="278">
          <cell r="AJ278">
            <v>1</v>
          </cell>
        </row>
        <row r="279">
          <cell r="AJ279">
            <v>1</v>
          </cell>
        </row>
      </sheetData>
      <sheetData sheetId="8">
        <row r="15">
          <cell r="D15">
            <v>9.7500000000000003E-2</v>
          </cell>
        </row>
        <row r="17">
          <cell r="D17">
            <v>405704</v>
          </cell>
        </row>
        <row r="76">
          <cell r="B76" t="str">
            <v>On</v>
          </cell>
          <cell r="G76" t="str">
            <v>Off</v>
          </cell>
          <cell r="L76" t="str">
            <v>Off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9">
        <row r="182">
          <cell r="C182"/>
        </row>
        <row r="370">
          <cell r="M370">
            <v>899.38628643020354</v>
          </cell>
          <cell r="N370"/>
        </row>
        <row r="372">
          <cell r="D372">
            <v>149.05071841580832</v>
          </cell>
          <cell r="E372">
            <v>479.80071841580832</v>
          </cell>
          <cell r="F372">
            <v>878.71738508247495</v>
          </cell>
          <cell r="G372">
            <v>1140.1392628844865</v>
          </cell>
          <cell r="H372">
            <v>1367.6444001236805</v>
          </cell>
          <cell r="I372">
            <v>1918.2106632011469</v>
          </cell>
          <cell r="J372">
            <v>2418.9574770727577</v>
          </cell>
          <cell r="K372">
            <v>3679.2889147855649</v>
          </cell>
          <cell r="L372">
            <v>4237.9106651678485</v>
          </cell>
          <cell r="M372">
            <v>5137.2969515980521</v>
          </cell>
        </row>
        <row r="386">
          <cell r="E386">
            <v>5600</v>
          </cell>
          <cell r="F386">
            <v>5000</v>
          </cell>
          <cell r="G386">
            <v>3870</v>
          </cell>
          <cell r="H386">
            <v>6096</v>
          </cell>
          <cell r="I386">
            <v>5000</v>
          </cell>
          <cell r="J386">
            <v>5000</v>
          </cell>
          <cell r="K386">
            <v>23000</v>
          </cell>
          <cell r="L386">
            <v>6000</v>
          </cell>
          <cell r="M386">
            <v>5000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505">
          <cell r="J505">
            <v>1.66E-2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Reg Inputs"/>
      <sheetName val="Base_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  <sheetName val="dep mdl"/>
      <sheetName val="Sheet2"/>
      <sheetName val="Sheet3"/>
      <sheetName val="Sheet1"/>
    </sheetNames>
    <sheetDataSet>
      <sheetData sheetId="0">
        <row r="61">
          <cell r="D61">
            <v>231795</v>
          </cell>
        </row>
      </sheetData>
      <sheetData sheetId="1"/>
      <sheetData sheetId="2">
        <row r="182">
          <cell r="C182">
            <v>75.800454055536107</v>
          </cell>
        </row>
      </sheetData>
      <sheetData sheetId="3">
        <row r="158">
          <cell r="C158">
            <v>5960.5808309415843</v>
          </cell>
        </row>
        <row r="273">
          <cell r="G273">
            <v>-1362.6213333025344</v>
          </cell>
          <cell r="H273">
            <v>-127.97506594718749</v>
          </cell>
          <cell r="I273">
            <v>-127.44893792777356</v>
          </cell>
          <cell r="J273">
            <v>-180.03105055624025</v>
          </cell>
          <cell r="K273">
            <v>-296.0141554348881</v>
          </cell>
          <cell r="L273">
            <v>-315.81383291369821</v>
          </cell>
        </row>
      </sheetData>
      <sheetData sheetId="4"/>
      <sheetData sheetId="5"/>
      <sheetData sheetId="6">
        <row r="15">
          <cell r="D15">
            <v>9.1999999999999998E-2</v>
          </cell>
        </row>
      </sheetData>
      <sheetData sheetId="7">
        <row r="262">
          <cell r="E262"/>
        </row>
      </sheetData>
      <sheetData sheetId="8">
        <row r="370">
          <cell r="E370">
            <v>44.226699999999994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2.3599999999999999E-2</v>
          </cell>
        </row>
      </sheetData>
      <sheetData sheetId="20">
        <row r="379">
          <cell r="C379">
            <v>2.3599997162818909E-2</v>
          </cell>
        </row>
      </sheetData>
      <sheetData sheetId="21"/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0.31116263856311543</v>
          </cell>
        </row>
        <row r="31">
          <cell r="Q31" t="e">
            <v>#NUM!</v>
          </cell>
        </row>
        <row r="32">
          <cell r="Q32" t="e">
            <v>#NUM!</v>
          </cell>
        </row>
        <row r="33">
          <cell r="Q33" t="e">
            <v>#NUM!</v>
          </cell>
        </row>
        <row r="36">
          <cell r="Q36">
            <v>9.5496114068978483E-2</v>
          </cell>
        </row>
        <row r="37">
          <cell r="Q37">
            <v>8.6544200272837241E-2</v>
          </cell>
        </row>
        <row r="38">
          <cell r="Q38" t="e">
            <v>#DIV/0!</v>
          </cell>
        </row>
        <row r="41">
          <cell r="Q41" t="e">
            <v>#DIV/0!</v>
          </cell>
        </row>
        <row r="45">
          <cell r="Q45" t="e">
            <v>#NUM!</v>
          </cell>
        </row>
        <row r="46">
          <cell r="Q46" t="e">
            <v>#DIV/0!</v>
          </cell>
        </row>
        <row r="61">
          <cell r="D61"/>
          <cell r="E61"/>
        </row>
        <row r="62">
          <cell r="D62"/>
          <cell r="E62"/>
        </row>
        <row r="63">
          <cell r="D63"/>
          <cell r="E63"/>
        </row>
      </sheetData>
      <sheetData sheetId="1">
        <row r="182">
          <cell r="C182">
            <v>2031.0878314749741</v>
          </cell>
          <cell r="D182">
            <v>2195.3104089253652</v>
          </cell>
          <cell r="E182">
            <v>2360.5649791375795</v>
          </cell>
          <cell r="F182">
            <v>2503.596274190405</v>
          </cell>
          <cell r="G182">
            <v>2643.0095963577987</v>
          </cell>
          <cell r="H182">
            <v>2778.5094145695712</v>
          </cell>
          <cell r="I182">
            <v>2938.296994380401</v>
          </cell>
          <cell r="J182">
            <v>3117.8557899510747</v>
          </cell>
          <cell r="K182">
            <v>3301.710678100445</v>
          </cell>
          <cell r="L182">
            <v>3493.6262519872544</v>
          </cell>
        </row>
        <row r="273">
          <cell r="L273">
            <v>41127.913131815825</v>
          </cell>
        </row>
      </sheetData>
      <sheetData sheetId="2"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510">
          <cell r="C510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</row>
        <row r="532">
          <cell r="C532">
            <v>0</v>
          </cell>
        </row>
      </sheetData>
      <sheetData sheetId="3">
        <row r="182">
          <cell r="C182">
            <v>2031.0878314749741</v>
          </cell>
          <cell r="D182">
            <v>2195.3104089253652</v>
          </cell>
          <cell r="E182">
            <v>2360.5649791375795</v>
          </cell>
          <cell r="F182">
            <v>2503.596274190405</v>
          </cell>
          <cell r="G182">
            <v>2643.0095963577987</v>
          </cell>
          <cell r="H182">
            <v>2778.5094145695712</v>
          </cell>
          <cell r="I182">
            <v>2938.296994380401</v>
          </cell>
          <cell r="J182">
            <v>3117.8557899510747</v>
          </cell>
          <cell r="K182">
            <v>3301.710678100445</v>
          </cell>
          <cell r="L182">
            <v>3493.6262519872544</v>
          </cell>
        </row>
        <row r="273">
          <cell r="B273">
            <v>2001.0733176616145</v>
          </cell>
          <cell r="C273">
            <v>5805.2681442662515</v>
          </cell>
          <cell r="D273">
            <v>9031.2792139667017</v>
          </cell>
          <cell r="E273">
            <v>12543.267355256645</v>
          </cell>
          <cell r="F273">
            <v>16191.176834103677</v>
          </cell>
          <cell r="G273">
            <v>19957.935082233609</v>
          </cell>
          <cell r="H273">
            <v>23856.478010550687</v>
          </cell>
          <cell r="I273">
            <v>27903.380677212481</v>
          </cell>
          <cell r="J273">
            <v>32124.549623833518</v>
          </cell>
          <cell r="K273">
            <v>36531.680561360154</v>
          </cell>
          <cell r="L273">
            <v>41127.913131815825</v>
          </cell>
        </row>
        <row r="306">
          <cell r="B306">
            <v>39091.810625455706</v>
          </cell>
          <cell r="C306">
            <v>41123.244074939576</v>
          </cell>
          <cell r="D306">
            <v>43318.554483864937</v>
          </cell>
          <cell r="E306">
            <v>45679.119463002513</v>
          </cell>
          <cell r="F306">
            <v>48182.715737192921</v>
          </cell>
          <cell r="G306">
            <v>50825.725333550712</v>
          </cell>
          <cell r="H306">
            <v>53604.234748120281</v>
          </cell>
          <cell r="I306">
            <v>56542.53174250068</v>
          </cell>
          <cell r="J306">
            <v>59660.387532451758</v>
          </cell>
          <cell r="K306">
            <v>62962.098210552205</v>
          </cell>
          <cell r="L306">
            <v>66455.724462539452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2">
          <cell r="B312">
            <v>132.22193355695745</v>
          </cell>
          <cell r="C312">
            <v>132.22193355695745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35">
          <cell r="C335">
            <v>-4.2519856651779264E-4</v>
          </cell>
          <cell r="D335">
            <v>-4.251985446899198E-4</v>
          </cell>
          <cell r="E335">
            <v>-4.2519853741396219E-4</v>
          </cell>
          <cell r="F335">
            <v>-4.251985446899198E-4</v>
          </cell>
          <cell r="G335">
            <v>-4.2519852286204696E-4</v>
          </cell>
          <cell r="H335">
            <v>-4.251984937582165E-4</v>
          </cell>
          <cell r="I335">
            <v>-4.2519846465438604E-4</v>
          </cell>
          <cell r="J335">
            <v>-4.2519847920630127E-4</v>
          </cell>
          <cell r="K335">
            <v>-4.2519847920630127E-4</v>
          </cell>
          <cell r="L335">
            <v>-4.2519847920630127E-4</v>
          </cell>
        </row>
        <row r="714">
          <cell r="C714"/>
          <cell r="D714">
            <v>-8958.9514819004762</v>
          </cell>
          <cell r="E714">
            <v>-9270.9268374603325</v>
          </cell>
          <cell r="F714">
            <v>-9545.6685370107134</v>
          </cell>
          <cell r="G714">
            <v>-9844.6300284873269</v>
          </cell>
          <cell r="H714">
            <v>-10145.737186780885</v>
          </cell>
          <cell r="I714">
            <v>-10455.614837857678</v>
          </cell>
          <cell r="J714">
            <v>-10775.513847892096</v>
          </cell>
          <cell r="K714">
            <v>-11105.775769936048</v>
          </cell>
          <cell r="L714">
            <v>-11446.754315774386</v>
          </cell>
        </row>
      </sheetData>
      <sheetData sheetId="4"/>
      <sheetData sheetId="5"/>
      <sheetData sheetId="6">
        <row r="262"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7">
          <cell r="D17"/>
        </row>
        <row r="76">
          <cell r="B76" t="str">
            <v>Off</v>
          </cell>
          <cell r="G76" t="str">
            <v>Off</v>
          </cell>
          <cell r="L76" t="str">
            <v>Off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/>
          <cell r="N370"/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86">
          <cell r="E386"/>
          <cell r="F386"/>
          <cell r="G386"/>
          <cell r="H386"/>
          <cell r="I386"/>
          <cell r="J386"/>
          <cell r="K386"/>
          <cell r="L386"/>
          <cell r="M386"/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477529</v>
          </cell>
        </row>
      </sheetData>
      <sheetData sheetId="1"/>
      <sheetData sheetId="2">
        <row r="182">
          <cell r="C182">
            <v>119.07944534442643</v>
          </cell>
        </row>
      </sheetData>
      <sheetData sheetId="3">
        <row r="158">
          <cell r="C158">
            <v>17330.296483095342</v>
          </cell>
        </row>
        <row r="273">
          <cell r="G273">
            <v>114.27009977377293</v>
          </cell>
          <cell r="H273">
            <v>110.82379619863104</v>
          </cell>
          <cell r="I273">
            <v>1105.6039136136678</v>
          </cell>
          <cell r="J273">
            <v>2376.9170760720749</v>
          </cell>
          <cell r="K273">
            <v>2516.8772453258935</v>
          </cell>
          <cell r="L273">
            <v>9721.5227800596149</v>
          </cell>
        </row>
      </sheetData>
      <sheetData sheetId="4"/>
      <sheetData sheetId="5"/>
      <sheetData sheetId="6">
        <row r="262">
          <cell r="E262"/>
        </row>
      </sheetData>
      <sheetData sheetId="7">
        <row r="15">
          <cell r="D15">
            <v>9.9900000000000003E-2</v>
          </cell>
        </row>
      </sheetData>
      <sheetData sheetId="8">
        <row r="370">
          <cell r="E370">
            <v>446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2.2356614644211448E-2</v>
          </cell>
        </row>
      </sheetData>
      <sheetData sheetId="20">
        <row r="379">
          <cell r="D379">
            <v>3592.0508239694755</v>
          </cell>
        </row>
      </sheetData>
      <sheetData sheetId="21"/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5.1318442547591304E-2</v>
          </cell>
        </row>
        <row r="31">
          <cell r="Q31">
            <v>6.5041089446798414E-2</v>
          </cell>
        </row>
        <row r="32">
          <cell r="Q32">
            <v>9.9354726026755474E-3</v>
          </cell>
        </row>
        <row r="33">
          <cell r="Q33">
            <v>0.1345840756337163</v>
          </cell>
        </row>
        <row r="36">
          <cell r="Q36">
            <v>1.3500253143748336E-2</v>
          </cell>
        </row>
        <row r="37">
          <cell r="Q37" t="e">
            <v>#NUM!</v>
          </cell>
        </row>
        <row r="38">
          <cell r="Q38" t="e">
            <v>#DIV/0!</v>
          </cell>
        </row>
        <row r="41">
          <cell r="Q41">
            <v>-0.10672089013970332</v>
          </cell>
        </row>
        <row r="45">
          <cell r="Q45" t="e">
            <v>#NUM!</v>
          </cell>
        </row>
        <row r="46">
          <cell r="Q46" t="e">
            <v>#DIV/0!</v>
          </cell>
        </row>
        <row r="61">
          <cell r="D61">
            <v>31254.578073043587</v>
          </cell>
          <cell r="E61">
            <v>30052.478916388063</v>
          </cell>
        </row>
        <row r="62">
          <cell r="D62">
            <v>0</v>
          </cell>
          <cell r="E62">
            <v>0</v>
          </cell>
        </row>
        <row r="63">
          <cell r="D63">
            <v>0</v>
          </cell>
          <cell r="E63">
            <v>0</v>
          </cell>
        </row>
      </sheetData>
      <sheetData sheetId="1">
        <row r="182">
          <cell r="C182">
            <v>3441.7317986645603</v>
          </cell>
          <cell r="D182">
            <v>4083.4416357806695</v>
          </cell>
          <cell r="E182">
            <v>4161.387712133057</v>
          </cell>
          <cell r="F182">
            <v>4263.3309121862567</v>
          </cell>
          <cell r="G182">
            <v>4734.2929327172697</v>
          </cell>
          <cell r="H182">
            <v>4841.2778317514512</v>
          </cell>
          <cell r="I182">
            <v>4948.1792737133646</v>
          </cell>
          <cell r="J182">
            <v>5430.8759569021895</v>
          </cell>
          <cell r="K182">
            <v>5542.2201368778988</v>
          </cell>
          <cell r="L182">
            <v>5650.0617495069873</v>
          </cell>
        </row>
        <row r="273">
          <cell r="L273">
            <v>36823.349590937927</v>
          </cell>
        </row>
      </sheetData>
      <sheetData sheetId="2"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-3.1263880373444408E-13</v>
          </cell>
          <cell r="I182">
            <v>0</v>
          </cell>
          <cell r="J182">
            <v>1.1937117960769683E-12</v>
          </cell>
          <cell r="K182">
            <v>-1.2505552149377763E-12</v>
          </cell>
          <cell r="L182">
            <v>1.4779288903810084E-12</v>
          </cell>
        </row>
        <row r="510">
          <cell r="C510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-6177.3694079110574</v>
          </cell>
          <cell r="I512">
            <v>-6298.7021563826966</v>
          </cell>
          <cell r="J512">
            <v>-6420.054574434751</v>
          </cell>
          <cell r="K512">
            <v>-6541.4266620672124</v>
          </cell>
          <cell r="L512">
            <v>-6662.8184192800873</v>
          </cell>
        </row>
        <row r="532">
          <cell r="C532">
            <v>0</v>
          </cell>
        </row>
      </sheetData>
      <sheetData sheetId="3">
        <row r="182">
          <cell r="C182">
            <v>3441.7317986645603</v>
          </cell>
          <cell r="D182">
            <v>4083.4416357806695</v>
          </cell>
          <cell r="E182">
            <v>4161.387712133057</v>
          </cell>
          <cell r="F182">
            <v>4263.3309121862567</v>
          </cell>
          <cell r="G182">
            <v>4734.2929327172697</v>
          </cell>
          <cell r="H182">
            <v>4841.277831751444</v>
          </cell>
          <cell r="I182">
            <v>4948.1792737133646</v>
          </cell>
          <cell r="J182">
            <v>5430.8759569021931</v>
          </cell>
          <cell r="K182">
            <v>5542.2201368779006</v>
          </cell>
          <cell r="L182">
            <v>5650.0617495069855</v>
          </cell>
        </row>
        <row r="273">
          <cell r="B273">
            <v>-4.4953697826713326E-5</v>
          </cell>
          <cell r="C273">
            <v>-3.9999999338760975E-5</v>
          </cell>
          <cell r="D273">
            <v>17555.918541308209</v>
          </cell>
          <cell r="E273">
            <v>19918.544701669885</v>
          </cell>
          <cell r="F273">
            <v>22279.974812259235</v>
          </cell>
          <cell r="G273">
            <v>24807.058327007853</v>
          </cell>
          <cell r="H273">
            <v>27364.483484448014</v>
          </cell>
          <cell r="I273">
            <v>29944.335484422241</v>
          </cell>
          <cell r="J273">
            <v>32662.68384557002</v>
          </cell>
          <cell r="K273">
            <v>35052.666382944379</v>
          </cell>
          <cell r="L273">
            <v>37124.255223043612</v>
          </cell>
        </row>
        <row r="306">
          <cell r="B306">
            <v>43705.668388981889</v>
          </cell>
          <cell r="C306">
            <v>43618.408670203142</v>
          </cell>
          <cell r="D306">
            <v>44652.91402217438</v>
          </cell>
          <cell r="E306">
            <v>45710.882660498166</v>
          </cell>
          <cell r="F306">
            <v>46794.797350502791</v>
          </cell>
          <cell r="G306">
            <v>48062.134659295349</v>
          </cell>
          <cell r="H306">
            <v>52349.883214635614</v>
          </cell>
          <cell r="I306">
            <v>56664.89149272714</v>
          </cell>
          <cell r="J306">
            <v>61167.732008379608</v>
          </cell>
          <cell r="K306">
            <v>65632.552756274585</v>
          </cell>
          <cell r="L306">
            <v>70124.176403372534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3058.6039755351703</v>
          </cell>
          <cell r="I309">
            <v>6117.7079510703406</v>
          </cell>
          <cell r="J309">
            <v>9177.3119266055146</v>
          </cell>
          <cell r="K309">
            <v>12237.415902140681</v>
          </cell>
          <cell r="L309">
            <v>15298.019877675863</v>
          </cell>
        </row>
        <row r="312">
          <cell r="B312">
            <v>-14090.73879834256</v>
          </cell>
          <cell r="C312">
            <v>-15264.12269039722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35">
          <cell r="C335">
            <v>-1.2856722241849639E-3</v>
          </cell>
          <cell r="D335">
            <v>-1.2856722096330486E-3</v>
          </cell>
          <cell r="E335">
            <v>-1.2856722096330486E-3</v>
          </cell>
          <cell r="F335">
            <v>-1.2856721878051758E-3</v>
          </cell>
          <cell r="G335">
            <v>-1.2856721587013453E-3</v>
          </cell>
          <cell r="H335">
            <v>-1.2856721295975149E-3</v>
          </cell>
          <cell r="I335">
            <v>-1.2856721295975149E-3</v>
          </cell>
          <cell r="J335">
            <v>-1.2856721295975149E-3</v>
          </cell>
          <cell r="K335">
            <v>-1.2856721295975149E-3</v>
          </cell>
          <cell r="L335">
            <v>-1.2856720859417692E-3</v>
          </cell>
        </row>
        <row r="714">
          <cell r="C714"/>
          <cell r="D714">
            <v>0</v>
          </cell>
          <cell r="E714">
            <v>0</v>
          </cell>
          <cell r="F714">
            <v>-4.5474735088646412E-12</v>
          </cell>
          <cell r="G714">
            <v>-1.0913936421275139E-11</v>
          </cell>
          <cell r="H714">
            <v>0</v>
          </cell>
          <cell r="I714">
            <v>0</v>
          </cell>
          <cell r="J714">
            <v>0</v>
          </cell>
          <cell r="K714">
            <v>8.6401996668428183E-12</v>
          </cell>
          <cell r="L714">
            <v>1.0004441719502211E-11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5">
          <cell r="D15"/>
        </row>
        <row r="17">
          <cell r="D17">
            <v>0</v>
          </cell>
        </row>
        <row r="76">
          <cell r="B76" t="str">
            <v>Off</v>
          </cell>
          <cell r="G76" t="str">
            <v>Off</v>
          </cell>
          <cell r="L76" t="str">
            <v>Off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/>
          <cell r="N370"/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86">
          <cell r="E386"/>
          <cell r="F386"/>
          <cell r="G386"/>
          <cell r="H386"/>
          <cell r="I386">
            <v>3.6189099544832501</v>
          </cell>
          <cell r="J386">
            <v>4.6189099544832501</v>
          </cell>
          <cell r="K386">
            <v>5.6189099544832501</v>
          </cell>
          <cell r="L386">
            <v>6.6189099544832501</v>
          </cell>
          <cell r="M386">
            <v>7.6189099544832501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1.9569389169501739E-2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26870</v>
          </cell>
        </row>
      </sheetData>
      <sheetData sheetId="1"/>
      <sheetData sheetId="2">
        <row r="182">
          <cell r="C182">
            <v>0</v>
          </cell>
        </row>
      </sheetData>
      <sheetData sheetId="3">
        <row r="158">
          <cell r="C158">
            <v>934.6849999999996</v>
          </cell>
        </row>
        <row r="273">
          <cell r="G273">
            <v>-499.57702226760335</v>
          </cell>
          <cell r="H273">
            <v>-499.98381855339181</v>
          </cell>
          <cell r="I273">
            <v>-477.10553718854362</v>
          </cell>
          <cell r="J273">
            <v>-481.06519743122431</v>
          </cell>
          <cell r="K273">
            <v>-481.44383256584877</v>
          </cell>
          <cell r="L273">
            <v>-482.04055197392103</v>
          </cell>
        </row>
      </sheetData>
      <sheetData sheetId="4"/>
      <sheetData sheetId="5"/>
      <sheetData sheetId="6">
        <row r="262">
          <cell r="E262"/>
        </row>
      </sheetData>
      <sheetData sheetId="7">
        <row r="15">
          <cell r="D15">
            <v>0.10199999999999999</v>
          </cell>
        </row>
      </sheetData>
      <sheetData sheetId="8">
        <row r="370">
          <cell r="E370">
            <v>25233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3.4799999999999998E-2</v>
          </cell>
        </row>
      </sheetData>
      <sheetData sheetId="20">
        <row r="379">
          <cell r="C379">
            <v>3.479999303817749E-2</v>
          </cell>
        </row>
      </sheetData>
      <sheetData sheetId="21">
        <row r="571">
          <cell r="Z571">
            <v>0</v>
          </cell>
        </row>
      </sheetData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Sheet1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9.6015318838213098E-2</v>
          </cell>
        </row>
        <row r="31">
          <cell r="Q31">
            <v>1.8300895796786898E-3</v>
          </cell>
        </row>
        <row r="32">
          <cell r="Q32">
            <v>-3.7527295092200925E-3</v>
          </cell>
        </row>
        <row r="33">
          <cell r="Q33">
            <v>-4.5839660915638798E-3</v>
          </cell>
        </row>
        <row r="36">
          <cell r="Q36">
            <v>6.5138764781475816E-2</v>
          </cell>
        </row>
        <row r="37">
          <cell r="Q37">
            <v>6.1145439834345533E-2</v>
          </cell>
        </row>
        <row r="38">
          <cell r="Q38">
            <v>5.8590005460162478E-2</v>
          </cell>
        </row>
        <row r="41">
          <cell r="Q41">
            <v>7.0043809320914016E-2</v>
          </cell>
        </row>
        <row r="45">
          <cell r="Q45">
            <v>7.9414928739769321E-3</v>
          </cell>
        </row>
        <row r="46">
          <cell r="Q46">
            <v>5.6689850694399239E-2</v>
          </cell>
        </row>
        <row r="61">
          <cell r="D61">
            <v>12450</v>
          </cell>
          <cell r="E61">
            <v>14605</v>
          </cell>
        </row>
        <row r="62">
          <cell r="D62">
            <v>12061</v>
          </cell>
          <cell r="E62">
            <v>14605</v>
          </cell>
        </row>
        <row r="63">
          <cell r="D63">
            <v>0</v>
          </cell>
          <cell r="E63">
            <v>0</v>
          </cell>
        </row>
      </sheetData>
      <sheetData sheetId="1">
        <row r="182">
          <cell r="C182">
            <v>1007.1617504223415</v>
          </cell>
          <cell r="D182">
            <v>854.99210320871521</v>
          </cell>
          <cell r="E182">
            <v>1249.3104392963919</v>
          </cell>
          <cell r="F182">
            <v>1536.2997479076707</v>
          </cell>
          <cell r="G182">
            <v>1694.9790666584217</v>
          </cell>
          <cell r="H182">
            <v>1767.179551258545</v>
          </cell>
          <cell r="I182">
            <v>1767.3842191430113</v>
          </cell>
          <cell r="J182">
            <v>1866.3285634473193</v>
          </cell>
          <cell r="K182">
            <v>1904.8263368928358</v>
          </cell>
          <cell r="L182">
            <v>2060.718559369192</v>
          </cell>
        </row>
        <row r="273">
          <cell r="L273">
            <v>-7.7108919929537278E-2</v>
          </cell>
        </row>
      </sheetData>
      <sheetData sheetId="2">
        <row r="182">
          <cell r="C182">
            <v>5.7574290005984032</v>
          </cell>
          <cell r="D182">
            <v>85.169000000000011</v>
          </cell>
          <cell r="E182">
            <v>114.16899999999997</v>
          </cell>
          <cell r="F182">
            <v>122.16900000000066</v>
          </cell>
          <cell r="G182">
            <v>124.16899999999984</v>
          </cell>
          <cell r="H182">
            <v>135.16900000000012</v>
          </cell>
          <cell r="I182">
            <v>146.16899999999976</v>
          </cell>
          <cell r="J182">
            <v>157.16900000000004</v>
          </cell>
          <cell r="K182">
            <v>168.16900000000021</v>
          </cell>
          <cell r="L182">
            <v>179.16899999999981</v>
          </cell>
        </row>
        <row r="510">
          <cell r="C510">
            <v>0</v>
          </cell>
        </row>
        <row r="512">
          <cell r="D512">
            <v>-224.53102716753335</v>
          </cell>
          <cell r="E512">
            <v>-587.04409808918967</v>
          </cell>
          <cell r="F512">
            <v>-172.12463667203613</v>
          </cell>
          <cell r="G512">
            <v>-53.497755207940564</v>
          </cell>
          <cell r="H512">
            <v>-235.28280930461634</v>
          </cell>
          <cell r="I512">
            <v>-238.30367008360602</v>
          </cell>
          <cell r="J512">
            <v>-241.32453086259588</v>
          </cell>
          <cell r="K512">
            <v>-244.34539164158551</v>
          </cell>
          <cell r="L512">
            <v>-247.36625242057536</v>
          </cell>
        </row>
        <row r="532">
          <cell r="C532">
            <v>2.5863755581667647E-12</v>
          </cell>
        </row>
      </sheetData>
      <sheetData sheetId="3">
        <row r="182">
          <cell r="C182">
            <v>1012.9191794229387</v>
          </cell>
          <cell r="D182">
            <v>940.16110320871564</v>
          </cell>
          <cell r="E182">
            <v>1363.4794392963909</v>
          </cell>
          <cell r="F182">
            <v>1658.4687479076722</v>
          </cell>
          <cell r="G182">
            <v>1819.1480666584216</v>
          </cell>
          <cell r="H182">
            <v>1902.3485512585451</v>
          </cell>
          <cell r="I182">
            <v>1913.5532191430104</v>
          </cell>
          <cell r="J182">
            <v>2023.4975634473176</v>
          </cell>
          <cell r="K182">
            <v>2072.995336892835</v>
          </cell>
          <cell r="L182">
            <v>2239.8875593691919</v>
          </cell>
        </row>
        <row r="273">
          <cell r="B273">
            <v>14.33412424976367</v>
          </cell>
          <cell r="C273">
            <v>2.7807319471179451E-3</v>
          </cell>
          <cell r="D273">
            <v>0.26617769601176633</v>
          </cell>
          <cell r="E273">
            <v>0.32292819058010025</v>
          </cell>
          <cell r="F273">
            <v>0.28472446877783852</v>
          </cell>
          <cell r="G273">
            <v>0.27728325439342427</v>
          </cell>
          <cell r="H273">
            <v>2.4806899739616028E-2</v>
          </cell>
          <cell r="I273">
            <v>8.5267403836269295E-2</v>
          </cell>
          <cell r="J273">
            <v>0.14720757007268048</v>
          </cell>
          <cell r="K273">
            <v>8.0079336003549884E-2</v>
          </cell>
          <cell r="L273">
            <v>-7.7108919927070474E-2</v>
          </cell>
        </row>
        <row r="306">
          <cell r="B306">
            <v>6187.128545087342</v>
          </cell>
          <cell r="C306">
            <v>13673.833070226663</v>
          </cell>
          <cell r="D306">
            <v>15881.339836579038</v>
          </cell>
          <cell r="E306">
            <v>16554.361931275205</v>
          </cell>
          <cell r="F306">
            <v>17414.889967333438</v>
          </cell>
          <cell r="G306">
            <v>17917.057637085149</v>
          </cell>
          <cell r="H306">
            <v>19083.293701329472</v>
          </cell>
          <cell r="I306">
            <v>20287.650536406505</v>
          </cell>
          <cell r="J306">
            <v>21494.064202785747</v>
          </cell>
          <cell r="K306">
            <v>22733.603985685215</v>
          </cell>
          <cell r="L306">
            <v>23907.988794075336</v>
          </cell>
        </row>
        <row r="309">
          <cell r="B309">
            <v>5600</v>
          </cell>
          <cell r="C309">
            <v>4300</v>
          </cell>
          <cell r="D309">
            <v>3511.4999999999982</v>
          </cell>
          <cell r="E309">
            <v>6001.5</v>
          </cell>
          <cell r="F309">
            <v>8281.5000000000036</v>
          </cell>
          <cell r="G309">
            <v>10201.499999999996</v>
          </cell>
          <cell r="H309">
            <v>12511.499999999989</v>
          </cell>
          <cell r="I309">
            <v>14521.499999999982</v>
          </cell>
          <cell r="J309">
            <v>15731.499999999975</v>
          </cell>
          <cell r="K309">
            <v>16841.499999999978</v>
          </cell>
          <cell r="L309">
            <v>18051.499999999993</v>
          </cell>
        </row>
        <row r="312">
          <cell r="B312">
            <v>12546.756967782176</v>
          </cell>
          <cell r="C312">
            <v>10190.222654332732</v>
          </cell>
          <cell r="D312">
            <v>9077.6041747266518</v>
          </cell>
          <cell r="E312">
            <v>8315.2462692124755</v>
          </cell>
          <cell r="F312">
            <v>7180.0514586983063</v>
          </cell>
          <cell r="G312">
            <v>5485.7707612791628</v>
          </cell>
          <cell r="H312">
            <v>4340.1822565191715</v>
          </cell>
          <cell r="I312">
            <v>3475.712823770903</v>
          </cell>
          <cell r="J312">
            <v>3377.1388935502246</v>
          </cell>
          <cell r="K312">
            <v>3271.2208476949477</v>
          </cell>
          <cell r="L312">
            <v>3175.9256150127653</v>
          </cell>
        </row>
        <row r="313">
          <cell r="B313">
            <v>0</v>
          </cell>
          <cell r="C313">
            <v>1300</v>
          </cell>
          <cell r="D313">
            <v>1300</v>
          </cell>
          <cell r="E313">
            <v>1300</v>
          </cell>
          <cell r="F313">
            <v>1300</v>
          </cell>
          <cell r="G313">
            <v>1300</v>
          </cell>
          <cell r="H313">
            <v>1300</v>
          </cell>
          <cell r="I313">
            <v>1300</v>
          </cell>
          <cell r="J313">
            <v>1300</v>
          </cell>
          <cell r="K313">
            <v>1300</v>
          </cell>
          <cell r="L313">
            <v>1300</v>
          </cell>
        </row>
        <row r="335">
          <cell r="C335">
            <v>-2.164510078728199E-6</v>
          </cell>
          <cell r="D335">
            <v>-2.1644882508553565E-6</v>
          </cell>
          <cell r="E335">
            <v>-2.1645028027705848E-6</v>
          </cell>
          <cell r="F335">
            <v>-2.1645246306434274E-6</v>
          </cell>
          <cell r="G335">
            <v>-2.164510078728199E-6</v>
          </cell>
          <cell r="H335">
            <v>-2.1644955268129706E-6</v>
          </cell>
          <cell r="I335">
            <v>-2.1645028027705848E-6</v>
          </cell>
          <cell r="J335">
            <v>-2.1644736989401281E-6</v>
          </cell>
          <cell r="K335">
            <v>-2.1644809748977423E-6</v>
          </cell>
          <cell r="L335">
            <v>-2.1644882508553565E-6</v>
          </cell>
        </row>
        <row r="714">
          <cell r="C714"/>
          <cell r="D714">
            <v>-1.9872992140790302E-14</v>
          </cell>
          <cell r="E714">
            <v>-9.8054897534893826E-13</v>
          </cell>
          <cell r="F714">
            <v>-3.694822225952521E-13</v>
          </cell>
          <cell r="G714">
            <v>7.3896444519050419E-13</v>
          </cell>
          <cell r="H714">
            <v>5.8264504332328215E-13</v>
          </cell>
          <cell r="I714">
            <v>-2.5579538487363607E-13</v>
          </cell>
          <cell r="J714">
            <v>7.3896444519050419E-13</v>
          </cell>
          <cell r="K714">
            <v>1.0658141036401503E-12</v>
          </cell>
          <cell r="L714">
            <v>1.8474111129762605E-13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5">
          <cell r="D15">
            <v>9.7500000000000003E-2</v>
          </cell>
        </row>
        <row r="17">
          <cell r="D17">
            <v>27467</v>
          </cell>
        </row>
        <row r="76">
          <cell r="B76" t="str">
            <v>On</v>
          </cell>
          <cell r="G76" t="str">
            <v>On</v>
          </cell>
          <cell r="L76" t="str">
            <v>On</v>
          </cell>
          <cell r="Q76" t="str">
            <v>On</v>
          </cell>
          <cell r="V76" t="str">
            <v>On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>
            <v>99.168999999999997</v>
          </cell>
          <cell r="N370"/>
        </row>
        <row r="372">
          <cell r="D372">
            <v>5.7574290005984032</v>
          </cell>
          <cell r="E372">
            <v>85.168999999999997</v>
          </cell>
          <cell r="F372">
            <v>114.169</v>
          </cell>
          <cell r="G372">
            <v>122.169</v>
          </cell>
          <cell r="H372">
            <v>124.169</v>
          </cell>
          <cell r="I372">
            <v>135.16899999999998</v>
          </cell>
          <cell r="J372">
            <v>146.16899999999998</v>
          </cell>
          <cell r="K372">
            <v>157.16899999999998</v>
          </cell>
          <cell r="L372">
            <v>168.16899999999998</v>
          </cell>
          <cell r="M372">
            <v>179.16899999999998</v>
          </cell>
        </row>
        <row r="386">
          <cell r="E386">
            <v>39</v>
          </cell>
          <cell r="F386">
            <v>96</v>
          </cell>
          <cell r="G386">
            <v>25</v>
          </cell>
          <cell r="H386">
            <v>6</v>
          </cell>
          <cell r="I386">
            <v>32</v>
          </cell>
          <cell r="J386">
            <v>30</v>
          </cell>
          <cell r="K386">
            <v>29</v>
          </cell>
          <cell r="L386">
            <v>27</v>
          </cell>
          <cell r="M386">
            <v>26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2.2749255357521533E-2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0</v>
          </cell>
        </row>
      </sheetData>
      <sheetData sheetId="1"/>
      <sheetData sheetId="2">
        <row r="182">
          <cell r="C182">
            <v>36.589514379943772</v>
          </cell>
        </row>
      </sheetData>
      <sheetData sheetId="3">
        <row r="158">
          <cell r="C158">
            <v>3533.2267193613561</v>
          </cell>
        </row>
        <row r="273">
          <cell r="G273">
            <v>25.977372237752206</v>
          </cell>
          <cell r="H273">
            <v>26.305648915940992</v>
          </cell>
          <cell r="I273">
            <v>26.335613316696254</v>
          </cell>
          <cell r="J273">
            <v>40.995027378260488</v>
          </cell>
          <cell r="K273">
            <v>40.151913756182466</v>
          </cell>
          <cell r="L273">
            <v>40.576325173975988</v>
          </cell>
        </row>
      </sheetData>
      <sheetData sheetId="4"/>
      <sheetData sheetId="5"/>
      <sheetData sheetId="6">
        <row r="262">
          <cell r="E262"/>
        </row>
      </sheetData>
      <sheetData sheetId="7">
        <row r="15">
          <cell r="D15">
            <v>0.1</v>
          </cell>
        </row>
      </sheetData>
      <sheetData sheetId="8">
        <row r="370">
          <cell r="E370">
            <v>-1.7053025658242404E-12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1.2500000000000001E-2</v>
          </cell>
        </row>
      </sheetData>
      <sheetData sheetId="20">
        <row r="379">
          <cell r="C379">
            <v>1.2499995529651642E-2</v>
          </cell>
        </row>
      </sheetData>
      <sheetData sheetId="21">
        <row r="571">
          <cell r="Z571">
            <v>58227.433077461545</v>
          </cell>
        </row>
      </sheetData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4.9444382337753091E-2</v>
          </cell>
        </row>
        <row r="31">
          <cell r="Q31">
            <v>2.922696071092106E-3</v>
          </cell>
        </row>
        <row r="32">
          <cell r="Q32">
            <v>4.5598562127250192E-3</v>
          </cell>
        </row>
        <row r="33">
          <cell r="Q33">
            <v>-4.2368857862354406E-3</v>
          </cell>
        </row>
        <row r="36">
          <cell r="Q36">
            <v>2.9144597622571728E-2</v>
          </cell>
        </row>
        <row r="37">
          <cell r="Q37">
            <v>3.2524477611206269E-2</v>
          </cell>
        </row>
        <row r="38">
          <cell r="Q38">
            <v>2.8143133434097429E-2</v>
          </cell>
        </row>
        <row r="41">
          <cell r="Q41">
            <v>3.3523518727332391E-2</v>
          </cell>
        </row>
        <row r="45">
          <cell r="Q45">
            <v>9.6464445491928184E-15</v>
          </cell>
        </row>
        <row r="46">
          <cell r="Q46">
            <v>2.9069838785894368E-2</v>
          </cell>
        </row>
        <row r="61">
          <cell r="D61">
            <v>3600</v>
          </cell>
          <cell r="E61">
            <v>4000</v>
          </cell>
        </row>
        <row r="62">
          <cell r="D62">
            <v>3956</v>
          </cell>
          <cell r="E62">
            <v>3956</v>
          </cell>
        </row>
        <row r="63">
          <cell r="D63">
            <v>0</v>
          </cell>
          <cell r="E63">
            <v>0</v>
          </cell>
        </row>
      </sheetData>
      <sheetData sheetId="1">
        <row r="182">
          <cell r="C182">
            <v>250.02296730298016</v>
          </cell>
          <cell r="D182">
            <v>256.35683354066794</v>
          </cell>
          <cell r="E182">
            <v>255.98260779788166</v>
          </cell>
          <cell r="F182">
            <v>290.64916734848987</v>
          </cell>
          <cell r="G182">
            <v>290.79257000675534</v>
          </cell>
          <cell r="H182">
            <v>319.93090462743157</v>
          </cell>
          <cell r="I182">
            <v>320.03792051277151</v>
          </cell>
          <cell r="J182">
            <v>388.98781201908173</v>
          </cell>
          <cell r="K182">
            <v>387.25276261721478</v>
          </cell>
          <cell r="L182">
            <v>403.89642538591795</v>
          </cell>
        </row>
        <row r="273">
          <cell r="L273">
            <v>2.2367300390428113</v>
          </cell>
        </row>
      </sheetData>
      <sheetData sheetId="2"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510">
          <cell r="C510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</row>
        <row r="532">
          <cell r="C532">
            <v>0</v>
          </cell>
        </row>
      </sheetData>
      <sheetData sheetId="3">
        <row r="182">
          <cell r="C182">
            <v>250.02296730298016</v>
          </cell>
          <cell r="D182">
            <v>256.35683354066794</v>
          </cell>
          <cell r="E182">
            <v>255.98260779788166</v>
          </cell>
          <cell r="F182">
            <v>290.64916734848987</v>
          </cell>
          <cell r="G182">
            <v>290.79257000675534</v>
          </cell>
          <cell r="H182">
            <v>319.93090462743157</v>
          </cell>
          <cell r="I182">
            <v>320.03792051277151</v>
          </cell>
          <cell r="J182">
            <v>388.98781201908173</v>
          </cell>
          <cell r="K182">
            <v>387.25276261721478</v>
          </cell>
          <cell r="L182">
            <v>403.89642538591795</v>
          </cell>
        </row>
        <row r="273">
          <cell r="B273">
            <v>1.0695027477107943E-2</v>
          </cell>
          <cell r="C273">
            <v>1.1761259785071161E-3</v>
          </cell>
          <cell r="D273">
            <v>9.1106833802514728</v>
          </cell>
          <cell r="E273">
            <v>0.11162586424578924</v>
          </cell>
          <cell r="F273">
            <v>0.10937308298626514</v>
          </cell>
          <cell r="G273">
            <v>0.11809474763398464</v>
          </cell>
          <cell r="H273">
            <v>0.12462699885217043</v>
          </cell>
          <cell r="I273">
            <v>0.12104117315548457</v>
          </cell>
          <cell r="J273">
            <v>0.1341431893378483</v>
          </cell>
          <cell r="K273">
            <v>0.14792457452893426</v>
          </cell>
          <cell r="L273">
            <v>2.2367300390428113</v>
          </cell>
        </row>
        <row r="306">
          <cell r="B306">
            <v>1910.7956772203761</v>
          </cell>
          <cell r="C306">
            <v>1980.2816983992948</v>
          </cell>
          <cell r="D306">
            <v>2044.1016798320986</v>
          </cell>
          <cell r="E306">
            <v>2107.6353456719776</v>
          </cell>
          <cell r="F306">
            <v>2188.7980486432798</v>
          </cell>
          <cell r="G306">
            <v>2260.9972340839508</v>
          </cell>
          <cell r="H306">
            <v>2345.1475263426864</v>
          </cell>
          <cell r="I306">
            <v>3425.9231150637029</v>
          </cell>
          <cell r="J306">
            <v>3535.669213628928</v>
          </cell>
          <cell r="K306">
            <v>3632.1231683554311</v>
          </cell>
          <cell r="L306">
            <v>3736.0580039514789</v>
          </cell>
        </row>
        <row r="309">
          <cell r="B309">
            <v>1399.5284799999999</v>
          </cell>
          <cell r="C309">
            <v>1399.5467200000003</v>
          </cell>
          <cell r="D309">
            <v>1399.5467200000003</v>
          </cell>
          <cell r="E309">
            <v>1399.5467200000003</v>
          </cell>
          <cell r="F309">
            <v>1399.5467200000003</v>
          </cell>
          <cell r="G309">
            <v>1399.5467200000003</v>
          </cell>
          <cell r="H309">
            <v>1399.5467200000003</v>
          </cell>
          <cell r="I309">
            <v>1399.5467200000003</v>
          </cell>
          <cell r="J309">
            <v>1399.5467200000003</v>
          </cell>
          <cell r="K309">
            <v>1399.5467200000003</v>
          </cell>
          <cell r="L309">
            <v>2399.5467200000003</v>
          </cell>
        </row>
        <row r="312">
          <cell r="B312">
            <v>-99.380637280771992</v>
          </cell>
          <cell r="C312">
            <v>-104.030637280772</v>
          </cell>
          <cell r="D312">
            <v>80</v>
          </cell>
          <cell r="E312">
            <v>371.94410236875342</v>
          </cell>
          <cell r="F312">
            <v>393.88295008498307</v>
          </cell>
          <cell r="G312">
            <v>534.47846855965554</v>
          </cell>
          <cell r="H312">
            <v>880.42104659620327</v>
          </cell>
          <cell r="I312">
            <v>243.48346065505109</v>
          </cell>
          <cell r="J312">
            <v>538.92031994268291</v>
          </cell>
          <cell r="K312">
            <v>843.59852635965808</v>
          </cell>
          <cell r="L312">
            <v>120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35">
          <cell r="C335">
            <v>-4.5313790906220675E-6</v>
          </cell>
          <cell r="D335">
            <v>-4.5313736336538568E-6</v>
          </cell>
          <cell r="E335">
            <v>-4.5313672671909444E-6</v>
          </cell>
          <cell r="F335">
            <v>-4.5313754526432604E-6</v>
          </cell>
          <cell r="G335">
            <v>-4.5313836380955763E-6</v>
          </cell>
          <cell r="H335">
            <v>-4.531380909611471E-6</v>
          </cell>
          <cell r="I335">
            <v>-4.5313763621379621E-6</v>
          </cell>
          <cell r="J335">
            <v>-4.5313718146644533E-6</v>
          </cell>
          <cell r="K335">
            <v>-4.5313818191061728E-6</v>
          </cell>
          <cell r="L335">
            <v>-4.5313836380955763E-6</v>
          </cell>
        </row>
        <row r="714">
          <cell r="C714"/>
          <cell r="D714">
            <v>-11.379166747723264</v>
          </cell>
          <cell r="E714">
            <v>10.474574963005518</v>
          </cell>
          <cell r="F714">
            <v>-7.8177659115365925</v>
          </cell>
          <cell r="G714">
            <v>7.1962713331098307</v>
          </cell>
          <cell r="H714">
            <v>-9.198516979138379</v>
          </cell>
          <cell r="I714">
            <v>8.4672348421583514</v>
          </cell>
          <cell r="J714">
            <v>-14.552329427394278</v>
          </cell>
          <cell r="K714">
            <v>13.395386063403825</v>
          </cell>
          <cell r="L714">
            <v>-11.39499473011694</v>
          </cell>
        </row>
      </sheetData>
      <sheetData sheetId="4"/>
      <sheetData sheetId="5"/>
      <sheetData sheetId="6">
        <row r="262">
          <cell r="E262"/>
          <cell r="F262">
            <v>30</v>
          </cell>
          <cell r="G262"/>
          <cell r="H262">
            <v>33</v>
          </cell>
          <cell r="I262"/>
          <cell r="J262">
            <v>41</v>
          </cell>
          <cell r="K262"/>
          <cell r="L262">
            <v>60</v>
          </cell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5">
          <cell r="D15">
            <v>0.105</v>
          </cell>
        </row>
        <row r="17">
          <cell r="D17">
            <v>3956</v>
          </cell>
        </row>
        <row r="76">
          <cell r="B76" t="str">
            <v>On</v>
          </cell>
          <cell r="G76" t="str">
            <v>On</v>
          </cell>
          <cell r="L76" t="str">
            <v>On</v>
          </cell>
          <cell r="Q76" t="str">
            <v>On</v>
          </cell>
          <cell r="V76" t="str">
            <v>On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/>
          <cell r="N370"/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86">
          <cell r="E386"/>
          <cell r="F386"/>
          <cell r="G386"/>
          <cell r="H386"/>
          <cell r="I386"/>
          <cell r="J386"/>
          <cell r="K386"/>
          <cell r="L386"/>
          <cell r="M386"/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4.4633592792100149E-2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2">
          <cell r="D62">
            <v>384729.08299999998</v>
          </cell>
        </row>
      </sheetData>
      <sheetData sheetId="1"/>
      <sheetData sheetId="2">
        <row r="182">
          <cell r="C182">
            <v>110.77149980172919</v>
          </cell>
        </row>
      </sheetData>
      <sheetData sheetId="3">
        <row r="158">
          <cell r="C158">
            <v>12347.867089041092</v>
          </cell>
        </row>
        <row r="273">
          <cell r="G273">
            <v>3459.7834180339114</v>
          </cell>
          <cell r="H273">
            <v>4811.7996597270048</v>
          </cell>
          <cell r="I273">
            <v>5615.5324709052247</v>
          </cell>
          <cell r="J273">
            <v>7827.419876354219</v>
          </cell>
          <cell r="K273">
            <v>6871.4181452733828</v>
          </cell>
          <cell r="L273">
            <v>7273.0139051252299</v>
          </cell>
        </row>
      </sheetData>
      <sheetData sheetId="4"/>
      <sheetData sheetId="5"/>
      <sheetData sheetId="6">
        <row r="262">
          <cell r="E262">
            <v>600</v>
          </cell>
        </row>
      </sheetData>
      <sheetData sheetId="7">
        <row r="15">
          <cell r="D15">
            <v>9.7000000000000003E-2</v>
          </cell>
        </row>
      </sheetData>
      <sheetData sheetId="8">
        <row r="370">
          <cell r="F370">
            <v>300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1.66E-2</v>
          </cell>
        </row>
      </sheetData>
      <sheetData sheetId="20">
        <row r="379">
          <cell r="C379">
            <v>1.6599997878074646E-2</v>
          </cell>
        </row>
      </sheetData>
      <sheetData sheetId="21">
        <row r="571">
          <cell r="Z571">
            <v>0</v>
          </cell>
        </row>
      </sheetData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  <sheetName val="Sheet1"/>
    </sheetNames>
    <sheetDataSet>
      <sheetData sheetId="0">
        <row r="14">
          <cell r="Q14">
            <v>7.849364323668262E-2</v>
          </cell>
        </row>
        <row r="31">
          <cell r="Q31">
            <v>2.2778998943201322E-3</v>
          </cell>
        </row>
        <row r="32">
          <cell r="Q32">
            <v>-1.2932829408929201E-2</v>
          </cell>
        </row>
        <row r="33">
          <cell r="Q33">
            <v>-9.6308154805093606E-3</v>
          </cell>
        </row>
        <row r="36">
          <cell r="Q36">
            <v>5.0538998322415159E-2</v>
          </cell>
        </row>
        <row r="37">
          <cell r="Q37">
            <v>4.6113061301522019E-2</v>
          </cell>
        </row>
        <row r="38">
          <cell r="Q38">
            <v>4.3567202284077219E-2</v>
          </cell>
        </row>
        <row r="41">
          <cell r="Q41">
            <v>6.0754933355600671E-2</v>
          </cell>
        </row>
        <row r="45">
          <cell r="Q45">
            <v>4.1086347635382065E-3</v>
          </cell>
        </row>
        <row r="46">
          <cell r="Q46">
            <v>4.6530483340542279E-2</v>
          </cell>
        </row>
        <row r="61">
          <cell r="D61">
            <v>1109297.4240000001</v>
          </cell>
          <cell r="E61">
            <v>1209469.058</v>
          </cell>
        </row>
        <row r="62">
          <cell r="D62">
            <v>1132839.794</v>
          </cell>
          <cell r="E62">
            <v>1132839.794</v>
          </cell>
        </row>
        <row r="63">
          <cell r="D63">
            <v>21087</v>
          </cell>
          <cell r="E63">
            <v>46760</v>
          </cell>
        </row>
      </sheetData>
      <sheetData sheetId="1">
        <row r="182">
          <cell r="C182">
            <v>47614.012090955322</v>
          </cell>
          <cell r="D182">
            <v>53368.005368391481</v>
          </cell>
          <cell r="E182">
            <v>60575.545053115558</v>
          </cell>
          <cell r="F182">
            <v>65975.256349636096</v>
          </cell>
          <cell r="G182">
            <v>72851.349772897811</v>
          </cell>
          <cell r="H182">
            <v>79158.588351565108</v>
          </cell>
          <cell r="I182">
            <v>84609.880759744512</v>
          </cell>
          <cell r="J182">
            <v>89924.281297856214</v>
          </cell>
          <cell r="K182">
            <v>98331.439729912876</v>
          </cell>
          <cell r="L182">
            <v>98852.803148277861</v>
          </cell>
        </row>
        <row r="273">
          <cell r="L273">
            <v>117.79362166777975</v>
          </cell>
        </row>
      </sheetData>
      <sheetData sheetId="2">
        <row r="182">
          <cell r="C182">
            <v>470.10299634262674</v>
          </cell>
          <cell r="D182">
            <v>1071.1544349338535</v>
          </cell>
          <cell r="E182">
            <v>1887.7418319837257</v>
          </cell>
          <cell r="F182">
            <v>2824.6911352602324</v>
          </cell>
          <cell r="G182">
            <v>3856.6903475336658</v>
          </cell>
          <cell r="H182">
            <v>5007.3109493401262</v>
          </cell>
          <cell r="I182">
            <v>6269.7994388537245</v>
          </cell>
          <cell r="J182">
            <v>7632.9946418327063</v>
          </cell>
          <cell r="K182">
            <v>9096.3537809280497</v>
          </cell>
          <cell r="L182">
            <v>10707.770683590661</v>
          </cell>
        </row>
        <row r="510">
          <cell r="C510">
            <v>-1038.7096774193549</v>
          </cell>
        </row>
        <row r="512">
          <cell r="D512">
            <v>-43598.018196112534</v>
          </cell>
          <cell r="E512">
            <v>-85338.725813796817</v>
          </cell>
          <cell r="F512">
            <v>-99360.20049085404</v>
          </cell>
          <cell r="G512">
            <v>-110991.54131092732</v>
          </cell>
          <cell r="H512">
            <v>-125244.77408671404</v>
          </cell>
          <cell r="I512">
            <v>-34471.211753869538</v>
          </cell>
          <cell r="J512">
            <v>-37039.105873571905</v>
          </cell>
          <cell r="K512">
            <v>-39634.279043809394</v>
          </cell>
          <cell r="L512">
            <v>-43259.357692613943</v>
          </cell>
        </row>
        <row r="532">
          <cell r="C532">
            <v>0.99999999999636202</v>
          </cell>
        </row>
      </sheetData>
      <sheetData sheetId="3">
        <row r="182">
          <cell r="C182">
            <v>48084.115087297905</v>
          </cell>
          <cell r="D182">
            <v>54439.159803325361</v>
          </cell>
          <cell r="E182">
            <v>62463.286885099318</v>
          </cell>
          <cell r="F182">
            <v>68799.947484896285</v>
          </cell>
          <cell r="G182">
            <v>76708.040120431528</v>
          </cell>
          <cell r="H182">
            <v>84165.899300905148</v>
          </cell>
          <cell r="I182">
            <v>90879.680198598304</v>
          </cell>
          <cell r="J182">
            <v>97557.275939688945</v>
          </cell>
          <cell r="K182">
            <v>107427.79351084087</v>
          </cell>
          <cell r="L182">
            <v>109560.57383186856</v>
          </cell>
        </row>
        <row r="273">
          <cell r="B273">
            <v>-1.6697049140930176E-5</v>
          </cell>
          <cell r="C273">
            <v>1.9999999999829197</v>
          </cell>
          <cell r="D273">
            <v>-56.564874302740463</v>
          </cell>
          <cell r="E273">
            <v>4.7629138502961723</v>
          </cell>
          <cell r="F273">
            <v>-51.919139627984805</v>
          </cell>
          <cell r="G273">
            <v>208.5151046864039</v>
          </cell>
          <cell r="H273">
            <v>150.23638266685703</v>
          </cell>
          <cell r="I273">
            <v>191.88885557980757</v>
          </cell>
          <cell r="J273">
            <v>188.13538203032658</v>
          </cell>
          <cell r="K273">
            <v>194.28122212715425</v>
          </cell>
          <cell r="L273">
            <v>118.79362166778083</v>
          </cell>
        </row>
        <row r="306">
          <cell r="B306">
            <v>628566.35176304239</v>
          </cell>
          <cell r="C306">
            <v>663057.70133138681</v>
          </cell>
          <cell r="D306">
            <v>686671.53492886038</v>
          </cell>
          <cell r="E306">
            <v>818284.04016716359</v>
          </cell>
          <cell r="F306">
            <v>896330.01026108535</v>
          </cell>
          <cell r="G306">
            <v>1002667.0328612122</v>
          </cell>
          <cell r="H306">
            <v>1102132.2952182423</v>
          </cell>
          <cell r="I306">
            <v>1147287.3243915029</v>
          </cell>
          <cell r="J306">
            <v>1216013.4190954955</v>
          </cell>
          <cell r="K306">
            <v>1293933.5180667194</v>
          </cell>
          <cell r="L306">
            <v>1365903.8605661872</v>
          </cell>
        </row>
        <row r="309">
          <cell r="B309">
            <v>586483.25205860229</v>
          </cell>
          <cell r="C309">
            <v>621318.86416750483</v>
          </cell>
          <cell r="D309">
            <v>714944.6581613993</v>
          </cell>
          <cell r="E309">
            <v>816071.95635061886</v>
          </cell>
          <cell r="F309">
            <v>1025559.5843453713</v>
          </cell>
          <cell r="G309">
            <v>1160821.0500936897</v>
          </cell>
          <cell r="H309">
            <v>1294032.1825681336</v>
          </cell>
          <cell r="I309">
            <v>1396980.7824605803</v>
          </cell>
          <cell r="J309">
            <v>1470962.2717219039</v>
          </cell>
          <cell r="K309">
            <v>1539971.0834049338</v>
          </cell>
          <cell r="L309">
            <v>1611498.4362527567</v>
          </cell>
        </row>
        <row r="312">
          <cell r="B312">
            <v>57350.832619461878</v>
          </cell>
          <cell r="C312">
            <v>85125.416015530282</v>
          </cell>
          <cell r="D312">
            <v>135768.1248017686</v>
          </cell>
          <cell r="E312">
            <v>133239.36639456585</v>
          </cell>
          <cell r="F312">
            <v>130926.22105809289</v>
          </cell>
          <cell r="G312">
            <v>128095.45640457021</v>
          </cell>
          <cell r="H312">
            <v>126917.11266527085</v>
          </cell>
          <cell r="I312">
            <v>125586.64042405787</v>
          </cell>
          <cell r="J312">
            <v>124872.68179067271</v>
          </cell>
          <cell r="K312">
            <v>123628.86004954265</v>
          </cell>
          <cell r="L312">
            <v>123066.89867544865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35">
          <cell r="C335">
            <v>-2.8219998814165592E-2</v>
          </cell>
          <cell r="D335">
            <v>-2.821999927982688E-2</v>
          </cell>
          <cell r="E335">
            <v>-2.8219998814165592E-2</v>
          </cell>
          <cell r="F335">
            <v>-2.8219998814165592E-2</v>
          </cell>
          <cell r="G335">
            <v>-2.821999927982688E-2</v>
          </cell>
          <cell r="H335">
            <v>-2.821999927982688E-2</v>
          </cell>
          <cell r="I335">
            <v>-2.8220000676810741E-2</v>
          </cell>
          <cell r="J335">
            <v>-2.8220003470778465E-2</v>
          </cell>
          <cell r="K335">
            <v>-2.8220003470778465E-2</v>
          </cell>
          <cell r="L335">
            <v>-2.822000440210104E-2</v>
          </cell>
        </row>
        <row r="714">
          <cell r="C714"/>
          <cell r="D714">
            <v>-1.1112888387287967E-11</v>
          </cell>
          <cell r="E714">
            <v>-1.0277290130034089E-10</v>
          </cell>
          <cell r="F714">
            <v>-1.0822986951097846E-10</v>
          </cell>
          <cell r="G714">
            <v>-2.3646862246096134E-11</v>
          </cell>
          <cell r="H714">
            <v>5.7298166211694479E-11</v>
          </cell>
          <cell r="I714">
            <v>-8.1854523159563541E-11</v>
          </cell>
          <cell r="J714">
            <v>-9.822542779147625E-11</v>
          </cell>
          <cell r="K714">
            <v>1.6189005691558123E-10</v>
          </cell>
          <cell r="L714">
            <v>-5.4569682106375694E-12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>
            <v>4000</v>
          </cell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5">
          <cell r="D15">
            <v>9.7500000000000003E-2</v>
          </cell>
        </row>
        <row r="17">
          <cell r="D17">
            <v>1256229.058</v>
          </cell>
        </row>
        <row r="76">
          <cell r="B76" t="str">
            <v>On</v>
          </cell>
          <cell r="G76" t="str">
            <v>On</v>
          </cell>
          <cell r="L76" t="str">
            <v>On</v>
          </cell>
          <cell r="Q76" t="str">
            <v>On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>
            <v>10057.770683590637</v>
          </cell>
          <cell r="N370"/>
        </row>
        <row r="372">
          <cell r="D372">
            <v>470.10299634262674</v>
          </cell>
          <cell r="E372">
            <v>1071.1544349338506</v>
          </cell>
          <cell r="F372">
            <v>1887.7418319837309</v>
          </cell>
          <cell r="G372">
            <v>2824.6911352602206</v>
          </cell>
          <cell r="H372">
            <v>3856.6903475336649</v>
          </cell>
          <cell r="I372">
            <v>5007.310949340138</v>
          </cell>
          <cell r="J372">
            <v>6269.7994388537154</v>
          </cell>
          <cell r="K372">
            <v>7632.9946418326899</v>
          </cell>
          <cell r="L372">
            <v>9096.3537809280242</v>
          </cell>
          <cell r="M372">
            <v>10707.770683590637</v>
          </cell>
        </row>
        <row r="386">
          <cell r="E386">
            <v>14060.607973921355</v>
          </cell>
          <cell r="F386">
            <v>24929.97796784715</v>
          </cell>
          <cell r="G386">
            <v>26293.529219162316</v>
          </cell>
          <cell r="H386">
            <v>25058.501071991261</v>
          </cell>
          <cell r="I386">
            <v>26907.108909901297</v>
          </cell>
          <cell r="J386">
            <v>27008.826412658549</v>
          </cell>
          <cell r="K386">
            <v>29459.918660809286</v>
          </cell>
          <cell r="L386">
            <v>30162.58154922496</v>
          </cell>
          <cell r="M386">
            <v>31463.082440240138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1.6E-2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159</v>
          </cell>
        </row>
      </sheetData>
      <sheetData sheetId="1"/>
      <sheetData sheetId="2">
        <row r="182">
          <cell r="C182">
            <v>0</v>
          </cell>
        </row>
      </sheetData>
      <sheetData sheetId="3">
        <row r="158">
          <cell r="C158">
            <v>0</v>
          </cell>
        </row>
        <row r="273">
          <cell r="G273">
            <v>662.87769339726424</v>
          </cell>
          <cell r="H273">
            <v>670.82450012462891</v>
          </cell>
          <cell r="I273">
            <v>677.32180205538771</v>
          </cell>
          <cell r="J273">
            <v>684.56582378584756</v>
          </cell>
          <cell r="K273">
            <v>692.5563517766434</v>
          </cell>
          <cell r="L273">
            <v>698.57391131666793</v>
          </cell>
        </row>
      </sheetData>
      <sheetData sheetId="4"/>
      <sheetData sheetId="5"/>
      <sheetData sheetId="6">
        <row r="262">
          <cell r="E262">
            <v>125.14491953296798</v>
          </cell>
        </row>
      </sheetData>
      <sheetData sheetId="7">
        <row r="15">
          <cell r="D15">
            <v>9.7500000000000003E-2</v>
          </cell>
        </row>
      </sheetData>
      <sheetData sheetId="8">
        <row r="426">
          <cell r="D426">
            <v>150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2.0000000000000004E-2</v>
          </cell>
        </row>
      </sheetData>
      <sheetData sheetId="20">
        <row r="379">
          <cell r="C379">
            <v>1.9999995827674866E-2</v>
          </cell>
        </row>
      </sheetData>
      <sheetData sheetId="21">
        <row r="571">
          <cell r="Z571">
            <v>0</v>
          </cell>
        </row>
      </sheetData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4.9800052289014636E-2</v>
          </cell>
        </row>
        <row r="31">
          <cell r="Q31">
            <v>3.461970125986757E-3</v>
          </cell>
        </row>
        <row r="32">
          <cell r="Q32">
            <v>-1.4749269186640121E-2</v>
          </cell>
        </row>
        <row r="33">
          <cell r="Q33">
            <v>-1.2393382227753156E-2</v>
          </cell>
        </row>
        <row r="36">
          <cell r="Q36">
            <v>3.7602532283432452E-2</v>
          </cell>
        </row>
        <row r="37">
          <cell r="Q37">
            <v>3.7236734227147565E-2</v>
          </cell>
        </row>
        <row r="38">
          <cell r="Q38">
            <v>3.3033043261457347E-2</v>
          </cell>
        </row>
        <row r="41">
          <cell r="Q41">
            <v>5.062330852335107E-2</v>
          </cell>
        </row>
        <row r="45">
          <cell r="Q45">
            <v>2.2868750359137423E-3</v>
          </cell>
        </row>
        <row r="46">
          <cell r="Q46">
            <v>3.4401720145272527E-2</v>
          </cell>
        </row>
        <row r="61">
          <cell r="D61">
            <v>2589465.4475531001</v>
          </cell>
          <cell r="E61">
            <v>2766962.8149000001</v>
          </cell>
        </row>
        <row r="62">
          <cell r="D62">
            <v>2383232</v>
          </cell>
          <cell r="E62">
            <v>2383232</v>
          </cell>
        </row>
        <row r="63">
          <cell r="D63"/>
          <cell r="E63"/>
        </row>
      </sheetData>
      <sheetData sheetId="1">
        <row r="182">
          <cell r="C182">
            <v>137109.59382660908</v>
          </cell>
          <cell r="D182">
            <v>148062.04698846577</v>
          </cell>
          <cell r="E182">
            <v>157796.1355855588</v>
          </cell>
          <cell r="F182">
            <v>169150.90576932282</v>
          </cell>
          <cell r="G182">
            <v>179715.2772894043</v>
          </cell>
          <cell r="H182">
            <v>193104.73145083111</v>
          </cell>
          <cell r="I182">
            <v>196178.29737240082</v>
          </cell>
          <cell r="J182">
            <v>205810.37714898025</v>
          </cell>
          <cell r="K182">
            <v>222365.51484594087</v>
          </cell>
          <cell r="L182">
            <v>227422.78023126384</v>
          </cell>
        </row>
        <row r="273">
          <cell r="L273">
            <v>239.41188955562916</v>
          </cell>
        </row>
      </sheetData>
      <sheetData sheetId="2">
        <row r="182">
          <cell r="C182">
            <v>0.61427028808930118</v>
          </cell>
          <cell r="D182">
            <v>1000.614270288107</v>
          </cell>
          <cell r="E182">
            <v>2399.99999999998</v>
          </cell>
          <cell r="F182">
            <v>4400.0000000000136</v>
          </cell>
          <cell r="G182">
            <v>10250.000000000022</v>
          </cell>
          <cell r="H182">
            <v>10249.999999999978</v>
          </cell>
          <cell r="I182">
            <v>10249.999999999971</v>
          </cell>
          <cell r="J182">
            <v>12249.999999999996</v>
          </cell>
          <cell r="K182">
            <v>12249.999999999989</v>
          </cell>
          <cell r="L182">
            <v>12249.999999999953</v>
          </cell>
        </row>
        <row r="510">
          <cell r="C510">
            <v>-2100</v>
          </cell>
        </row>
        <row r="512">
          <cell r="D512">
            <v>-21547.914469913761</v>
          </cell>
          <cell r="E512">
            <v>-17028.099636833136</v>
          </cell>
          <cell r="F512">
            <v>-40976.957759057637</v>
          </cell>
          <cell r="G512">
            <v>-118982.4343841669</v>
          </cell>
          <cell r="H512">
            <v>-5139.3819328153049</v>
          </cell>
          <cell r="I512">
            <v>-5139.3819328153049</v>
          </cell>
          <cell r="J512">
            <v>-44708.308605532453</v>
          </cell>
          <cell r="K512">
            <v>-6182.7409401004015</v>
          </cell>
          <cell r="L512">
            <v>-6182.7409401004015</v>
          </cell>
        </row>
        <row r="532">
          <cell r="C532">
            <v>2168.2276358599502</v>
          </cell>
        </row>
      </sheetData>
      <sheetData sheetId="3">
        <row r="182">
          <cell r="C182">
            <v>137110.20809689717</v>
          </cell>
          <cell r="D182">
            <v>149062.66125875383</v>
          </cell>
          <cell r="E182">
            <v>160196.13558555866</v>
          </cell>
          <cell r="F182">
            <v>173550.90576932282</v>
          </cell>
          <cell r="G182">
            <v>189965.27728940395</v>
          </cell>
          <cell r="H182">
            <v>203354.73145083134</v>
          </cell>
          <cell r="I182">
            <v>206428.29737240099</v>
          </cell>
          <cell r="J182">
            <v>218060.3771489801</v>
          </cell>
          <cell r="K182">
            <v>234615.51484594081</v>
          </cell>
          <cell r="L182">
            <v>239672.78023126407</v>
          </cell>
        </row>
        <row r="273">
          <cell r="B273">
            <v>-6.3767212629318234E-4</v>
          </cell>
          <cell r="C273">
            <v>2206.3497968664051</v>
          </cell>
          <cell r="D273">
            <v>2425.5510353180994</v>
          </cell>
          <cell r="E273">
            <v>2019.548947300857</v>
          </cell>
          <cell r="F273">
            <v>2426.3466858124962</v>
          </cell>
          <cell r="G273">
            <v>2567.1162432831652</v>
          </cell>
          <cell r="H273">
            <v>2208.6579597285754</v>
          </cell>
          <cell r="I273">
            <v>2408.834317540809</v>
          </cell>
          <cell r="J273">
            <v>2397.9449966605544</v>
          </cell>
          <cell r="K273">
            <v>2535.8907068685903</v>
          </cell>
          <cell r="L273">
            <v>2407.6395254155723</v>
          </cell>
        </row>
        <row r="306">
          <cell r="B306">
            <v>1515881.0510851298</v>
          </cell>
          <cell r="C306">
            <v>1634991.0215745009</v>
          </cell>
          <cell r="D306">
            <v>1714603.4859964855</v>
          </cell>
          <cell r="E306">
            <v>1826528.9505227352</v>
          </cell>
          <cell r="F306">
            <v>1982292.3719072691</v>
          </cell>
          <cell r="G306">
            <v>2117837.0217076666</v>
          </cell>
          <cell r="H306">
            <v>2225094.4244053103</v>
          </cell>
          <cell r="I306">
            <v>2302483.5851802751</v>
          </cell>
          <cell r="J306">
            <v>2402656.4909946397</v>
          </cell>
          <cell r="K306">
            <v>2503464.7224350413</v>
          </cell>
          <cell r="L306">
            <v>2577109.5386096491</v>
          </cell>
        </row>
        <row r="309">
          <cell r="B309">
            <v>1299993.1924370495</v>
          </cell>
          <cell r="C309">
            <v>1368123.4668670259</v>
          </cell>
          <cell r="D309">
            <v>1416974.4304792839</v>
          </cell>
          <cell r="E309">
            <v>1530198.684965827</v>
          </cell>
          <cell r="F309">
            <v>1616002.6458684304</v>
          </cell>
          <cell r="G309">
            <v>1776613.6616230444</v>
          </cell>
          <cell r="H309">
            <v>1833449.6420330445</v>
          </cell>
          <cell r="I309">
            <v>1905209.6172830446</v>
          </cell>
          <cell r="J309">
            <v>1995028.7019441999</v>
          </cell>
          <cell r="K309">
            <v>2042114.4657942001</v>
          </cell>
          <cell r="L309">
            <v>2093135.2296442001</v>
          </cell>
        </row>
        <row r="312">
          <cell r="B312">
            <v>68258.15965999999</v>
          </cell>
          <cell r="C312">
            <v>117187.72665999999</v>
          </cell>
          <cell r="D312">
            <v>187940.59695548442</v>
          </cell>
          <cell r="E312">
            <v>186780.663991412</v>
          </cell>
          <cell r="F312">
            <v>184354.03205308426</v>
          </cell>
          <cell r="G312">
            <v>181435.03470825279</v>
          </cell>
          <cell r="H312">
            <v>181304.32951969406</v>
          </cell>
          <cell r="I312">
            <v>179862.58058754663</v>
          </cell>
          <cell r="J312">
            <v>178064.93044921593</v>
          </cell>
          <cell r="K312">
            <v>177503.90171513878</v>
          </cell>
          <cell r="L312">
            <v>175879.66338975477</v>
          </cell>
        </row>
        <row r="313">
          <cell r="B313">
            <v>35313.239601432892</v>
          </cell>
          <cell r="C313">
            <v>31113.723952875513</v>
          </cell>
          <cell r="D313">
            <v>31113.723952875513</v>
          </cell>
          <cell r="E313">
            <v>31113.723952875513</v>
          </cell>
          <cell r="F313">
            <v>31113.723952875513</v>
          </cell>
          <cell r="G313">
            <v>31113.723952875513</v>
          </cell>
          <cell r="H313">
            <v>31113.723952875513</v>
          </cell>
          <cell r="I313">
            <v>31113.723952875513</v>
          </cell>
          <cell r="J313">
            <v>31113.723952875513</v>
          </cell>
          <cell r="K313">
            <v>31113.723952875513</v>
          </cell>
          <cell r="L313">
            <v>31113.723952875513</v>
          </cell>
        </row>
        <row r="335">
          <cell r="C335">
            <v>1.8992368131875992E-4</v>
          </cell>
          <cell r="D335">
            <v>1.899227499961853E-4</v>
          </cell>
          <cell r="E335">
            <v>1.8992461264133453E-4</v>
          </cell>
          <cell r="F335">
            <v>1.8992088735103607E-4</v>
          </cell>
          <cell r="G335">
            <v>1.8992181867361069E-4</v>
          </cell>
          <cell r="H335">
            <v>1.8992088735103607E-4</v>
          </cell>
          <cell r="I335">
            <v>1.8992088735103607E-4</v>
          </cell>
          <cell r="J335">
            <v>1.8992088735103607E-4</v>
          </cell>
          <cell r="K335">
            <v>1.8991809338331223E-4</v>
          </cell>
          <cell r="L335">
            <v>1.8991623073816299E-4</v>
          </cell>
        </row>
        <row r="714">
          <cell r="C714"/>
          <cell r="D714">
            <v>-6.4119376474991441E-11</v>
          </cell>
          <cell r="E714">
            <v>2.4556356947869062E-11</v>
          </cell>
          <cell r="F714">
            <v>-1.0186340659856796E-10</v>
          </cell>
          <cell r="G714">
            <v>-1.9554136088117957E-11</v>
          </cell>
          <cell r="H714">
            <v>1.2914824765175581E-10</v>
          </cell>
          <cell r="I714">
            <v>1.4551915228366852E-10</v>
          </cell>
          <cell r="J714">
            <v>-5.0931703299283981E-11</v>
          </cell>
          <cell r="K714">
            <v>-9.276845958083868E-11</v>
          </cell>
          <cell r="L714">
            <v>-1.1186784831807017E-10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7">
          <cell r="D17">
            <v>2383232</v>
          </cell>
        </row>
        <row r="76">
          <cell r="B76" t="str">
            <v>On</v>
          </cell>
          <cell r="G76" t="str">
            <v>On</v>
          </cell>
          <cell r="L76" t="str">
            <v>On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>
            <v>11250</v>
          </cell>
          <cell r="N370"/>
        </row>
        <row r="372">
          <cell r="D372">
            <v>0.61427028808930118</v>
          </cell>
          <cell r="E372">
            <v>1000.6142702880893</v>
          </cell>
          <cell r="F372">
            <v>2400</v>
          </cell>
          <cell r="G372">
            <v>4400</v>
          </cell>
          <cell r="H372">
            <v>10250</v>
          </cell>
          <cell r="I372">
            <v>10250</v>
          </cell>
          <cell r="J372">
            <v>10250</v>
          </cell>
          <cell r="K372">
            <v>12250</v>
          </cell>
          <cell r="L372">
            <v>12250</v>
          </cell>
          <cell r="M372">
            <v>12250</v>
          </cell>
        </row>
        <row r="386">
          <cell r="E386">
            <v>4476.8714296644112</v>
          </cell>
          <cell r="F386">
            <v>3218.1860907511978</v>
          </cell>
          <cell r="G386">
            <v>7409.4933427442775</v>
          </cell>
          <cell r="H386">
            <v>20729.942124852227</v>
          </cell>
          <cell r="I386">
            <v>0</v>
          </cell>
          <cell r="J386">
            <v>0</v>
          </cell>
          <cell r="K386">
            <v>6298.9954752772364</v>
          </cell>
          <cell r="L386">
            <v>0</v>
          </cell>
          <cell r="M386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2.4168009723074386E-2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529000</v>
          </cell>
        </row>
      </sheetData>
      <sheetData sheetId="1"/>
      <sheetData sheetId="2">
        <row r="182">
          <cell r="C182">
            <v>89.74606096941028</v>
          </cell>
        </row>
      </sheetData>
      <sheetData sheetId="3">
        <row r="158">
          <cell r="C158">
            <v>14441.020405560659</v>
          </cell>
        </row>
        <row r="273">
          <cell r="G273">
            <v>-5538.5809388526613</v>
          </cell>
          <cell r="H273">
            <v>-10455.745447534413</v>
          </cell>
          <cell r="I273">
            <v>-10492.362263255962</v>
          </cell>
          <cell r="J273">
            <v>-7080.3485859592738</v>
          </cell>
          <cell r="K273">
            <v>-4668.3663708343793</v>
          </cell>
          <cell r="L273">
            <v>-8496.4652328322009</v>
          </cell>
        </row>
      </sheetData>
      <sheetData sheetId="4"/>
      <sheetData sheetId="5"/>
      <sheetData sheetId="6">
        <row r="262">
          <cell r="E262"/>
        </row>
      </sheetData>
      <sheetData sheetId="7">
        <row r="15">
          <cell r="D15">
            <v>9.7500000000000003E-2</v>
          </cell>
        </row>
      </sheetData>
      <sheetData sheetId="8">
        <row r="370">
          <cell r="E370">
            <v>75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2.7300000000000001E-2</v>
          </cell>
        </row>
      </sheetData>
      <sheetData sheetId="20">
        <row r="379">
          <cell r="C379">
            <v>2.7299985289573669E-2</v>
          </cell>
        </row>
      </sheetData>
      <sheetData sheetId="21">
        <row r="571">
          <cell r="Z571">
            <v>27812.667665817491</v>
          </cell>
        </row>
      </sheetData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7.9752057874564991E-2</v>
          </cell>
        </row>
        <row r="31">
          <cell r="Q31">
            <v>-2.1077450264811582E-5</v>
          </cell>
        </row>
        <row r="32">
          <cell r="Q32">
            <v>-7.1041414335251138E-3</v>
          </cell>
        </row>
        <row r="33">
          <cell r="Q33">
            <v>-9.2867174048976014E-3</v>
          </cell>
        </row>
        <row r="36">
          <cell r="Q36">
            <v>6.0060737101066061E-2</v>
          </cell>
        </row>
        <row r="37">
          <cell r="Q37">
            <v>2.005051251511265E-2</v>
          </cell>
        </row>
        <row r="38">
          <cell r="Q38">
            <v>6.6494162129054263E-2</v>
          </cell>
        </row>
        <row r="41">
          <cell r="Q41">
            <v>6.9997501522691866E-2</v>
          </cell>
        </row>
        <row r="45">
          <cell r="Q45">
            <v>6.7825228577197173E-3</v>
          </cell>
        </row>
        <row r="46">
          <cell r="Q46">
            <v>5.2132927738234344E-2</v>
          </cell>
        </row>
        <row r="61">
          <cell r="D61">
            <v>231795</v>
          </cell>
          <cell r="E61">
            <v>253600</v>
          </cell>
        </row>
        <row r="62">
          <cell r="D62">
            <v>217128</v>
          </cell>
          <cell r="E62">
            <v>275463.19954444497</v>
          </cell>
        </row>
        <row r="63">
          <cell r="D63"/>
          <cell r="E63"/>
        </row>
      </sheetData>
      <sheetData sheetId="1">
        <row r="182">
          <cell r="C182">
            <v>11672.756071916006</v>
          </cell>
          <cell r="D182">
            <v>12137.980030489645</v>
          </cell>
          <cell r="E182">
            <v>13034.662610997417</v>
          </cell>
          <cell r="F182">
            <v>14150.908335124099</v>
          </cell>
          <cell r="G182">
            <v>14716.018315953244</v>
          </cell>
          <cell r="H182">
            <v>15898.972945394946</v>
          </cell>
          <cell r="I182">
            <v>17184.063021817194</v>
          </cell>
          <cell r="J182">
            <v>17560.602723234639</v>
          </cell>
          <cell r="K182">
            <v>18862.751184921963</v>
          </cell>
          <cell r="L182">
            <v>19970.243515588856</v>
          </cell>
        </row>
        <row r="273">
          <cell r="L273">
            <v>34.195743442341453</v>
          </cell>
        </row>
      </sheetData>
      <sheetData sheetId="2">
        <row r="182">
          <cell r="C182">
            <v>10.032629097639173</v>
          </cell>
          <cell r="D182">
            <v>111.07204000000712</v>
          </cell>
          <cell r="E182">
            <v>166.79768200001251</v>
          </cell>
          <cell r="F182">
            <v>348.32838343749938</v>
          </cell>
          <cell r="G182">
            <v>477.9676213956285</v>
          </cell>
          <cell r="H182">
            <v>613.94361601200239</v>
          </cell>
          <cell r="I182">
            <v>756.49218059584223</v>
          </cell>
          <cell r="J182">
            <v>905.85695864884929</v>
          </cell>
          <cell r="K182">
            <v>1062.289667991643</v>
          </cell>
          <cell r="L182">
            <v>1226.050352202416</v>
          </cell>
        </row>
        <row r="510">
          <cell r="C510">
            <v>-600</v>
          </cell>
        </row>
        <row r="512">
          <cell r="D512">
            <v>-253.00383865253369</v>
          </cell>
          <cell r="E512">
            <v>-259.01151595760109</v>
          </cell>
          <cell r="F512">
            <v>-518.02303191520218</v>
          </cell>
          <cell r="G512">
            <v>-530.03838652533693</v>
          </cell>
          <cell r="H512">
            <v>-542.0537411354718</v>
          </cell>
          <cell r="I512">
            <v>-554.06909574560666</v>
          </cell>
          <cell r="J512">
            <v>-566.08445035574118</v>
          </cell>
          <cell r="K512">
            <v>-578.09980496587605</v>
          </cell>
          <cell r="L512">
            <v>-590.1151595760108</v>
          </cell>
        </row>
        <row r="532">
          <cell r="C532">
            <v>-0.25143539630806799</v>
          </cell>
        </row>
      </sheetData>
      <sheetData sheetId="3">
        <row r="182">
          <cell r="C182">
            <v>11682.788701013653</v>
          </cell>
          <cell r="D182">
            <v>12249.052070489643</v>
          </cell>
          <cell r="E182">
            <v>13201.460292997466</v>
          </cell>
          <cell r="F182">
            <v>14499.236718561629</v>
          </cell>
          <cell r="G182">
            <v>15193.985937348869</v>
          </cell>
          <cell r="H182">
            <v>16512.916561406935</v>
          </cell>
          <cell r="I182">
            <v>17940.555202413059</v>
          </cell>
          <cell r="J182">
            <v>18466.459681883585</v>
          </cell>
          <cell r="K182">
            <v>19925.040852913626</v>
          </cell>
          <cell r="L182">
            <v>21196.293867791283</v>
          </cell>
        </row>
        <row r="273">
          <cell r="B273">
            <v>33.488139999999667</v>
          </cell>
          <cell r="C273">
            <v>-0.23934113548904593</v>
          </cell>
          <cell r="D273">
            <v>59.939865145862569</v>
          </cell>
          <cell r="E273">
            <v>-9.3690323276549208</v>
          </cell>
          <cell r="F273">
            <v>7.5376399012735362</v>
          </cell>
          <cell r="G273">
            <v>-25.743654102317123</v>
          </cell>
          <cell r="H273">
            <v>21.448327885228537</v>
          </cell>
          <cell r="I273">
            <v>15.244225610353624</v>
          </cell>
          <cell r="J273">
            <v>22.603502382028182</v>
          </cell>
          <cell r="K273">
            <v>36.217494368113876</v>
          </cell>
          <cell r="L273">
            <v>33.944308046033257</v>
          </cell>
        </row>
        <row r="306">
          <cell r="B306">
            <v>147564.57004187608</v>
          </cell>
          <cell r="C306">
            <v>156843.90871934546</v>
          </cell>
          <cell r="D306">
            <v>172780.86257317822</v>
          </cell>
          <cell r="E306">
            <v>189204.23491303599</v>
          </cell>
          <cell r="F306">
            <v>198246.65773817181</v>
          </cell>
          <cell r="G306">
            <v>207101.8911971717</v>
          </cell>
          <cell r="H306">
            <v>216354.38540365093</v>
          </cell>
          <cell r="I306">
            <v>228148.11132753416</v>
          </cell>
          <cell r="J306">
            <v>238629.59789773874</v>
          </cell>
          <cell r="K306">
            <v>247648.32546932437</v>
          </cell>
          <cell r="L306">
            <v>258888.90734476503</v>
          </cell>
        </row>
        <row r="309">
          <cell r="B309">
            <v>153537.58047000004</v>
          </cell>
          <cell r="C309">
            <v>173564.92921760824</v>
          </cell>
          <cell r="D309">
            <v>175699.92921760824</v>
          </cell>
          <cell r="E309">
            <v>183834.92921760824</v>
          </cell>
          <cell r="F309">
            <v>195604.92921760824</v>
          </cell>
          <cell r="G309">
            <v>206874.92921760824</v>
          </cell>
          <cell r="H309">
            <v>220144.92921760824</v>
          </cell>
          <cell r="I309">
            <v>230414.92921760824</v>
          </cell>
          <cell r="J309">
            <v>240684.92921760824</v>
          </cell>
          <cell r="K309">
            <v>251954.92921760824</v>
          </cell>
          <cell r="L309">
            <v>262224.92921760818</v>
          </cell>
        </row>
        <row r="312">
          <cell r="B312">
            <v>33127.908230000008</v>
          </cell>
          <cell r="C312">
            <v>38946.673230000015</v>
          </cell>
          <cell r="D312">
            <v>44664.244650609413</v>
          </cell>
          <cell r="E312">
            <v>44361.821257839089</v>
          </cell>
          <cell r="F312">
            <v>45051.817668772805</v>
          </cell>
          <cell r="G312">
            <v>44674.980447981594</v>
          </cell>
          <cell r="H312">
            <v>44453.956281675179</v>
          </cell>
          <cell r="I312">
            <v>43772.339798526846</v>
          </cell>
          <cell r="J312">
            <v>43809.545267567904</v>
          </cell>
          <cell r="K312">
            <v>43728.589561683366</v>
          </cell>
          <cell r="L312">
            <v>41566.925658963475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35">
          <cell r="C335">
            <v>1.1348514817655087E-5</v>
          </cell>
          <cell r="D335">
            <v>1.1348631232976913E-5</v>
          </cell>
          <cell r="E335">
            <v>1.1348514817655087E-5</v>
          </cell>
          <cell r="F335">
            <v>1.1348514817655087E-5</v>
          </cell>
          <cell r="G335">
            <v>1.134839840233326E-5</v>
          </cell>
          <cell r="H335">
            <v>1.1348281987011433E-5</v>
          </cell>
          <cell r="I335">
            <v>1.1348281987011433E-5</v>
          </cell>
          <cell r="J335">
            <v>1.1348165571689606E-5</v>
          </cell>
          <cell r="K335">
            <v>1.1348281987011433E-5</v>
          </cell>
          <cell r="L335">
            <v>1.134839840233326E-5</v>
          </cell>
        </row>
        <row r="714">
          <cell r="C714"/>
          <cell r="D714">
            <v>-3.9470648971473565E-11</v>
          </cell>
          <cell r="E714">
            <v>-1.7379875316692051E-11</v>
          </cell>
          <cell r="F714">
            <v>-293.88739611254601</v>
          </cell>
          <cell r="G714">
            <v>267.46357058169122</v>
          </cell>
          <cell r="H714">
            <v>-3.4560798667371273E-11</v>
          </cell>
          <cell r="I714">
            <v>-308.63853259221878</v>
          </cell>
          <cell r="J714">
            <v>280.89885253413559</v>
          </cell>
          <cell r="K714">
            <v>1.8644641386345029E-11</v>
          </cell>
          <cell r="L714">
            <v>-2.4556356947869062E-11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5">
          <cell r="D15">
            <v>9.0999999999999998E-2</v>
          </cell>
        </row>
        <row r="17">
          <cell r="D17">
            <v>253600</v>
          </cell>
        </row>
        <row r="76">
          <cell r="B76" t="str">
            <v>On</v>
          </cell>
          <cell r="G76" t="str">
            <v>On</v>
          </cell>
          <cell r="L76" t="str">
            <v>Off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>
            <v>1110.0503522024183</v>
          </cell>
          <cell r="N370"/>
        </row>
        <row r="372">
          <cell r="D372">
            <v>10.032629097639173</v>
          </cell>
          <cell r="E372">
            <v>111.07203999999999</v>
          </cell>
          <cell r="F372">
            <v>166.79768199999998</v>
          </cell>
          <cell r="G372">
            <v>348.32838343749995</v>
          </cell>
          <cell r="H372">
            <v>477.96762139562486</v>
          </cell>
          <cell r="I372">
            <v>613.94361601200762</v>
          </cell>
          <cell r="J372">
            <v>756.49218059583723</v>
          </cell>
          <cell r="K372">
            <v>905.85695864885076</v>
          </cell>
          <cell r="L372">
            <v>1062.2896679916425</v>
          </cell>
          <cell r="M372">
            <v>1226.0503522024183</v>
          </cell>
        </row>
        <row r="386">
          <cell r="E386">
            <v>600</v>
          </cell>
          <cell r="F386">
            <v>600</v>
          </cell>
          <cell r="G386">
            <v>1300</v>
          </cell>
          <cell r="H386">
            <v>1300</v>
          </cell>
          <cell r="I386">
            <v>1300</v>
          </cell>
          <cell r="J386">
            <v>1300</v>
          </cell>
          <cell r="K386">
            <v>1300</v>
          </cell>
          <cell r="L386">
            <v>1300</v>
          </cell>
          <cell r="M386">
            <v>1300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1.66E-2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/>
      <sheetData sheetId="1"/>
      <sheetData sheetId="2"/>
      <sheetData sheetId="3">
        <row r="273">
          <cell r="G273">
            <v>-0.73914745952161809</v>
          </cell>
          <cell r="H273">
            <v>-0.17123282943778406</v>
          </cell>
          <cell r="I273">
            <v>1.6729194665602307</v>
          </cell>
          <cell r="J273">
            <v>-0.29140369598530924</v>
          </cell>
          <cell r="K273">
            <v>-0.31067737829637565</v>
          </cell>
          <cell r="L273">
            <v>-1.505292281911494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6.37067380357762E-2</v>
          </cell>
        </row>
        <row r="31">
          <cell r="Q31">
            <v>4.9709240081882997E-3</v>
          </cell>
        </row>
        <row r="32">
          <cell r="Q32">
            <v>-1.0200804922332244E-2</v>
          </cell>
        </row>
        <row r="33">
          <cell r="Q33">
            <v>-2.1181382742843299E-3</v>
          </cell>
        </row>
        <row r="36">
          <cell r="Q36">
            <v>3.4023465375930435E-2</v>
          </cell>
        </row>
        <row r="37">
          <cell r="Q37">
            <v>3.1445896969660207E-2</v>
          </cell>
        </row>
        <row r="38">
          <cell r="Q38">
            <v>2.5836586279148081E-2</v>
          </cell>
        </row>
        <row r="41">
          <cell r="Q41">
            <v>3.6218319058334912E-2</v>
          </cell>
        </row>
        <row r="45">
          <cell r="Q45">
            <v>9.6922120189743832E-3</v>
          </cell>
        </row>
        <row r="46">
          <cell r="Q46">
            <v>2.7002065642501207E-2</v>
          </cell>
        </row>
        <row r="61">
          <cell r="D61">
            <v>2793893</v>
          </cell>
          <cell r="E61">
            <v>2863678</v>
          </cell>
        </row>
        <row r="62">
          <cell r="D62">
            <v>2425712</v>
          </cell>
          <cell r="E62">
            <v>2425712</v>
          </cell>
        </row>
        <row r="63">
          <cell r="D63"/>
          <cell r="E63"/>
        </row>
      </sheetData>
      <sheetData sheetId="1">
        <row r="182">
          <cell r="C182">
            <v>170911.14669441056</v>
          </cell>
          <cell r="D182">
            <v>177643.10660809086</v>
          </cell>
          <cell r="E182">
            <v>182978.31366642052</v>
          </cell>
          <cell r="F182">
            <v>202913.40143621908</v>
          </cell>
          <cell r="G182">
            <v>200374.93373908594</v>
          </cell>
          <cell r="H182">
            <v>206004.23336810322</v>
          </cell>
          <cell r="I182">
            <v>223842.46636456795</v>
          </cell>
          <cell r="J182">
            <v>221605.53422900496</v>
          </cell>
          <cell r="K182">
            <v>232677.173014714</v>
          </cell>
          <cell r="L182">
            <v>250302.69474561678</v>
          </cell>
        </row>
        <row r="273">
          <cell r="L273">
            <v>600.22991544236095</v>
          </cell>
        </row>
      </sheetData>
      <sheetData sheetId="2">
        <row r="182">
          <cell r="C182">
            <v>1179.0853555746285</v>
          </cell>
          <cell r="D182">
            <v>3760.4388363244379</v>
          </cell>
          <cell r="E182">
            <v>6481.4920179906367</v>
          </cell>
          <cell r="F182">
            <v>15007.183273789189</v>
          </cell>
          <cell r="G182">
            <v>18275.992044439328</v>
          </cell>
          <cell r="H182">
            <v>21555.75593119223</v>
          </cell>
          <cell r="I182">
            <v>31795.955449660338</v>
          </cell>
          <cell r="J182">
            <v>35630.531776873882</v>
          </cell>
          <cell r="K182">
            <v>39489.072766962083</v>
          </cell>
          <cell r="L182">
            <v>51736.553827137468</v>
          </cell>
        </row>
        <row r="510">
          <cell r="C510">
            <v>-1018.2870022580646</v>
          </cell>
        </row>
        <row r="512">
          <cell r="D512">
            <v>-75975.048653360631</v>
          </cell>
          <cell r="E512">
            <v>-56508.081779935928</v>
          </cell>
          <cell r="F512">
            <v>-173187.15757368435</v>
          </cell>
          <cell r="G512">
            <v>-71470.066959762509</v>
          </cell>
          <cell r="H512">
            <v>-73008.203290456411</v>
          </cell>
          <cell r="I512">
            <v>-205687.77648810597</v>
          </cell>
          <cell r="J512">
            <v>-89403.024789444738</v>
          </cell>
          <cell r="K512">
            <v>-91429.692827297666</v>
          </cell>
          <cell r="L512">
            <v>-260796.77877105735</v>
          </cell>
        </row>
        <row r="532">
          <cell r="C532">
            <v>-1.5877519627392758</v>
          </cell>
        </row>
      </sheetData>
      <sheetData sheetId="3">
        <row r="182">
          <cell r="C182">
            <v>172090.23204998515</v>
          </cell>
          <cell r="D182">
            <v>181403.54544441536</v>
          </cell>
          <cell r="E182">
            <v>189459.80568441108</v>
          </cell>
          <cell r="F182">
            <v>217920.58471000826</v>
          </cell>
          <cell r="G182">
            <v>218650.92578352528</v>
          </cell>
          <cell r="H182">
            <v>227559.9892992955</v>
          </cell>
          <cell r="I182">
            <v>255638.4218142282</v>
          </cell>
          <cell r="J182">
            <v>257236.06600587876</v>
          </cell>
          <cell r="K182">
            <v>272166.24578167615</v>
          </cell>
          <cell r="L182">
            <v>302039.24857275444</v>
          </cell>
        </row>
        <row r="273">
          <cell r="B273">
            <v>-1.9647607207298279E-4</v>
          </cell>
          <cell r="C273">
            <v>-1.5871006897252811</v>
          </cell>
          <cell r="D273">
            <v>178.19736170567921</v>
          </cell>
          <cell r="E273">
            <v>183.47302879924973</v>
          </cell>
          <cell r="F273">
            <v>222.72233106217936</v>
          </cell>
          <cell r="G273">
            <v>450.35676446360776</v>
          </cell>
          <cell r="H273">
            <v>469.87039314221693</v>
          </cell>
          <cell r="I273">
            <v>513.48275938129336</v>
          </cell>
          <cell r="J273">
            <v>604.77268216550146</v>
          </cell>
          <cell r="K273">
            <v>603.88920908388172</v>
          </cell>
          <cell r="L273">
            <v>598.64216347965703</v>
          </cell>
        </row>
        <row r="306">
          <cell r="B306">
            <v>1602030.4344999092</v>
          </cell>
          <cell r="C306">
            <v>1892374.2049725705</v>
          </cell>
          <cell r="D306">
            <v>1979682.5380533517</v>
          </cell>
          <cell r="E306">
            <v>2059213.0113714228</v>
          </cell>
          <cell r="F306">
            <v>2240856.6196136139</v>
          </cell>
          <cell r="G306">
            <v>2326562.6887570759</v>
          </cell>
          <cell r="H306">
            <v>2416646.7021662891</v>
          </cell>
          <cell r="I306">
            <v>2660976.8623797577</v>
          </cell>
          <cell r="J306">
            <v>2760745.3100160444</v>
          </cell>
          <cell r="K306">
            <v>2860782.8452007798</v>
          </cell>
          <cell r="L306">
            <v>3052062.0244915588</v>
          </cell>
        </row>
        <row r="309">
          <cell r="B309">
            <v>1205252.4384809423</v>
          </cell>
          <cell r="C309">
            <v>1471323.7415318848</v>
          </cell>
          <cell r="D309">
            <v>1464875.1959651287</v>
          </cell>
          <cell r="E309">
            <v>1567962.0128417904</v>
          </cell>
          <cell r="F309">
            <v>1738880.0005326672</v>
          </cell>
          <cell r="G309">
            <v>1923198.4992264314</v>
          </cell>
          <cell r="H309">
            <v>1952205.4667462625</v>
          </cell>
          <cell r="I309">
            <v>2018177.3876847913</v>
          </cell>
          <cell r="J309">
            <v>2156235.6353444285</v>
          </cell>
          <cell r="K309">
            <v>2293963.4557339167</v>
          </cell>
          <cell r="L309">
            <v>2515921.6313685249</v>
          </cell>
        </row>
        <row r="312">
          <cell r="B312">
            <v>196966.6427432771</v>
          </cell>
          <cell r="C312">
            <v>193625.83474327711</v>
          </cell>
          <cell r="D312">
            <v>362974.79219167918</v>
          </cell>
          <cell r="E312">
            <v>433866.44307879079</v>
          </cell>
          <cell r="F312">
            <v>367601.33171683736</v>
          </cell>
          <cell r="G312">
            <v>263747.46308217966</v>
          </cell>
          <cell r="H312">
            <v>365128.78808648052</v>
          </cell>
          <cell r="I312">
            <v>420970.76131202077</v>
          </cell>
          <cell r="J312">
            <v>419984.31938073883</v>
          </cell>
          <cell r="K312">
            <v>419486.21017368173</v>
          </cell>
          <cell r="L312">
            <v>416304.38810119929</v>
          </cell>
        </row>
        <row r="313">
          <cell r="B313">
            <v>152259.77072</v>
          </cell>
          <cell r="C313">
            <v>42674.933930000043</v>
          </cell>
          <cell r="D313">
            <v>42674.933930000043</v>
          </cell>
          <cell r="E313">
            <v>42674.933930000043</v>
          </cell>
          <cell r="F313">
            <v>42674.933930000043</v>
          </cell>
          <cell r="G313">
            <v>42674.933930000043</v>
          </cell>
          <cell r="H313">
            <v>42674.933930000043</v>
          </cell>
          <cell r="I313">
            <v>42674.933930000043</v>
          </cell>
          <cell r="J313">
            <v>42674.933930000043</v>
          </cell>
          <cell r="K313">
            <v>42674.933930000043</v>
          </cell>
          <cell r="L313">
            <v>42674.933930000043</v>
          </cell>
        </row>
        <row r="335">
          <cell r="C335">
            <v>-2.7572829276323318E-4</v>
          </cell>
          <cell r="D335">
            <v>-2.7573015540838242E-4</v>
          </cell>
          <cell r="E335">
            <v>-2.7573201805353165E-4</v>
          </cell>
          <cell r="F335">
            <v>-2.757292240858078E-4</v>
          </cell>
          <cell r="G335">
            <v>-2.757292240858078E-4</v>
          </cell>
          <cell r="H335">
            <v>-2.7573294937610626E-4</v>
          </cell>
          <cell r="I335">
            <v>-2.7573294937610626E-4</v>
          </cell>
          <cell r="J335">
            <v>-2.7572829276323318E-4</v>
          </cell>
          <cell r="K335">
            <v>-2.7572643011808395E-4</v>
          </cell>
          <cell r="L335">
            <v>-2.7572363615036011E-4</v>
          </cell>
        </row>
        <row r="714">
          <cell r="C714"/>
          <cell r="D714">
            <v>-1.8530954548623413E-10</v>
          </cell>
          <cell r="E714">
            <v>-6.5483618527650833E-11</v>
          </cell>
          <cell r="F714">
            <v>-5940.7254160498032</v>
          </cell>
          <cell r="G714">
            <v>5500.7762639043794</v>
          </cell>
          <cell r="H714">
            <v>6.730260793119669E-11</v>
          </cell>
          <cell r="I714">
            <v>-5113.357726297354</v>
          </cell>
          <cell r="J714">
            <v>4734.7404824387431</v>
          </cell>
          <cell r="K714">
            <v>-4.7293724492192268E-11</v>
          </cell>
          <cell r="L714">
            <v>-5186.2305742072094</v>
          </cell>
        </row>
      </sheetData>
      <sheetData sheetId="4"/>
      <sheetData sheetId="5"/>
      <sheetData sheetId="6">
        <row r="262">
          <cell r="E262">
            <v>6000</v>
          </cell>
          <cell r="F262">
            <v>6000</v>
          </cell>
          <cell r="G262">
            <v>6000</v>
          </cell>
          <cell r="H262">
            <v>6000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7">
          <cell r="D17">
            <v>2949448</v>
          </cell>
        </row>
        <row r="76">
          <cell r="B76" t="str">
            <v>Off</v>
          </cell>
          <cell r="G76" t="str">
            <v>Off</v>
          </cell>
          <cell r="L76" t="str">
            <v>Off</v>
          </cell>
          <cell r="Q76" t="str">
            <v>On</v>
          </cell>
          <cell r="V76" t="str">
            <v>Off</v>
          </cell>
          <cell r="AA76" t="str">
            <v>Off</v>
          </cell>
          <cell r="AF76" t="str">
            <v>On</v>
          </cell>
          <cell r="AK76" t="str">
            <v>Off</v>
          </cell>
          <cell r="AP76" t="str">
            <v>Off</v>
          </cell>
          <cell r="AU76" t="str">
            <v>On</v>
          </cell>
        </row>
      </sheetData>
      <sheetData sheetId="8">
        <row r="182">
          <cell r="C182"/>
        </row>
        <row r="370">
          <cell r="M370">
            <v>51736.553827137461</v>
          </cell>
          <cell r="N370"/>
        </row>
        <row r="372">
          <cell r="D372">
            <v>1179.0853555746285</v>
          </cell>
          <cell r="E372">
            <v>3760.4388363244061</v>
          </cell>
          <cell r="F372">
            <v>6481.4920179906348</v>
          </cell>
          <cell r="G372">
            <v>15007.183273789136</v>
          </cell>
          <cell r="H372">
            <v>18275.992044439259</v>
          </cell>
          <cell r="I372">
            <v>21555.755931192136</v>
          </cell>
          <cell r="J372">
            <v>31795.955449660425</v>
          </cell>
          <cell r="K372">
            <v>35630.531776873853</v>
          </cell>
          <cell r="L372">
            <v>39489.072766962039</v>
          </cell>
          <cell r="M372">
            <v>51736.553827137461</v>
          </cell>
        </row>
        <row r="386">
          <cell r="E386"/>
          <cell r="F386"/>
          <cell r="G386"/>
          <cell r="H386"/>
          <cell r="I386">
            <v>3.6189099544832501</v>
          </cell>
          <cell r="J386">
            <v>4.6189099544832501</v>
          </cell>
          <cell r="K386">
            <v>5.6189099544832501</v>
          </cell>
          <cell r="L386">
            <v>6.6189099544832501</v>
          </cell>
          <cell r="M386">
            <v>7.6189099544832501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1.2869999999999999E-2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158500</v>
          </cell>
        </row>
      </sheetData>
      <sheetData sheetId="1"/>
      <sheetData sheetId="2">
        <row r="182">
          <cell r="C182">
            <v>123.78944097839889</v>
          </cell>
        </row>
      </sheetData>
      <sheetData sheetId="3">
        <row r="158">
          <cell r="C158">
            <v>4246.8943479742638</v>
          </cell>
        </row>
        <row r="273">
          <cell r="G273">
            <v>18.68438643165797</v>
          </cell>
          <cell r="H273">
            <v>18.841821643529556</v>
          </cell>
          <cell r="I273">
            <v>22.244866269503973</v>
          </cell>
          <cell r="J273">
            <v>-12.721042644807483</v>
          </cell>
          <cell r="K273">
            <v>94.827196997387603</v>
          </cell>
          <cell r="L273">
            <v>41.268338246218661</v>
          </cell>
        </row>
      </sheetData>
      <sheetData sheetId="4"/>
      <sheetData sheetId="5"/>
      <sheetData sheetId="6">
        <row r="262">
          <cell r="E262">
            <v>125</v>
          </cell>
        </row>
      </sheetData>
      <sheetData sheetId="7">
        <row r="15">
          <cell r="D15">
            <v>9.2499999999999999E-2</v>
          </cell>
        </row>
      </sheetData>
      <sheetData sheetId="8">
        <row r="370">
          <cell r="E370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2.4E-2</v>
          </cell>
        </row>
      </sheetData>
      <sheetData sheetId="20">
        <row r="379">
          <cell r="D379">
            <v>1145.0058333333334</v>
          </cell>
        </row>
      </sheetData>
      <sheetData sheetId="21"/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9.1549779911976548E-2</v>
          </cell>
        </row>
        <row r="31">
          <cell r="Q31">
            <v>1.030131917895342E-2</v>
          </cell>
        </row>
        <row r="32">
          <cell r="Q32">
            <v>-1.1175596298894135E-2</v>
          </cell>
        </row>
        <row r="33">
          <cell r="Q33">
            <v>-6.3751943526185895E-3</v>
          </cell>
        </row>
        <row r="36">
          <cell r="Q36">
            <v>2.4879545653869028E-2</v>
          </cell>
        </row>
        <row r="37">
          <cell r="Q37">
            <v>2.4900607029663381E-2</v>
          </cell>
        </row>
        <row r="38">
          <cell r="Q38">
            <v>1.3482383378326655E-2</v>
          </cell>
        </row>
        <row r="41">
          <cell r="Q41">
            <v>3.1455273489540754E-2</v>
          </cell>
        </row>
        <row r="45">
          <cell r="Q45">
            <v>-1.0207547963579995E-3</v>
          </cell>
        </row>
        <row r="46">
          <cell r="Q46">
            <v>2.6044354721625741E-2</v>
          </cell>
        </row>
        <row r="61">
          <cell r="D61">
            <v>152305</v>
          </cell>
          <cell r="E61">
            <v>156155</v>
          </cell>
        </row>
        <row r="62">
          <cell r="D62">
            <v>132015</v>
          </cell>
          <cell r="E62">
            <v>132015</v>
          </cell>
        </row>
        <row r="63">
          <cell r="D63">
            <v>39582</v>
          </cell>
          <cell r="E63">
            <v>47962</v>
          </cell>
        </row>
      </sheetData>
      <sheetData sheetId="1">
        <row r="182">
          <cell r="C182">
            <v>8688.5164785686648</v>
          </cell>
          <cell r="D182">
            <v>9668.2279355273895</v>
          </cell>
          <cell r="E182">
            <v>10176.585452389019</v>
          </cell>
          <cell r="F182">
            <v>10480.08116194894</v>
          </cell>
          <cell r="G182">
            <v>11118.443019239876</v>
          </cell>
          <cell r="H182">
            <v>11243.641605423341</v>
          </cell>
          <cell r="I182">
            <v>12363.903558367876</v>
          </cell>
          <cell r="J182">
            <v>12577.327534040087</v>
          </cell>
          <cell r="K182">
            <v>12917.236844407711</v>
          </cell>
          <cell r="L182">
            <v>13529.038233714005</v>
          </cell>
        </row>
        <row r="273">
          <cell r="L273">
            <v>73.161510612840203</v>
          </cell>
        </row>
      </sheetData>
      <sheetData sheetId="2">
        <row r="182">
          <cell r="C182">
            <v>91.075407183036702</v>
          </cell>
          <cell r="D182">
            <v>232.96300833333572</v>
          </cell>
          <cell r="E182">
            <v>673.67709166666543</v>
          </cell>
          <cell r="F182">
            <v>1268.2550916666642</v>
          </cell>
          <cell r="G182">
            <v>1645.5274249999991</v>
          </cell>
          <cell r="H182">
            <v>3193.544425000001</v>
          </cell>
          <cell r="I182">
            <v>3758.5888416666703</v>
          </cell>
          <cell r="J182">
            <v>5574.7310083333141</v>
          </cell>
          <cell r="K182">
            <v>7523.9712583333339</v>
          </cell>
          <cell r="L182">
            <v>8584.8498416666662</v>
          </cell>
        </row>
        <row r="510">
          <cell r="C510">
            <v>-673</v>
          </cell>
        </row>
        <row r="512">
          <cell r="D512">
            <v>-2876.4939005159467</v>
          </cell>
          <cell r="E512">
            <v>-9376.416582991933</v>
          </cell>
          <cell r="F512">
            <v>-12864.762810378335</v>
          </cell>
          <cell r="G512">
            <v>-8745.074481846239</v>
          </cell>
          <cell r="H512">
            <v>-36607.338927414341</v>
          </cell>
          <cell r="I512">
            <v>-16166.188199922739</v>
          </cell>
          <cell r="J512">
            <v>-48751.465949003999</v>
          </cell>
          <cell r="K512">
            <v>-21590.754646225283</v>
          </cell>
          <cell r="L512">
            <v>-30325.592166841539</v>
          </cell>
        </row>
        <row r="532">
          <cell r="C532">
            <v>2.2230378817766905E-6</v>
          </cell>
        </row>
      </sheetData>
      <sheetData sheetId="3">
        <row r="182">
          <cell r="C182">
            <v>8779.591885751699</v>
          </cell>
          <cell r="D182">
            <v>9901.1909438607399</v>
          </cell>
          <cell r="E182">
            <v>10850.26254405568</v>
          </cell>
          <cell r="F182">
            <v>11748.336253615604</v>
          </cell>
          <cell r="G182">
            <v>12763.970444239849</v>
          </cell>
          <cell r="H182">
            <v>14437.186030423325</v>
          </cell>
          <cell r="I182">
            <v>16122.492400034536</v>
          </cell>
          <cell r="J182">
            <v>18152.058542373401</v>
          </cell>
          <cell r="K182">
            <v>20441.208102741028</v>
          </cell>
          <cell r="L182">
            <v>22113.888075380688</v>
          </cell>
        </row>
        <row r="273">
          <cell r="B273">
            <v>-2.2351741790771485E-11</v>
          </cell>
          <cell r="C273">
            <v>1.6622983803245007E-6</v>
          </cell>
          <cell r="D273">
            <v>56.425067044255854</v>
          </cell>
          <cell r="E273">
            <v>57.037378043046374</v>
          </cell>
          <cell r="F273">
            <v>50.80220877160923</v>
          </cell>
          <cell r="G273">
            <v>57.371951076883079</v>
          </cell>
          <cell r="H273">
            <v>56.824607824451959</v>
          </cell>
          <cell r="I273">
            <v>72.974883065587164</v>
          </cell>
          <cell r="J273">
            <v>73.137170083579804</v>
          </cell>
          <cell r="K273">
            <v>745.98676845900627</v>
          </cell>
          <cell r="L273">
            <v>6544.6049641199143</v>
          </cell>
        </row>
        <row r="306">
          <cell r="B306">
            <v>85804.2518233679</v>
          </cell>
          <cell r="C306">
            <v>92053.289690459118</v>
          </cell>
          <cell r="D306">
            <v>104561.22378467706</v>
          </cell>
          <cell r="E306">
            <v>111988.6027973678</v>
          </cell>
          <cell r="F306">
            <v>122433.40758746066</v>
          </cell>
          <cell r="G306">
            <v>132480.62107830439</v>
          </cell>
          <cell r="H306">
            <v>153357.22323856218</v>
          </cell>
          <cell r="I306">
            <v>168678.732550115</v>
          </cell>
          <cell r="J306">
            <v>193969.82167773787</v>
          </cell>
          <cell r="K306">
            <v>210337.69300217842</v>
          </cell>
          <cell r="L306">
            <v>231675.93861588885</v>
          </cell>
        </row>
        <row r="309">
          <cell r="B309">
            <v>72438.952510000003</v>
          </cell>
          <cell r="C309">
            <v>58453.21502370204</v>
          </cell>
          <cell r="D309">
            <v>59572.845107035333</v>
          </cell>
          <cell r="E309">
            <v>73547.247676479747</v>
          </cell>
          <cell r="F309">
            <v>86288.509343146463</v>
          </cell>
          <cell r="G309">
            <v>94328.509343146405</v>
          </cell>
          <cell r="H309">
            <v>118346.37733220245</v>
          </cell>
          <cell r="I309">
            <v>128210.95989043935</v>
          </cell>
          <cell r="J309">
            <v>159770.95989043941</v>
          </cell>
          <cell r="K309">
            <v>173650.95989043941</v>
          </cell>
          <cell r="L309">
            <v>192305.98789421981</v>
          </cell>
        </row>
        <row r="312">
          <cell r="B312">
            <v>9763.579667144717</v>
          </cell>
          <cell r="C312">
            <v>16240.17233506547</v>
          </cell>
          <cell r="D312">
            <v>18746.556851565281</v>
          </cell>
          <cell r="E312">
            <v>18085.207354032511</v>
          </cell>
          <cell r="F312">
            <v>16902.101797693213</v>
          </cell>
          <cell r="G312">
            <v>15150.100752147788</v>
          </cell>
          <cell r="H312">
            <v>13009.606568087969</v>
          </cell>
          <cell r="I312">
            <v>9594.6479359860587</v>
          </cell>
          <cell r="J312">
            <v>5267.6066797031217</v>
          </cell>
          <cell r="K312">
            <v>157.56861887387595</v>
          </cell>
          <cell r="L312">
            <v>-1950.806920583495</v>
          </cell>
        </row>
        <row r="313">
          <cell r="B313">
            <v>0</v>
          </cell>
          <cell r="C313">
            <v>19000</v>
          </cell>
          <cell r="D313">
            <v>19000</v>
          </cell>
          <cell r="E313">
            <v>19000</v>
          </cell>
          <cell r="F313">
            <v>19000</v>
          </cell>
          <cell r="G313">
            <v>19000</v>
          </cell>
          <cell r="H313">
            <v>19000</v>
          </cell>
          <cell r="I313">
            <v>19000</v>
          </cell>
          <cell r="J313">
            <v>19000</v>
          </cell>
          <cell r="K313">
            <v>19000</v>
          </cell>
          <cell r="L313">
            <v>19000</v>
          </cell>
        </row>
        <row r="335"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-9.3132257461547852E-10</v>
          </cell>
          <cell r="L335">
            <v>0</v>
          </cell>
        </row>
        <row r="714">
          <cell r="C714"/>
          <cell r="D714">
            <v>-4.2845726966334041E-12</v>
          </cell>
          <cell r="E714">
            <v>-6.2527760746888816E-13</v>
          </cell>
          <cell r="F714">
            <v>-6.1390892369672656E-12</v>
          </cell>
          <cell r="G714">
            <v>-4.0927261579781771E-12</v>
          </cell>
          <cell r="H714">
            <v>1.3869794202037156E-11</v>
          </cell>
          <cell r="I714">
            <v>-8.1854523159563541E-12</v>
          </cell>
          <cell r="J714">
            <v>-3.2741809263825417E-11</v>
          </cell>
          <cell r="K714">
            <v>-1.9099388737231493E-11</v>
          </cell>
          <cell r="L714">
            <v>4.0927261579781771E-11</v>
          </cell>
        </row>
      </sheetData>
      <sheetData sheetId="4"/>
      <sheetData sheetId="5"/>
      <sheetData sheetId="6">
        <row r="262">
          <cell r="E262">
            <v>0</v>
          </cell>
          <cell r="F262">
            <v>0</v>
          </cell>
          <cell r="G262">
            <v>300</v>
          </cell>
          <cell r="H262">
            <v>650</v>
          </cell>
          <cell r="I262">
            <v>650</v>
          </cell>
          <cell r="J262">
            <v>1500</v>
          </cell>
          <cell r="K262">
            <v>1200</v>
          </cell>
          <cell r="L262">
            <v>1200</v>
          </cell>
          <cell r="M262">
            <v>1500</v>
          </cell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7">
          <cell r="D17">
            <v>132015</v>
          </cell>
        </row>
        <row r="76">
          <cell r="B76" t="str">
            <v>Off</v>
          </cell>
          <cell r="G76" t="str">
            <v>Off</v>
          </cell>
          <cell r="L76" t="str">
            <v>Off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182">
          <cell r="C182"/>
        </row>
        <row r="370">
          <cell r="M370">
            <v>1060.8785833333334</v>
          </cell>
          <cell r="N370"/>
        </row>
        <row r="372">
          <cell r="D372">
            <v>91.075407183036702</v>
          </cell>
          <cell r="E372">
            <v>232.96300833333333</v>
          </cell>
          <cell r="F372">
            <v>673.67709166666668</v>
          </cell>
          <cell r="G372">
            <v>1268.2550916666667</v>
          </cell>
          <cell r="H372">
            <v>1645.527425</v>
          </cell>
          <cell r="I372">
            <v>3193.544425</v>
          </cell>
          <cell r="J372">
            <v>3758.5888416666667</v>
          </cell>
          <cell r="K372">
            <v>5574.7310083333332</v>
          </cell>
          <cell r="L372">
            <v>7523.971258333333</v>
          </cell>
          <cell r="M372">
            <v>8584.8498416666662</v>
          </cell>
        </row>
        <row r="386">
          <cell r="E386">
            <v>3550</v>
          </cell>
          <cell r="F386">
            <v>5168</v>
          </cell>
          <cell r="G386">
            <v>2184</v>
          </cell>
          <cell r="H386">
            <v>13460</v>
          </cell>
          <cell r="I386">
            <v>4710</v>
          </cell>
          <cell r="J386">
            <v>4379</v>
          </cell>
          <cell r="K386">
            <v>27000</v>
          </cell>
          <cell r="L386">
            <v>9089</v>
          </cell>
          <cell r="M386">
            <v>5679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1.2500000000000001E-2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2556581</v>
          </cell>
        </row>
      </sheetData>
      <sheetData sheetId="1"/>
      <sheetData sheetId="2">
        <row r="182">
          <cell r="C182">
            <v>3084.000173866616</v>
          </cell>
        </row>
      </sheetData>
      <sheetData sheetId="3">
        <row r="158">
          <cell r="C158">
            <v>72514.939159760266</v>
          </cell>
        </row>
        <row r="273">
          <cell r="G273">
            <v>515.0224575691027</v>
          </cell>
          <cell r="H273">
            <v>559.73264258124982</v>
          </cell>
          <cell r="I273">
            <v>552.25149472106204</v>
          </cell>
          <cell r="J273">
            <v>647.6808808460828</v>
          </cell>
          <cell r="K273">
            <v>700.70476655418315</v>
          </cell>
          <cell r="L273">
            <v>700.85642649219699</v>
          </cell>
        </row>
      </sheetData>
      <sheetData sheetId="4"/>
      <sheetData sheetId="5"/>
      <sheetData sheetId="6">
        <row r="262">
          <cell r="E262"/>
        </row>
      </sheetData>
      <sheetData sheetId="7">
        <row r="15">
          <cell r="D15">
            <v>0.1</v>
          </cell>
        </row>
      </sheetData>
      <sheetData sheetId="8">
        <row r="370">
          <cell r="E370">
            <v>2504.1404294638678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1.29E-2</v>
          </cell>
        </row>
      </sheetData>
      <sheetData sheetId="20">
        <row r="379">
          <cell r="D379">
            <v>29468.422657300955</v>
          </cell>
        </row>
      </sheetData>
      <sheetData sheetId="21"/>
      <sheetData sheetId="22"/>
      <sheetData sheetId="23"/>
      <sheetData sheetId="24"/>
      <sheetData sheetId="25"/>
      <sheetData sheetId="26">
        <row r="456">
          <cell r="C456">
            <v>0</v>
          </cell>
        </row>
      </sheetData>
      <sheetData sheetId="27"/>
      <sheetData sheetId="28"/>
      <sheetData sheetId="29"/>
      <sheetData sheetId="30"/>
      <sheetData sheetId="3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Sheet1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3.1964577401881418E-2</v>
          </cell>
        </row>
        <row r="61">
          <cell r="D61"/>
          <cell r="E61"/>
        </row>
        <row r="62">
          <cell r="D62"/>
          <cell r="E62"/>
        </row>
        <row r="63">
          <cell r="D63">
            <v>0</v>
          </cell>
          <cell r="E63">
            <v>0</v>
          </cell>
        </row>
      </sheetData>
      <sheetData sheetId="1">
        <row r="182">
          <cell r="C182">
            <v>7604.4575784158569</v>
          </cell>
          <cell r="D182">
            <v>7277.9504781483847</v>
          </cell>
          <cell r="E182">
            <v>8212.8811746214542</v>
          </cell>
          <cell r="F182">
            <v>7568.995188412644</v>
          </cell>
          <cell r="G182">
            <v>9618.2220196356466</v>
          </cell>
          <cell r="H182">
            <v>9822.3638622560247</v>
          </cell>
          <cell r="I182">
            <v>8966.8790073385171</v>
          </cell>
          <cell r="J182">
            <v>10213.875028525017</v>
          </cell>
          <cell r="K182">
            <v>11482.332884886928</v>
          </cell>
          <cell r="L182">
            <v>11636.741871545</v>
          </cell>
        </row>
        <row r="273">
          <cell r="L273">
            <v>58.507221377570744</v>
          </cell>
        </row>
      </sheetData>
      <sheetData sheetId="2">
        <row r="182">
          <cell r="C182">
            <v>47.571267161396293</v>
          </cell>
          <cell r="D182">
            <v>515.99999999999818</v>
          </cell>
          <cell r="E182">
            <v>608.99999999999932</v>
          </cell>
          <cell r="F182">
            <v>609.00000000000023</v>
          </cell>
          <cell r="G182">
            <v>609.0000000000033</v>
          </cell>
          <cell r="H182">
            <v>709.00000000000136</v>
          </cell>
          <cell r="I182">
            <v>708.99999999999864</v>
          </cell>
          <cell r="J182">
            <v>709.00000000000409</v>
          </cell>
          <cell r="K182">
            <v>809.00000000000114</v>
          </cell>
          <cell r="L182">
            <v>1009.0000000000045</v>
          </cell>
        </row>
        <row r="510">
          <cell r="C510">
            <v>0</v>
          </cell>
        </row>
        <row r="512">
          <cell r="D512">
            <v>-5233.9720791297268</v>
          </cell>
          <cell r="E512">
            <v>-171.9441582594566</v>
          </cell>
          <cell r="F512">
            <v>-171.9441582594566</v>
          </cell>
          <cell r="G512">
            <v>-171.9441582594566</v>
          </cell>
          <cell r="H512">
            <v>-2719.7945914954903</v>
          </cell>
          <cell r="I512">
            <v>-255.64502473152302</v>
          </cell>
          <cell r="J512">
            <v>-255.64502473152302</v>
          </cell>
          <cell r="K512">
            <v>-2633.7065424246921</v>
          </cell>
          <cell r="L512">
            <v>-333.76806011786113</v>
          </cell>
        </row>
        <row r="532">
          <cell r="C532">
            <v>1.2517403774836566E-3</v>
          </cell>
        </row>
      </sheetData>
      <sheetData sheetId="3">
        <row r="182">
          <cell r="C182">
            <v>7652.0288455772616</v>
          </cell>
          <cell r="D182">
            <v>7793.9504781483829</v>
          </cell>
          <cell r="E182">
            <v>8821.8811746214415</v>
          </cell>
          <cell r="F182">
            <v>8177.9951884126212</v>
          </cell>
          <cell r="G182">
            <v>10227.222019635639</v>
          </cell>
          <cell r="H182">
            <v>10531.363862256016</v>
          </cell>
          <cell r="I182">
            <v>9675.8790073385208</v>
          </cell>
          <cell r="J182">
            <v>10922.875028525004</v>
          </cell>
          <cell r="K182">
            <v>12291.332884886897</v>
          </cell>
          <cell r="L182">
            <v>12645.741871545011</v>
          </cell>
        </row>
        <row r="273">
          <cell r="B273">
            <v>-2.184029210358858E-3</v>
          </cell>
          <cell r="C273">
            <v>9.8750717320217536E-4</v>
          </cell>
          <cell r="D273">
            <v>33.721647234397096</v>
          </cell>
          <cell r="E273">
            <v>34.852011524144586</v>
          </cell>
          <cell r="F273">
            <v>34.89742272592423</v>
          </cell>
          <cell r="G273">
            <v>34.218236780292955</v>
          </cell>
          <cell r="H273">
            <v>37.509294744814497</v>
          </cell>
          <cell r="I273">
            <v>58.351267314717234</v>
          </cell>
          <cell r="J273">
            <v>59.826787493374582</v>
          </cell>
          <cell r="K273">
            <v>58.983014424619228</v>
          </cell>
          <cell r="L273">
            <v>58.508473117946892</v>
          </cell>
        </row>
        <row r="306">
          <cell r="B306">
            <v>73427.474418732803</v>
          </cell>
          <cell r="C306">
            <v>86210.899957015208</v>
          </cell>
          <cell r="D306">
            <v>90609.949798943853</v>
          </cell>
          <cell r="E306">
            <v>93811.789646932084</v>
          </cell>
          <cell r="F306">
            <v>99823.418652934313</v>
          </cell>
          <cell r="G306">
            <v>104052.85048962367</v>
          </cell>
          <cell r="H306">
            <v>110697.82228545161</v>
          </cell>
          <cell r="I306">
            <v>120012.88737294529</v>
          </cell>
          <cell r="J306">
            <v>123467.56023512648</v>
          </cell>
          <cell r="K306">
            <v>127446.43103858543</v>
          </cell>
          <cell r="L306">
            <v>131638.73992219064</v>
          </cell>
        </row>
        <row r="309">
          <cell r="B309">
            <v>79284.445694640934</v>
          </cell>
          <cell r="C309">
            <v>75580.580875948581</v>
          </cell>
          <cell r="D309">
            <v>85276.420875948621</v>
          </cell>
          <cell r="E309">
            <v>97136.420875948621</v>
          </cell>
          <cell r="F309">
            <v>103536.42087594862</v>
          </cell>
          <cell r="G309">
            <v>111486.42087594862</v>
          </cell>
          <cell r="H309">
            <v>118939.90087594866</v>
          </cell>
          <cell r="I309">
            <v>120939.90087594866</v>
          </cell>
          <cell r="J309">
            <v>128939.90087594866</v>
          </cell>
          <cell r="K309">
            <v>138296.52087594863</v>
          </cell>
          <cell r="L309">
            <v>145296.52087594863</v>
          </cell>
        </row>
        <row r="312">
          <cell r="B312">
            <v>9555.7014798043347</v>
          </cell>
          <cell r="C312">
            <v>14503.894479804345</v>
          </cell>
          <cell r="D312">
            <v>17328.207644866918</v>
          </cell>
          <cell r="E312">
            <v>16935.091998853302</v>
          </cell>
          <cell r="F312">
            <v>16950.187858898094</v>
          </cell>
          <cell r="G312">
            <v>16012.486487284674</v>
          </cell>
          <cell r="H312">
            <v>15859.641936849852</v>
          </cell>
          <cell r="I312">
            <v>15818.073215396602</v>
          </cell>
          <cell r="J312">
            <v>15662.857195980676</v>
          </cell>
          <cell r="K312">
            <v>15508.196480122937</v>
          </cell>
          <cell r="L312">
            <v>15162.003833232808</v>
          </cell>
        </row>
        <row r="313">
          <cell r="B313">
            <v>3790</v>
          </cell>
          <cell r="C313">
            <v>14290</v>
          </cell>
          <cell r="D313">
            <v>14290</v>
          </cell>
          <cell r="E313">
            <v>14290</v>
          </cell>
          <cell r="F313">
            <v>14290</v>
          </cell>
          <cell r="G313">
            <v>14290</v>
          </cell>
          <cell r="H313">
            <v>14290</v>
          </cell>
          <cell r="I313">
            <v>14290</v>
          </cell>
          <cell r="J313">
            <v>14290</v>
          </cell>
          <cell r="K313">
            <v>14290</v>
          </cell>
          <cell r="L313">
            <v>14290</v>
          </cell>
        </row>
        <row r="335">
          <cell r="C335">
            <v>2.4786591529846191E-4</v>
          </cell>
          <cell r="D335">
            <v>2.4786608992144465E-4</v>
          </cell>
          <cell r="E335">
            <v>2.4786603171378374E-4</v>
          </cell>
          <cell r="F335">
            <v>2.4786568246781826E-4</v>
          </cell>
          <cell r="G335">
            <v>2.4786597350612283E-4</v>
          </cell>
          <cell r="H335">
            <v>2.4786539142951369E-4</v>
          </cell>
          <cell r="I335">
            <v>2.4786486756056547E-4</v>
          </cell>
          <cell r="J335">
            <v>2.4786428548395634E-4</v>
          </cell>
          <cell r="K335">
            <v>2.4786428548395634E-4</v>
          </cell>
          <cell r="L335">
            <v>2.4786405265331268E-4</v>
          </cell>
        </row>
        <row r="714">
          <cell r="C714"/>
          <cell r="D714">
            <v>-286.69653294583571</v>
          </cell>
          <cell r="E714">
            <v>268.59089636797592</v>
          </cell>
          <cell r="F714">
            <v>2.7284841053187847E-12</v>
          </cell>
          <cell r="G714">
            <v>-449.33373537224327</v>
          </cell>
          <cell r="H714">
            <v>415.72210348544854</v>
          </cell>
          <cell r="I714">
            <v>-3.0468072509393096E-11</v>
          </cell>
          <cell r="J714">
            <v>-504.10596841742893</v>
          </cell>
          <cell r="K714">
            <v>465.67526295246466</v>
          </cell>
          <cell r="L714">
            <v>-1.0231815394945443E-11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5">
          <cell r="D15">
            <v>9.2499999999999999E-2</v>
          </cell>
        </row>
        <row r="17">
          <cell r="D17">
            <v>163000</v>
          </cell>
        </row>
        <row r="76">
          <cell r="B76" t="str">
            <v>On</v>
          </cell>
          <cell r="G76" t="str">
            <v>On</v>
          </cell>
          <cell r="L76" t="str">
            <v>On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/>
      <sheetData sheetId="9">
        <row r="370">
          <cell r="M370">
            <v>500</v>
          </cell>
          <cell r="N370"/>
        </row>
        <row r="372">
          <cell r="D372">
            <v>47.571267161396293</v>
          </cell>
          <cell r="E372">
            <v>516</v>
          </cell>
          <cell r="F372">
            <v>609</v>
          </cell>
          <cell r="G372">
            <v>609</v>
          </cell>
          <cell r="H372">
            <v>609</v>
          </cell>
          <cell r="I372">
            <v>709</v>
          </cell>
          <cell r="J372">
            <v>709</v>
          </cell>
          <cell r="K372">
            <v>709</v>
          </cell>
          <cell r="L372">
            <v>809</v>
          </cell>
          <cell r="M372">
            <v>1009</v>
          </cell>
        </row>
        <row r="386">
          <cell r="E386">
            <v>2202</v>
          </cell>
          <cell r="F386">
            <v>0</v>
          </cell>
          <cell r="G386">
            <v>0</v>
          </cell>
          <cell r="H386">
            <v>0</v>
          </cell>
          <cell r="I386">
            <v>865</v>
          </cell>
          <cell r="J386">
            <v>0</v>
          </cell>
          <cell r="K386">
            <v>0</v>
          </cell>
          <cell r="L386">
            <v>717</v>
          </cell>
          <cell r="M386"/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505">
          <cell r="J505">
            <v>2.4E-2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0</v>
          </cell>
        </row>
      </sheetData>
      <sheetData sheetId="1"/>
      <sheetData sheetId="2">
        <row r="510">
          <cell r="C510">
            <v>0</v>
          </cell>
        </row>
      </sheetData>
      <sheetData sheetId="3">
        <row r="273">
          <cell r="B273">
            <v>-4.4953705277293918E-5</v>
          </cell>
          <cell r="L273">
            <v>25153.280723886397</v>
          </cell>
        </row>
      </sheetData>
      <sheetData sheetId="4"/>
      <sheetData sheetId="5"/>
      <sheetData sheetId="6"/>
      <sheetData sheetId="7">
        <row r="17">
          <cell r="D17">
            <v>0</v>
          </cell>
        </row>
      </sheetData>
      <sheetData sheetId="8">
        <row r="370">
          <cell r="E370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14">
          <cell r="Q14">
            <v>7.476281676916019E-2</v>
          </cell>
        </row>
        <row r="61">
          <cell r="D61">
            <v>540000</v>
          </cell>
          <cell r="E61">
            <v>546000</v>
          </cell>
        </row>
        <row r="62">
          <cell r="D62">
            <v>529000</v>
          </cell>
          <cell r="E62">
            <v>546000</v>
          </cell>
        </row>
        <row r="63">
          <cell r="D63"/>
          <cell r="E63"/>
        </row>
      </sheetData>
      <sheetData sheetId="1">
        <row r="182">
          <cell r="C182">
            <v>16882.456306462911</v>
          </cell>
          <cell r="D182">
            <v>21239.419755018815</v>
          </cell>
          <cell r="E182">
            <v>22727.956841531202</v>
          </cell>
          <cell r="F182">
            <v>22009.765462960801</v>
          </cell>
          <cell r="G182">
            <v>27096.300810430806</v>
          </cell>
          <cell r="H182">
            <v>29390.071514492724</v>
          </cell>
          <cell r="I182">
            <v>27716.466645787892</v>
          </cell>
          <cell r="J182">
            <v>31746.102637989759</v>
          </cell>
          <cell r="K182">
            <v>32928.962903177395</v>
          </cell>
          <cell r="L182">
            <v>32395.186591889837</v>
          </cell>
        </row>
        <row r="273">
          <cell r="L273">
            <v>303.59262966232467</v>
          </cell>
        </row>
      </sheetData>
      <sheetData sheetId="2">
        <row r="182">
          <cell r="C182">
            <v>380.7795376551212</v>
          </cell>
          <cell r="D182">
            <v>943.00000000000159</v>
          </cell>
          <cell r="E182">
            <v>1172.4500000000053</v>
          </cell>
          <cell r="F182">
            <v>2190.0000000000127</v>
          </cell>
          <cell r="G182">
            <v>2490.0000000000018</v>
          </cell>
          <cell r="H182">
            <v>2880.1500000000128</v>
          </cell>
          <cell r="I182">
            <v>3484.6725000000088</v>
          </cell>
          <cell r="J182">
            <v>3877.2692249999973</v>
          </cell>
          <cell r="K182">
            <v>4270.0419172499905</v>
          </cell>
          <cell r="L182">
            <v>4662.9923364225015</v>
          </cell>
        </row>
        <row r="510">
          <cell r="C510">
            <v>-2506.4169999999999</v>
          </cell>
        </row>
        <row r="512">
          <cell r="D512">
            <v>-3318.9444779172104</v>
          </cell>
          <cell r="E512">
            <v>-10369.716718483358</v>
          </cell>
          <cell r="F512">
            <v>-33651.860557158579</v>
          </cell>
          <cell r="G512">
            <v>-9979.1404800824566</v>
          </cell>
          <cell r="H512">
            <v>-9897.2530975843729</v>
          </cell>
          <cell r="I512">
            <v>-10148.302648587189</v>
          </cell>
          <cell r="J512">
            <v>-9530.5967950452377</v>
          </cell>
          <cell r="K512">
            <v>-10616.196377400725</v>
          </cell>
          <cell r="L512">
            <v>-10867.416955269508</v>
          </cell>
        </row>
        <row r="532">
          <cell r="C532">
            <v>1.3242242857813835E-9</v>
          </cell>
        </row>
      </sheetData>
      <sheetData sheetId="3">
        <row r="182">
          <cell r="C182">
            <v>17263.23584411804</v>
          </cell>
          <cell r="D182">
            <v>22182.419755018782</v>
          </cell>
          <cell r="E182">
            <v>23900.406841531192</v>
          </cell>
          <cell r="F182">
            <v>24199.765462960844</v>
          </cell>
          <cell r="G182">
            <v>29586.300810430814</v>
          </cell>
          <cell r="H182">
            <v>32270.221514492776</v>
          </cell>
          <cell r="I182">
            <v>31201.139145787893</v>
          </cell>
          <cell r="J182">
            <v>35623.371862989719</v>
          </cell>
          <cell r="K182">
            <v>37199.004820427392</v>
          </cell>
          <cell r="L182">
            <v>37058.178928312409</v>
          </cell>
        </row>
        <row r="273">
          <cell r="B273">
            <v>11.862129403331549</v>
          </cell>
          <cell r="C273">
            <v>86.992745068589329</v>
          </cell>
          <cell r="D273">
            <v>-785.26950094624772</v>
          </cell>
          <cell r="E273">
            <v>-216.93960578699807</v>
          </cell>
          <cell r="F273">
            <v>1304.6735442786039</v>
          </cell>
          <cell r="G273">
            <v>224.30880467180941</v>
          </cell>
          <cell r="H273">
            <v>221.19721564968359</v>
          </cell>
          <cell r="I273">
            <v>308.69983155528644</v>
          </cell>
          <cell r="J273">
            <v>304.07166071766551</v>
          </cell>
          <cell r="K273">
            <v>305.75418955065743</v>
          </cell>
          <cell r="L273">
            <v>303.59262966365304</v>
          </cell>
        </row>
        <row r="306">
          <cell r="B306">
            <v>279923.65044634638</v>
          </cell>
          <cell r="C306">
            <v>339579.09953961294</v>
          </cell>
          <cell r="D306">
            <v>352175.99885156227</v>
          </cell>
          <cell r="E306">
            <v>366569.3290753286</v>
          </cell>
          <cell r="F306">
            <v>410167.34171352518</v>
          </cell>
          <cell r="G306">
            <v>428676.32202122215</v>
          </cell>
          <cell r="H306">
            <v>456703.50861013157</v>
          </cell>
          <cell r="I306">
            <v>482563.55154460913</v>
          </cell>
          <cell r="J306">
            <v>503394.61715399218</v>
          </cell>
          <cell r="K306">
            <v>533461.69750895433</v>
          </cell>
          <cell r="L306">
            <v>564343.86028902535</v>
          </cell>
        </row>
        <row r="309">
          <cell r="B309">
            <v>250638.17227556068</v>
          </cell>
          <cell r="C309">
            <v>219865.62568112128</v>
          </cell>
          <cell r="D309">
            <v>222769.37368112116</v>
          </cell>
          <cell r="E309">
            <v>238733.67723667677</v>
          </cell>
          <cell r="F309">
            <v>251665.75857001013</v>
          </cell>
          <cell r="G309">
            <v>265962.28434778779</v>
          </cell>
          <cell r="H309">
            <v>300922.99132214685</v>
          </cell>
          <cell r="I309">
            <v>337885.80634778779</v>
          </cell>
          <cell r="J309">
            <v>380922.79501445452</v>
          </cell>
          <cell r="K309">
            <v>411885.61004009529</v>
          </cell>
          <cell r="L309">
            <v>442850.55419753137</v>
          </cell>
        </row>
        <row r="312">
          <cell r="B312">
            <v>31638.051175446777</v>
          </cell>
          <cell r="C312">
            <v>114107.48558110537</v>
          </cell>
          <cell r="D312">
            <v>129083.44902626488</v>
          </cell>
          <cell r="E312">
            <v>126864.77880634398</v>
          </cell>
          <cell r="F312">
            <v>123110.67992355464</v>
          </cell>
          <cell r="G312">
            <v>120042.00590480413</v>
          </cell>
          <cell r="H312">
            <v>118367.38084669784</v>
          </cell>
          <cell r="I312">
            <v>116573.66271232134</v>
          </cell>
          <cell r="J312">
            <v>113916.32209149124</v>
          </cell>
          <cell r="K312">
            <v>112709.29629461488</v>
          </cell>
          <cell r="L312">
            <v>110635.84439161404</v>
          </cell>
        </row>
        <row r="313">
          <cell r="B313">
            <v>96.251999999999995</v>
          </cell>
          <cell r="C313">
            <v>30596.252</v>
          </cell>
          <cell r="D313">
            <v>30596.252</v>
          </cell>
          <cell r="E313">
            <v>30596.252</v>
          </cell>
          <cell r="F313">
            <v>30596.252</v>
          </cell>
          <cell r="G313">
            <v>30596.252</v>
          </cell>
          <cell r="H313">
            <v>30596.252</v>
          </cell>
          <cell r="I313">
            <v>30596.252</v>
          </cell>
          <cell r="J313">
            <v>30596.252</v>
          </cell>
          <cell r="K313">
            <v>30596.252</v>
          </cell>
          <cell r="L313">
            <v>30596.252</v>
          </cell>
        </row>
        <row r="335">
          <cell r="C335">
            <v>1.1071644257754087E-4</v>
          </cell>
          <cell r="D335">
            <v>1.1071620974689722E-4</v>
          </cell>
          <cell r="E335">
            <v>1.107165589928627E-4</v>
          </cell>
          <cell r="F335">
            <v>1.1071632616221905E-4</v>
          </cell>
          <cell r="G335">
            <v>1.107165589928627E-4</v>
          </cell>
          <cell r="H335">
            <v>1.1071586050093174E-4</v>
          </cell>
          <cell r="I335">
            <v>1.107165589928627E-4</v>
          </cell>
          <cell r="J335">
            <v>1.1071725748479366E-4</v>
          </cell>
          <cell r="K335">
            <v>1.1071749031543732E-4</v>
          </cell>
          <cell r="L335">
            <v>1.1071725748479366E-4</v>
          </cell>
        </row>
        <row r="714">
          <cell r="C714"/>
          <cell r="D714">
            <v>-2.4783730623312294E-11</v>
          </cell>
          <cell r="E714">
            <v>3.4560798667371273E-11</v>
          </cell>
          <cell r="F714">
            <v>2.6375346351414919E-11</v>
          </cell>
          <cell r="G714">
            <v>4.638422979041934E-11</v>
          </cell>
          <cell r="H714">
            <v>1.5006662579253316E-11</v>
          </cell>
          <cell r="I714">
            <v>3.1832314562052488E-12</v>
          </cell>
          <cell r="J714">
            <v>-2.3646862246096134E-11</v>
          </cell>
          <cell r="K714">
            <v>5.0022208597511053E-11</v>
          </cell>
          <cell r="L714">
            <v>5.1386450650170445E-11</v>
          </cell>
        </row>
      </sheetData>
      <sheetData sheetId="4"/>
      <sheetData sheetId="5"/>
      <sheetData sheetId="6">
        <row r="262">
          <cell r="E262"/>
          <cell r="F262"/>
          <cell r="G262"/>
          <cell r="H262"/>
          <cell r="I262"/>
          <cell r="J262"/>
          <cell r="K262"/>
          <cell r="L262"/>
          <cell r="M262"/>
        </row>
        <row r="278">
          <cell r="AJ278">
            <v>1</v>
          </cell>
        </row>
        <row r="279">
          <cell r="AJ279">
            <v>1</v>
          </cell>
        </row>
      </sheetData>
      <sheetData sheetId="7">
        <row r="15">
          <cell r="D15">
            <v>9.7500000000000003E-2</v>
          </cell>
        </row>
        <row r="17">
          <cell r="D17">
            <v>650000</v>
          </cell>
        </row>
        <row r="76">
          <cell r="B76" t="str">
            <v>On</v>
          </cell>
          <cell r="G76" t="str">
            <v>On</v>
          </cell>
          <cell r="L76" t="str">
            <v>On</v>
          </cell>
          <cell r="Q76" t="str">
            <v>Off</v>
          </cell>
          <cell r="V76" t="str">
            <v>Off</v>
          </cell>
          <cell r="AA76" t="str">
            <v>Off</v>
          </cell>
          <cell r="AF76" t="str">
            <v>Off</v>
          </cell>
          <cell r="AK76" t="str">
            <v>Off</v>
          </cell>
          <cell r="AP76" t="str">
            <v>Off</v>
          </cell>
          <cell r="AU76" t="str">
            <v>Off</v>
          </cell>
        </row>
      </sheetData>
      <sheetData sheetId="8">
        <row r="370">
          <cell r="E370">
            <v>153</v>
          </cell>
          <cell r="M370">
            <v>2850</v>
          </cell>
          <cell r="N370"/>
        </row>
        <row r="372">
          <cell r="D372">
            <v>380.7795376551212</v>
          </cell>
          <cell r="E372">
            <v>943</v>
          </cell>
          <cell r="F372">
            <v>1172.45</v>
          </cell>
          <cell r="G372">
            <v>2190</v>
          </cell>
          <cell r="H372">
            <v>2490</v>
          </cell>
          <cell r="I372">
            <v>2880.15</v>
          </cell>
          <cell r="J372">
            <v>3484.6724999999997</v>
          </cell>
          <cell r="K372">
            <v>3877.269225</v>
          </cell>
          <cell r="L372">
            <v>4270.0419172500006</v>
          </cell>
          <cell r="M372">
            <v>4662.9923364224996</v>
          </cell>
        </row>
        <row r="386">
          <cell r="E386">
            <v>778.03544978034881</v>
          </cell>
          <cell r="F386">
            <v>2259.0208637624633</v>
          </cell>
          <cell r="G386">
            <v>6800.2438725659767</v>
          </cell>
          <cell r="H386">
            <v>1632.7697504790278</v>
          </cell>
          <cell r="I386">
            <v>1476.6615038636896</v>
          </cell>
          <cell r="J386">
            <v>1396.0110997638553</v>
          </cell>
          <cell r="K386">
            <v>1185.094797244386</v>
          </cell>
          <cell r="L386">
            <v>1262.1647604894329</v>
          </cell>
          <cell r="M386">
            <v>1205.4432609863982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05">
          <cell r="J505">
            <v>1.54E-2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>
        <row r="61">
          <cell r="D61">
            <v>97026.077219999992</v>
          </cell>
        </row>
      </sheetData>
      <sheetData sheetId="1"/>
      <sheetData sheetId="2">
        <row r="510">
          <cell r="C510">
            <v>-456.32158064516125</v>
          </cell>
        </row>
      </sheetData>
      <sheetData sheetId="3">
        <row r="273">
          <cell r="B273">
            <v>-1.0392387522384524E-2</v>
          </cell>
          <cell r="G273">
            <v>9.0735276758560985</v>
          </cell>
          <cell r="H273">
            <v>5.721829004058236</v>
          </cell>
          <cell r="I273">
            <v>6.4964754061440999</v>
          </cell>
          <cell r="J273">
            <v>15.79722462296229</v>
          </cell>
          <cell r="K273">
            <v>16.517497326817761</v>
          </cell>
          <cell r="L273">
            <v>15.414140839574884</v>
          </cell>
        </row>
      </sheetData>
      <sheetData sheetId="4"/>
      <sheetData sheetId="5"/>
      <sheetData sheetId="6"/>
      <sheetData sheetId="7">
        <row r="17">
          <cell r="D17">
            <v>2.3874235921539366E-12</v>
          </cell>
        </row>
      </sheetData>
      <sheetData sheetId="8">
        <row r="370">
          <cell r="E370">
            <v>87.62417122586875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/>
      <sheetData sheetId="1">
        <row r="178">
          <cell r="B178">
            <v>0</v>
          </cell>
        </row>
      </sheetData>
      <sheetData sheetId="2"/>
      <sheetData sheetId="3">
        <row r="273">
          <cell r="B273">
            <v>-361.9999992270246</v>
          </cell>
        </row>
      </sheetData>
      <sheetData sheetId="4"/>
      <sheetData sheetId="5"/>
      <sheetData sheetId="6"/>
      <sheetData sheetId="7">
        <row r="17">
          <cell r="D17">
            <v>401420.71799999999</v>
          </cell>
        </row>
      </sheetData>
      <sheetData sheetId="8">
        <row r="372">
          <cell r="D372">
            <v>110.77149980172919</v>
          </cell>
          <cell r="E372">
            <v>664.62899881037515</v>
          </cell>
          <cell r="F372">
            <v>964.62899881037515</v>
          </cell>
          <cell r="G372">
            <v>1114.6289988103752</v>
          </cell>
          <cell r="H372">
            <v>1564.6289988103752</v>
          </cell>
          <cell r="I372">
            <v>1714.6289988103752</v>
          </cell>
          <cell r="J372">
            <v>1864.6289988103752</v>
          </cell>
          <cell r="K372">
            <v>2014.6289988103752</v>
          </cell>
          <cell r="L372">
            <v>2164.6289988103754</v>
          </cell>
          <cell r="M372">
            <v>2314.6289988103754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Reg Inputs"/>
      <sheetName val="Base_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/>
      <sheetData sheetId="1">
        <row r="178">
          <cell r="B178">
            <v>0</v>
          </cell>
        </row>
      </sheetData>
      <sheetData sheetId="2"/>
      <sheetData sheetId="3">
        <row r="273">
          <cell r="B273">
            <v>9.5076910246163604E-2</v>
          </cell>
        </row>
      </sheetData>
      <sheetData sheetId="4"/>
      <sheetData sheetId="5"/>
      <sheetData sheetId="6">
        <row r="17">
          <cell r="D17">
            <v>2383232</v>
          </cell>
        </row>
      </sheetData>
      <sheetData sheetId="7"/>
      <sheetData sheetId="8">
        <row r="372">
          <cell r="D372">
            <v>4106.0134159539284</v>
          </cell>
          <cell r="E372">
            <v>6617.2634159539284</v>
          </cell>
          <cell r="F372">
            <v>9989.5134159539266</v>
          </cell>
          <cell r="G372">
            <v>13528.806384703927</v>
          </cell>
          <cell r="H372">
            <v>17241.386814391422</v>
          </cell>
          <cell r="I372">
            <v>21529.699894469544</v>
          </cell>
          <cell r="J372">
            <v>26024.219020177552</v>
          </cell>
          <cell r="K372">
            <v>30732.574298121886</v>
          </cell>
          <cell r="L372">
            <v>35662.648461460791</v>
          </cell>
          <cell r="M372">
            <v>40822.584732415293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Reg Inputs"/>
      <sheetName val="Base_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  <sheetName val="dep mdl"/>
      <sheetName val="Sheet2"/>
      <sheetName val="Sheet3"/>
      <sheetName val="Sheet1"/>
    </sheetNames>
    <sheetDataSet>
      <sheetData sheetId="0"/>
      <sheetData sheetId="1">
        <row r="178">
          <cell r="B178">
            <v>0</v>
          </cell>
        </row>
      </sheetData>
      <sheetData sheetId="2"/>
      <sheetData sheetId="3">
        <row r="273">
          <cell r="B273">
            <v>-1.4669532692059874E-3</v>
          </cell>
        </row>
      </sheetData>
      <sheetData sheetId="4"/>
      <sheetData sheetId="5"/>
      <sheetData sheetId="6">
        <row r="17">
          <cell r="D17">
            <v>266447.74099999998</v>
          </cell>
        </row>
      </sheetData>
      <sheetData sheetId="7"/>
      <sheetData sheetId="8">
        <row r="372">
          <cell r="D372">
            <v>75.800454055535198</v>
          </cell>
          <cell r="E372">
            <v>120.02715405553519</v>
          </cell>
          <cell r="F372">
            <v>166.46518905553518</v>
          </cell>
          <cell r="G372">
            <v>215.19748411803516</v>
          </cell>
          <cell r="H372">
            <v>266.30972847428512</v>
          </cell>
          <cell r="I372">
            <v>319.89046190455855</v>
          </cell>
          <cell r="J372">
            <v>376.03116370983389</v>
          </cell>
          <cell r="K372">
            <v>434.82634435046737</v>
          </cell>
          <cell r="L372">
            <v>496.37363982959857</v>
          </cell>
          <cell r="M372">
            <v>560.77390890125196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names"/>
      <sheetName val="Cash Balance-Total"/>
      <sheetName val="MiscJE"/>
      <sheetName val="Cash Balance-Base"/>
      <sheetName val="Net Income-Base"/>
    </sheetNames>
    <sheetDataSet>
      <sheetData sheetId="0">
        <row r="2">
          <cell r="B2" t="str">
            <v>AM_WATER_STATE_MODEL_10Yr_2017-2026_IN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Base_Inputs"/>
      <sheetName val="Reg 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/>
      <sheetData sheetId="1">
        <row r="182">
          <cell r="C182">
            <v>1913.7492085806075</v>
          </cell>
        </row>
      </sheetData>
      <sheetData sheetId="2">
        <row r="182">
          <cell r="C182">
            <v>0</v>
          </cell>
        </row>
      </sheetData>
      <sheetData sheetId="3">
        <row r="273">
          <cell r="B273">
            <v>15773.046340293495</v>
          </cell>
        </row>
        <row r="312">
          <cell r="L312">
            <v>0</v>
          </cell>
        </row>
      </sheetData>
      <sheetData sheetId="4"/>
      <sheetData sheetId="5"/>
      <sheetData sheetId="6">
        <row r="262">
          <cell r="E262">
            <v>0</v>
          </cell>
        </row>
      </sheetData>
      <sheetData sheetId="7">
        <row r="17">
          <cell r="D17">
            <v>0</v>
          </cell>
        </row>
      </sheetData>
      <sheetData sheetId="8">
        <row r="372">
          <cell r="D372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_Summary"/>
      <sheetName val="Base_Reports"/>
      <sheetName val="Growth_Reports"/>
      <sheetName val="Total_Reports"/>
      <sheetName val="SV_Upload Summary"/>
      <sheetName val="SV_Upload"/>
      <sheetName val="Reg Inputs"/>
      <sheetName val="Base_Inputs"/>
      <sheetName val="Growth_Inputs"/>
      <sheetName val="SV_Download_Base"/>
      <sheetName val="SV_Download_Growth"/>
      <sheetName val="SV_Download_Stat1"/>
      <sheetName val="SV_Download_Stat2"/>
      <sheetName val="SV_BPM"/>
      <sheetName val="Global_Inputs"/>
      <sheetName val="Assumptions"/>
      <sheetName val="Start_State"/>
      <sheetName val="Revenue"/>
      <sheetName val="O_M"/>
      <sheetName val="Cnst_Plt"/>
      <sheetName val="Other"/>
      <sheetName val="REG"/>
      <sheetName val="Misc_JE"/>
      <sheetName val="End_State"/>
      <sheetName val="Growth"/>
      <sheetName val="Consolidation"/>
      <sheetName val="Consolidation_2"/>
      <sheetName val="Consol_Growth"/>
      <sheetName val="SVMap"/>
      <sheetName val="Convert_SV_Base"/>
      <sheetName val="Convert_SV_Growth"/>
      <sheetName val="Ledger_Master"/>
    </sheetNames>
    <sheetDataSet>
      <sheetData sheetId="0"/>
      <sheetData sheetId="1">
        <row r="182">
          <cell r="C182">
            <v>180.82529809298819</v>
          </cell>
        </row>
      </sheetData>
      <sheetData sheetId="2">
        <row r="182">
          <cell r="C182">
            <v>0</v>
          </cell>
        </row>
      </sheetData>
      <sheetData sheetId="3">
        <row r="273">
          <cell r="B273">
            <v>-1.7310125019866972E-4</v>
          </cell>
        </row>
        <row r="312">
          <cell r="L312">
            <v>68.581437573916674</v>
          </cell>
        </row>
      </sheetData>
      <sheetData sheetId="4"/>
      <sheetData sheetId="5"/>
      <sheetData sheetId="6">
        <row r="17">
          <cell r="D17">
            <v>-736.39404296875</v>
          </cell>
        </row>
      </sheetData>
      <sheetData sheetId="7">
        <row r="262">
          <cell r="E262">
            <v>0</v>
          </cell>
        </row>
      </sheetData>
      <sheetData sheetId="8">
        <row r="372">
          <cell r="D372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s in Int. Exp. in outer years"/>
      <sheetName val="Missed Int. Exp. in outer years"/>
      <sheetName val="Intenal - Amt. of New Issua"/>
      <sheetName val="Intenal - Int. of New Issuance"/>
      <sheetName val="Issuance &amp; Paydown Year1"/>
      <sheetName val="Check"/>
      <sheetName val="Total"/>
      <sheetName val="External-Assumption"/>
      <sheetName val="Internal-Assumption"/>
      <sheetName val="Intenal - Growth"/>
      <sheetName val="Model names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B2" t="str">
            <v>AM_WATER_STATE_MODEL_10Yr_2017-2026_NJ</v>
          </cell>
          <cell r="E2" t="str">
            <v>G:\AW BUSINESS PLAN\2017-2021 BUSINESS PLAN\Out Year Model\2016.08.29 Submission</v>
          </cell>
        </row>
        <row r="19">
          <cell r="B19" t="str">
            <v>AM_WATER_STATE_MODEL_10Yr_2017-2026_ETS</v>
          </cell>
        </row>
        <row r="20">
          <cell r="B20" t="str">
            <v>AM_WATER_STATE_MODEL_10Yr_2017-2026_LIB</v>
          </cell>
        </row>
      </sheetData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customProperty" Target="../customProperty5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customProperty" Target="../customProperty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10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customProperty" Target="../customProperty9.bin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customProperty" Target="../customProperty10.bin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1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14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customProperty" Target="../customProperty11.bin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17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customProperty" Target="../customProperty14.bin"/><Relationship Id="rId5" Type="http://schemas.openxmlformats.org/officeDocument/2006/relationships/image" Target="../media/image18.emf"/><Relationship Id="rId4" Type="http://schemas.openxmlformats.org/officeDocument/2006/relationships/control" Target="../activeX/activeX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image" Target="../media/image19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0.emf"/><Relationship Id="rId4" Type="http://schemas.openxmlformats.org/officeDocument/2006/relationships/control" Target="../activeX/activeX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image" Target="../media/image21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image" Target="../media/image22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4" Type="http://schemas.openxmlformats.org/officeDocument/2006/relationships/image" Target="../media/image23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image" Target="../media/image24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image" Target="../media/image25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"/>
  <dimension ref="B1:T23"/>
  <sheetViews>
    <sheetView showGridLines="0" zoomScale="70" zoomScaleNormal="70" workbookViewId="0">
      <selection activeCell="D32" sqref="D32"/>
    </sheetView>
  </sheetViews>
  <sheetFormatPr defaultRowHeight="14.4" x14ac:dyDescent="0.3"/>
  <cols>
    <col min="1" max="1" width="2.33203125" customWidth="1"/>
    <col min="2" max="2" width="45" bestFit="1" customWidth="1"/>
    <col min="3" max="3" width="91.21875" bestFit="1" customWidth="1"/>
    <col min="4" max="4" width="88.33203125" bestFit="1" customWidth="1"/>
    <col min="5" max="5" width="2.6640625" bestFit="1" customWidth="1"/>
    <col min="6" max="6" width="93.109375" bestFit="1" customWidth="1"/>
    <col min="7" max="7" width="114.33203125" bestFit="1" customWidth="1"/>
    <col min="9" max="9" width="9.44140625" customWidth="1"/>
  </cols>
  <sheetData>
    <row r="1" spans="2:20" ht="15" thickBot="1" x14ac:dyDescent="0.35">
      <c r="B1" s="75" t="s">
        <v>29</v>
      </c>
      <c r="C1" s="76" t="s">
        <v>30</v>
      </c>
      <c r="F1" s="91" t="s">
        <v>248</v>
      </c>
      <c r="G1" s="92" t="s">
        <v>249</v>
      </c>
      <c r="I1" s="102">
        <v>2017</v>
      </c>
      <c r="J1" s="103">
        <v>2018</v>
      </c>
      <c r="K1" s="102">
        <v>2019</v>
      </c>
      <c r="L1" s="103">
        <v>2020</v>
      </c>
      <c r="M1" s="102">
        <v>2021</v>
      </c>
      <c r="N1" s="103">
        <v>2022</v>
      </c>
      <c r="O1" s="102">
        <v>2023</v>
      </c>
      <c r="P1" s="103">
        <v>2024</v>
      </c>
      <c r="Q1" s="102">
        <v>2025</v>
      </c>
      <c r="R1" s="103">
        <v>2026</v>
      </c>
      <c r="S1" s="102">
        <v>2027</v>
      </c>
      <c r="T1" s="103">
        <v>2028</v>
      </c>
    </row>
    <row r="2" spans="2:20" x14ac:dyDescent="0.3">
      <c r="B2" s="74" t="s">
        <v>319</v>
      </c>
      <c r="C2" s="104" t="s">
        <v>204</v>
      </c>
      <c r="D2" s="70"/>
      <c r="E2" s="99" t="s">
        <v>226</v>
      </c>
      <c r="F2" s="81" t="s">
        <v>227</v>
      </c>
      <c r="G2" s="82" t="s">
        <v>242</v>
      </c>
    </row>
    <row r="3" spans="2:20" x14ac:dyDescent="0.3">
      <c r="B3" s="74" t="s">
        <v>288</v>
      </c>
      <c r="C3" s="101" t="s">
        <v>208</v>
      </c>
      <c r="D3" s="70"/>
      <c r="E3" s="99" t="s">
        <v>228</v>
      </c>
      <c r="F3" s="83" t="s">
        <v>229</v>
      </c>
      <c r="G3" s="84" t="s">
        <v>243</v>
      </c>
    </row>
    <row r="4" spans="2:20" x14ac:dyDescent="0.3">
      <c r="B4" s="74" t="s">
        <v>613</v>
      </c>
      <c r="C4" s="101" t="s">
        <v>197</v>
      </c>
      <c r="D4" s="70"/>
      <c r="E4" s="99" t="s">
        <v>230</v>
      </c>
      <c r="F4" s="83" t="s">
        <v>231</v>
      </c>
      <c r="G4" s="84" t="s">
        <v>241</v>
      </c>
    </row>
    <row r="5" spans="2:20" x14ac:dyDescent="0.3">
      <c r="B5" s="73" t="s">
        <v>289</v>
      </c>
      <c r="C5" s="101" t="s">
        <v>209</v>
      </c>
      <c r="D5" s="70"/>
      <c r="E5" s="99" t="s">
        <v>232</v>
      </c>
      <c r="F5" s="83" t="s">
        <v>233</v>
      </c>
      <c r="G5" s="84" t="s">
        <v>253</v>
      </c>
    </row>
    <row r="6" spans="2:20" x14ac:dyDescent="0.3">
      <c r="B6" s="74" t="s">
        <v>290</v>
      </c>
      <c r="C6" s="100" t="s">
        <v>210</v>
      </c>
      <c r="E6" s="99" t="s">
        <v>234</v>
      </c>
      <c r="F6" s="83" t="s">
        <v>244</v>
      </c>
      <c r="G6" s="84" t="s">
        <v>245</v>
      </c>
    </row>
    <row r="7" spans="2:20" x14ac:dyDescent="0.3">
      <c r="B7" s="74" t="s">
        <v>291</v>
      </c>
      <c r="C7" s="100" t="s">
        <v>196</v>
      </c>
      <c r="E7" s="99" t="s">
        <v>235</v>
      </c>
      <c r="F7" s="83" t="s">
        <v>236</v>
      </c>
      <c r="G7" s="84" t="s">
        <v>246</v>
      </c>
    </row>
    <row r="8" spans="2:20" x14ac:dyDescent="0.3">
      <c r="B8" s="74" t="s">
        <v>317</v>
      </c>
      <c r="C8" s="100" t="s">
        <v>195</v>
      </c>
      <c r="E8" s="99" t="s">
        <v>237</v>
      </c>
      <c r="F8" s="85" t="s">
        <v>238</v>
      </c>
      <c r="G8" s="84" t="s">
        <v>247</v>
      </c>
    </row>
    <row r="9" spans="2:20" ht="15" thickBot="1" x14ac:dyDescent="0.35">
      <c r="B9" s="74" t="s">
        <v>292</v>
      </c>
      <c r="C9" s="101" t="s">
        <v>201</v>
      </c>
      <c r="D9" s="70"/>
      <c r="E9" s="99" t="s">
        <v>239</v>
      </c>
      <c r="F9" s="86" t="s">
        <v>240</v>
      </c>
      <c r="G9" s="87" t="s">
        <v>250</v>
      </c>
    </row>
    <row r="10" spans="2:20" x14ac:dyDescent="0.3">
      <c r="B10" s="73" t="s">
        <v>614</v>
      </c>
      <c r="C10" s="101" t="s">
        <v>198</v>
      </c>
      <c r="D10" s="70"/>
    </row>
    <row r="11" spans="2:20" x14ac:dyDescent="0.3">
      <c r="B11" s="73" t="s">
        <v>293</v>
      </c>
      <c r="C11" s="101" t="s">
        <v>211</v>
      </c>
      <c r="D11" s="70"/>
    </row>
    <row r="12" spans="2:20" x14ac:dyDescent="0.3">
      <c r="B12" s="73" t="s">
        <v>320</v>
      </c>
      <c r="C12" s="101" t="s">
        <v>207</v>
      </c>
      <c r="D12" s="70"/>
    </row>
    <row r="13" spans="2:20" x14ac:dyDescent="0.3">
      <c r="B13" s="73" t="s">
        <v>316</v>
      </c>
      <c r="C13" s="101" t="s">
        <v>194</v>
      </c>
      <c r="D13" s="70"/>
    </row>
    <row r="14" spans="2:20" x14ac:dyDescent="0.3">
      <c r="B14" s="74" t="s">
        <v>297</v>
      </c>
      <c r="C14" s="101" t="s">
        <v>59</v>
      </c>
      <c r="D14" s="70"/>
    </row>
    <row r="15" spans="2:20" x14ac:dyDescent="0.3">
      <c r="B15" s="73" t="s">
        <v>615</v>
      </c>
      <c r="C15" s="101" t="s">
        <v>199</v>
      </c>
      <c r="D15" s="70"/>
    </row>
    <row r="16" spans="2:20" x14ac:dyDescent="0.3">
      <c r="B16" s="74" t="s">
        <v>318</v>
      </c>
      <c r="C16" s="101" t="s">
        <v>200</v>
      </c>
      <c r="D16" s="70"/>
    </row>
    <row r="17" spans="2:4" x14ac:dyDescent="0.3">
      <c r="B17" s="74" t="s">
        <v>294</v>
      </c>
      <c r="C17" s="101" t="s">
        <v>205</v>
      </c>
      <c r="D17" s="70"/>
    </row>
    <row r="18" spans="2:4" x14ac:dyDescent="0.3">
      <c r="B18" s="73" t="s">
        <v>295</v>
      </c>
      <c r="C18" s="101" t="s">
        <v>202</v>
      </c>
    </row>
    <row r="19" spans="2:4" x14ac:dyDescent="0.3">
      <c r="B19" s="73" t="s">
        <v>321</v>
      </c>
      <c r="C19" s="101" t="s">
        <v>206</v>
      </c>
    </row>
    <row r="20" spans="2:4" x14ac:dyDescent="0.3">
      <c r="B20" s="73" t="s">
        <v>296</v>
      </c>
      <c r="C20" s="101" t="s">
        <v>203</v>
      </c>
    </row>
    <row r="21" spans="2:4" x14ac:dyDescent="0.3">
      <c r="B21" s="14"/>
    </row>
    <row r="22" spans="2:4" ht="15" thickBot="1" x14ac:dyDescent="0.35">
      <c r="B22" s="75" t="s">
        <v>190</v>
      </c>
    </row>
    <row r="23" spans="2:4" x14ac:dyDescent="0.3">
      <c r="B23" t="s">
        <v>287</v>
      </c>
    </row>
  </sheetData>
  <sortState ref="B2:C20">
    <sortCondition ref="B2"/>
  </sortState>
  <dataConsolidate/>
  <pageMargins left="0.7" right="0.7" top="0.75" bottom="0.75" header="0.3" footer="0.3"/>
  <pageSetup orientation="portrait" verticalDpi="0" r:id="rId1"/>
  <customProperties>
    <customPr name="_pios_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C00000"/>
  </sheetPr>
  <dimension ref="A1:AC40"/>
  <sheetViews>
    <sheetView showGridLines="0" topLeftCell="A2" zoomScale="70" zoomScaleNormal="70" workbookViewId="0">
      <selection activeCell="B36" sqref="B36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  <col min="44" max="44" width="14.6640625" bestFit="1" customWidth="1"/>
    <col min="58" max="58" width="9" bestFit="1" customWidth="1"/>
    <col min="59" max="59" width="12.44140625" bestFit="1" customWidth="1"/>
    <col min="60" max="60" width="9.109375" bestFit="1" customWidth="1"/>
    <col min="61" max="68" width="9" bestFit="1" customWidth="1"/>
  </cols>
  <sheetData>
    <row r="1" spans="1:29" ht="35.4" customHeight="1" x14ac:dyDescent="0.3"/>
    <row r="2" spans="1:29" x14ac:dyDescent="0.3">
      <c r="A2">
        <f>COUNTIF(A4:A33,"&gt;""")</f>
        <v>19</v>
      </c>
      <c r="B2">
        <f>P2</f>
        <v>5</v>
      </c>
      <c r="P2" s="1">
        <v>5</v>
      </c>
      <c r="Q2" s="2"/>
      <c r="R2" s="2"/>
    </row>
    <row r="3" spans="1:29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29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255</v>
      </c>
      <c r="D4" s="3" t="s">
        <v>254</v>
      </c>
      <c r="E4" s="6" t="s">
        <v>254</v>
      </c>
      <c r="F4" s="6" t="s">
        <v>254</v>
      </c>
      <c r="G4" s="6" t="s">
        <v>254</v>
      </c>
      <c r="H4" s="6" t="s">
        <v>254</v>
      </c>
      <c r="I4" s="6" t="s">
        <v>254</v>
      </c>
      <c r="J4" s="6" t="s">
        <v>254</v>
      </c>
      <c r="K4" s="6" t="s">
        <v>254</v>
      </c>
      <c r="L4" s="6" t="s">
        <v>254</v>
      </c>
      <c r="M4" s="6" t="s">
        <v>254</v>
      </c>
      <c r="N4" s="6" t="s">
        <v>254</v>
      </c>
      <c r="O4" s="6" t="s">
        <v>254</v>
      </c>
      <c r="P4" s="3" t="str">
        <f>'Model names'!C2</f>
        <v>BFW</v>
      </c>
      <c r="Q4" s="29">
        <f>[15]Cnst_Plt!J505</f>
        <v>2.0000000000000004E-2</v>
      </c>
      <c r="R4" s="20">
        <f>[15]Cnst_Plt!J505</f>
        <v>2.0000000000000004E-2</v>
      </c>
      <c r="S4" s="20">
        <f>[15]Cnst_Plt!J505</f>
        <v>2.0000000000000004E-2</v>
      </c>
      <c r="T4" s="20">
        <f>[15]Cnst_Plt!J505</f>
        <v>2.0000000000000004E-2</v>
      </c>
      <c r="U4" s="20">
        <f>[15]Cnst_Plt!J505</f>
        <v>2.0000000000000004E-2</v>
      </c>
      <c r="V4" s="20">
        <f>[16]Total_Reports!G273</f>
        <v>8929.4168007380722</v>
      </c>
      <c r="W4" s="20">
        <f>[16]Total_Reports!H273</f>
        <v>-1143.6243026474331</v>
      </c>
      <c r="X4" s="20">
        <f>[16]Total_Reports!I273</f>
        <v>-1789.8090661487695</v>
      </c>
      <c r="Y4" s="20">
        <f>[16]Total_Reports!J273</f>
        <v>-2458.5946636305634</v>
      </c>
      <c r="Z4" s="20">
        <f>[16]Total_Reports!K273</f>
        <v>-2467.7122558540095</v>
      </c>
      <c r="AA4" s="20">
        <f>[16]Total_Reports!L273</f>
        <v>-2437.8808794475226</v>
      </c>
      <c r="AB4" s="20">
        <f>[16]Total_Reports!L273</f>
        <v>-2437.8808794475226</v>
      </c>
      <c r="AC4" s="8"/>
    </row>
    <row r="5" spans="1:29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255</v>
      </c>
      <c r="D5" s="3" t="s">
        <v>254</v>
      </c>
      <c r="E5" s="6" t="s">
        <v>254</v>
      </c>
      <c r="F5" s="6" t="s">
        <v>254</v>
      </c>
      <c r="G5" s="6" t="s">
        <v>254</v>
      </c>
      <c r="H5" s="6" t="s">
        <v>254</v>
      </c>
      <c r="I5" s="6" t="s">
        <v>254</v>
      </c>
      <c r="J5" s="6" t="s">
        <v>254</v>
      </c>
      <c r="K5" s="6" t="s">
        <v>254</v>
      </c>
      <c r="L5" s="6" t="s">
        <v>254</v>
      </c>
      <c r="M5" s="6" t="s">
        <v>254</v>
      </c>
      <c r="N5" s="6" t="s">
        <v>254</v>
      </c>
      <c r="O5" s="6" t="s">
        <v>254</v>
      </c>
      <c r="P5" s="3" t="str">
        <f>'Model names'!C3</f>
        <v>CA</v>
      </c>
      <c r="Q5" s="29">
        <f>[17]Cnst_Plt!J505</f>
        <v>2.9600000000000001E-2</v>
      </c>
      <c r="R5" s="20">
        <f>[17]Cnst_Plt!J505</f>
        <v>2.9600000000000001E-2</v>
      </c>
      <c r="S5" s="20">
        <f>[17]Cnst_Plt!J505</f>
        <v>2.9600000000000001E-2</v>
      </c>
      <c r="T5" s="20">
        <f>[17]Cnst_Plt!J505</f>
        <v>2.9600000000000001E-2</v>
      </c>
      <c r="U5" s="20">
        <f>[17]Cnst_Plt!J505</f>
        <v>2.9600000000000001E-2</v>
      </c>
      <c r="V5" s="20">
        <f>[18]Total_Reports!G273</f>
        <v>237.17020335192959</v>
      </c>
      <c r="W5" s="20">
        <f>[18]Total_Reports!H273</f>
        <v>228.66778954065128</v>
      </c>
      <c r="X5" s="20">
        <f>[18]Total_Reports!I273</f>
        <v>210.33055299737148</v>
      </c>
      <c r="Y5" s="20">
        <f>[18]Total_Reports!J273</f>
        <v>305.6988437012634</v>
      </c>
      <c r="Z5" s="20">
        <f>[18]Total_Reports!K273</f>
        <v>416.29988203165766</v>
      </c>
      <c r="AA5" s="20">
        <f>[18]Total_Reports!L273</f>
        <v>434.31099501874985</v>
      </c>
      <c r="AB5" s="20">
        <f>[18]Total_Reports!L273</f>
        <v>434.31099501874985</v>
      </c>
      <c r="AC5" s="8"/>
    </row>
    <row r="6" spans="1:29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255</v>
      </c>
      <c r="D6" s="3" t="s">
        <v>254</v>
      </c>
      <c r="E6" s="6" t="s">
        <v>254</v>
      </c>
      <c r="F6" s="6" t="s">
        <v>254</v>
      </c>
      <c r="G6" s="6" t="s">
        <v>254</v>
      </c>
      <c r="H6" s="6" t="s">
        <v>254</v>
      </c>
      <c r="I6" s="6" t="s">
        <v>254</v>
      </c>
      <c r="J6" s="6" t="s">
        <v>254</v>
      </c>
      <c r="K6" s="6" t="s">
        <v>254</v>
      </c>
      <c r="L6" s="6" t="s">
        <v>254</v>
      </c>
      <c r="M6" s="6" t="s">
        <v>254</v>
      </c>
      <c r="N6" s="6" t="s">
        <v>254</v>
      </c>
      <c r="O6" s="6" t="s">
        <v>254</v>
      </c>
      <c r="P6" s="3" t="str">
        <f>'Model names'!C4</f>
        <v>ETS</v>
      </c>
      <c r="Q6" s="29">
        <f>[19]Cnst_Plt!J505</f>
        <v>0</v>
      </c>
      <c r="R6" s="20">
        <f>[19]Cnst_Plt!J505</f>
        <v>0</v>
      </c>
      <c r="S6" s="20">
        <f>[19]Cnst_Plt!J505</f>
        <v>0</v>
      </c>
      <c r="T6" s="20">
        <f>[19]Cnst_Plt!J505</f>
        <v>0</v>
      </c>
      <c r="U6" s="20">
        <f>[19]Cnst_Plt!J505</f>
        <v>0</v>
      </c>
      <c r="V6" s="20">
        <f>[20]Total_Reports!G273</f>
        <v>70.266485661441493</v>
      </c>
      <c r="W6" s="20">
        <f>[20]Total_Reports!H273</f>
        <v>64.912296318283552</v>
      </c>
      <c r="X6" s="20">
        <f>[20]Total_Reports!I273</f>
        <v>68.863625520754795</v>
      </c>
      <c r="Y6" s="20">
        <f>[20]Total_Reports!J273</f>
        <v>69.199207732881405</v>
      </c>
      <c r="Z6" s="20">
        <f>[20]Total_Reports!K273</f>
        <v>68.38501432823432</v>
      </c>
      <c r="AA6" s="20">
        <f>[20]Total_Reports!L273</f>
        <v>69.078205793902271</v>
      </c>
      <c r="AB6" s="20">
        <f>[20]Total_Reports!L273</f>
        <v>69.078205793902271</v>
      </c>
      <c r="AC6" s="8"/>
    </row>
    <row r="7" spans="1:29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255</v>
      </c>
      <c r="D7" s="3" t="s">
        <v>254</v>
      </c>
      <c r="E7" s="6" t="s">
        <v>254</v>
      </c>
      <c r="F7" s="6" t="s">
        <v>254</v>
      </c>
      <c r="G7" s="6" t="s">
        <v>254</v>
      </c>
      <c r="H7" s="6" t="s">
        <v>254</v>
      </c>
      <c r="I7" s="6" t="s">
        <v>254</v>
      </c>
      <c r="J7" s="6" t="s">
        <v>254</v>
      </c>
      <c r="K7" s="6" t="s">
        <v>254</v>
      </c>
      <c r="L7" s="6" t="s">
        <v>254</v>
      </c>
      <c r="M7" s="6" t="s">
        <v>254</v>
      </c>
      <c r="N7" s="6" t="s">
        <v>254</v>
      </c>
      <c r="O7" s="6" t="s">
        <v>254</v>
      </c>
      <c r="P7" s="3" t="str">
        <f>'Model names'!C5</f>
        <v>HI</v>
      </c>
      <c r="Q7" s="29">
        <f>[21]Cnst_Plt!J505</f>
        <v>3.4760397859043841E-2</v>
      </c>
      <c r="R7" s="20">
        <f>[21]Cnst_Plt!J505</f>
        <v>3.4760397859043841E-2</v>
      </c>
      <c r="S7" s="20">
        <f>[21]Cnst_Plt!J505</f>
        <v>3.4760397859043841E-2</v>
      </c>
      <c r="T7" s="20">
        <f>[21]Cnst_Plt!J505</f>
        <v>3.4760397859043841E-2</v>
      </c>
      <c r="U7" s="20">
        <f>[21]Cnst_Plt!J505</f>
        <v>3.4760397859043841E-2</v>
      </c>
      <c r="V7" s="20">
        <f>[22]Total_Reports!G273</f>
        <v>2681.688667532499</v>
      </c>
      <c r="W7" s="20">
        <f>[22]Total_Reports!H273</f>
        <v>-1401.4328752004108</v>
      </c>
      <c r="X7" s="20">
        <f>[22]Total_Reports!I273</f>
        <v>-1392.7857108733106</v>
      </c>
      <c r="Y7" s="20">
        <f>[22]Total_Reports!J273</f>
        <v>-1565.3269985144793</v>
      </c>
      <c r="Z7" s="20">
        <f>[22]Total_Reports!K273</f>
        <v>-1840.7980597145915</v>
      </c>
      <c r="AA7" s="20">
        <f>[22]Total_Reports!L273</f>
        <v>-1871.3044017131097</v>
      </c>
      <c r="AB7" s="20">
        <f>[22]Total_Reports!L273</f>
        <v>-1871.3044017131097</v>
      </c>
      <c r="AC7" s="8"/>
    </row>
    <row r="8" spans="1:29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255</v>
      </c>
      <c r="D8" s="3" t="s">
        <v>254</v>
      </c>
      <c r="E8" s="6" t="s">
        <v>254</v>
      </c>
      <c r="F8" s="6" t="s">
        <v>254</v>
      </c>
      <c r="G8" s="6" t="s">
        <v>254</v>
      </c>
      <c r="H8" s="6" t="s">
        <v>254</v>
      </c>
      <c r="I8" s="6" t="s">
        <v>254</v>
      </c>
      <c r="J8" s="6" t="s">
        <v>254</v>
      </c>
      <c r="K8" s="6" t="s">
        <v>254</v>
      </c>
      <c r="L8" s="6" t="s">
        <v>254</v>
      </c>
      <c r="M8" s="6" t="s">
        <v>254</v>
      </c>
      <c r="N8" s="6" t="s">
        <v>254</v>
      </c>
      <c r="O8" s="6" t="s">
        <v>254</v>
      </c>
      <c r="P8" s="3" t="str">
        <f>'Model names'!C6</f>
        <v>IA</v>
      </c>
      <c r="Q8" s="29">
        <f>[23]Cnst_Plt!J505</f>
        <v>2.1999999999999999E-2</v>
      </c>
      <c r="R8" s="20">
        <f>[23]Cnst_Plt!J505</f>
        <v>2.1999999999999999E-2</v>
      </c>
      <c r="S8" s="20">
        <f>[23]Cnst_Plt!J505</f>
        <v>2.1999999999999999E-2</v>
      </c>
      <c r="T8" s="20">
        <f>[23]Cnst_Plt!J505</f>
        <v>2.1999999999999999E-2</v>
      </c>
      <c r="U8" s="20">
        <f>[23]Cnst_Plt!J505</f>
        <v>2.1999999999999999E-2</v>
      </c>
      <c r="V8" s="20">
        <f>[24]Total_Reports!G273</f>
        <v>-0.4194874408863194</v>
      </c>
      <c r="W8" s="20">
        <f>[24]Total_Reports!H273</f>
        <v>-736.74194538046834</v>
      </c>
      <c r="X8" s="20">
        <f>[24]Total_Reports!I273</f>
        <v>-736.74194538046834</v>
      </c>
      <c r="Y8" s="20">
        <f>[24]Total_Reports!J273</f>
        <v>-736.74194538046834</v>
      </c>
      <c r="Z8" s="20">
        <f>[24]Total_Reports!K273</f>
        <v>-736.74194538046834</v>
      </c>
      <c r="AA8" s="20">
        <f>[24]Total_Reports!L273</f>
        <v>-736.74194538046834</v>
      </c>
      <c r="AB8" s="20">
        <f>[24]Total_Reports!L273</f>
        <v>-736.74194538046834</v>
      </c>
      <c r="AC8" s="8"/>
    </row>
    <row r="9" spans="1:29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255</v>
      </c>
      <c r="D9" s="3" t="s">
        <v>254</v>
      </c>
      <c r="E9" s="6" t="s">
        <v>254</v>
      </c>
      <c r="F9" s="6" t="s">
        <v>254</v>
      </c>
      <c r="G9" s="6" t="s">
        <v>254</v>
      </c>
      <c r="H9" s="6" t="s">
        <v>254</v>
      </c>
      <c r="I9" s="6" t="s">
        <v>254</v>
      </c>
      <c r="J9" s="6" t="s">
        <v>254</v>
      </c>
      <c r="K9" s="6" t="s">
        <v>254</v>
      </c>
      <c r="L9" s="6" t="s">
        <v>254</v>
      </c>
      <c r="M9" s="6" t="s">
        <v>254</v>
      </c>
      <c r="N9" s="6" t="s">
        <v>254</v>
      </c>
      <c r="O9" s="6" t="s">
        <v>254</v>
      </c>
      <c r="P9" s="3" t="str">
        <f>'Model names'!C7</f>
        <v>IL</v>
      </c>
      <c r="Q9" s="29">
        <f>[25]Cnst_Plt!J505</f>
        <v>0.02</v>
      </c>
      <c r="R9" s="20">
        <f>[25]Cnst_Plt!J505</f>
        <v>0.02</v>
      </c>
      <c r="S9" s="20">
        <f>[25]Cnst_Plt!J505</f>
        <v>0.02</v>
      </c>
      <c r="T9" s="20">
        <f>[25]Cnst_Plt!J505</f>
        <v>0.02</v>
      </c>
      <c r="U9" s="20">
        <f>[25]Cnst_Plt!J505</f>
        <v>0.02</v>
      </c>
      <c r="V9" s="20">
        <v>0</v>
      </c>
      <c r="W9" s="20">
        <v>0</v>
      </c>
      <c r="X9" s="20">
        <v>0</v>
      </c>
      <c r="Y9" s="20">
        <v>0</v>
      </c>
      <c r="Z9" s="20">
        <v>0</v>
      </c>
      <c r="AA9" s="20">
        <v>0</v>
      </c>
      <c r="AB9" s="20">
        <f>[26]Total_Reports!L273</f>
        <v>33550.428885527406</v>
      </c>
      <c r="AC9" s="8"/>
    </row>
    <row r="10" spans="1:29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255</v>
      </c>
      <c r="D10" s="3" t="s">
        <v>254</v>
      </c>
      <c r="E10" s="6" t="s">
        <v>254</v>
      </c>
      <c r="F10" s="6" t="s">
        <v>254</v>
      </c>
      <c r="G10" s="6" t="s">
        <v>254</v>
      </c>
      <c r="H10" s="6" t="s">
        <v>254</v>
      </c>
      <c r="I10" s="6" t="s">
        <v>254</v>
      </c>
      <c r="J10" s="6" t="s">
        <v>254</v>
      </c>
      <c r="K10" s="6" t="s">
        <v>254</v>
      </c>
      <c r="L10" s="6" t="s">
        <v>254</v>
      </c>
      <c r="M10" s="6" t="s">
        <v>254</v>
      </c>
      <c r="N10" s="6" t="s">
        <v>254</v>
      </c>
      <c r="O10" s="6" t="s">
        <v>254</v>
      </c>
      <c r="P10" s="3" t="str">
        <f>'Model names'!C8</f>
        <v>IN</v>
      </c>
      <c r="Q10" s="29">
        <f>[27]Cnst_Plt!J505</f>
        <v>2.4281287084809398E-2</v>
      </c>
      <c r="R10" s="20">
        <f>[27]Cnst_Plt!J505</f>
        <v>2.4281287084809398E-2</v>
      </c>
      <c r="S10" s="20">
        <f>[27]Cnst_Plt!J505</f>
        <v>2.4281287084809398E-2</v>
      </c>
      <c r="T10" s="20">
        <f>[27]Cnst_Plt!J505</f>
        <v>2.4281287084809398E-2</v>
      </c>
      <c r="U10" s="20">
        <f>[27]Cnst_Plt!J505</f>
        <v>2.4281287084809398E-2</v>
      </c>
      <c r="V10" s="20">
        <f>[28]Total_Reports!G273</f>
        <v>9413.7894784966193</v>
      </c>
      <c r="W10" s="20">
        <f>[28]Total_Reports!H273</f>
        <v>-1450.2776865562819</v>
      </c>
      <c r="X10" s="20">
        <f>[28]Total_Reports!I273</f>
        <v>-1433.177854567858</v>
      </c>
      <c r="Y10" s="20">
        <f>[28]Total_Reports!J273</f>
        <v>-2207.6567337334109</v>
      </c>
      <c r="Z10" s="20">
        <f>[28]Total_Reports!K273</f>
        <v>-2786.2555258822676</v>
      </c>
      <c r="AA10" s="20">
        <f>[28]Total_Reports!L273</f>
        <v>-2827.5371633681161</v>
      </c>
      <c r="AB10" s="20">
        <f>[28]Total_Reports!L273</f>
        <v>-2827.5371633681161</v>
      </c>
      <c r="AC10" s="8"/>
    </row>
    <row r="11" spans="1:29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255</v>
      </c>
      <c r="D11" s="3" t="s">
        <v>254</v>
      </c>
      <c r="E11" s="6" t="s">
        <v>254</v>
      </c>
      <c r="F11" s="6" t="s">
        <v>254</v>
      </c>
      <c r="G11" s="6" t="s">
        <v>254</v>
      </c>
      <c r="H11" s="6" t="s">
        <v>254</v>
      </c>
      <c r="I11" s="6" t="s">
        <v>254</v>
      </c>
      <c r="J11" s="6" t="s">
        <v>254</v>
      </c>
      <c r="K11" s="6" t="s">
        <v>254</v>
      </c>
      <c r="L11" s="6" t="s">
        <v>254</v>
      </c>
      <c r="M11" s="6" t="s">
        <v>254</v>
      </c>
      <c r="N11" s="6" t="s">
        <v>254</v>
      </c>
      <c r="O11" s="6" t="s">
        <v>254</v>
      </c>
      <c r="P11" s="3" t="str">
        <f>'Model names'!C9</f>
        <v>KY</v>
      </c>
      <c r="Q11" s="29">
        <f>[29]Cnst_Plt!J505</f>
        <v>1.66E-2</v>
      </c>
      <c r="R11" s="20">
        <f>[29]Cnst_Plt!J505</f>
        <v>1.66E-2</v>
      </c>
      <c r="S11" s="20">
        <f>[29]Cnst_Plt!J505</f>
        <v>1.66E-2</v>
      </c>
      <c r="T11" s="20">
        <f>[29]Cnst_Plt!J505</f>
        <v>1.66E-2</v>
      </c>
      <c r="U11" s="20">
        <f>[29]Cnst_Plt!J505</f>
        <v>1.66E-2</v>
      </c>
      <c r="V11" s="20">
        <f>[30]Total_Reports!G273</f>
        <v>-1362.6213333025344</v>
      </c>
      <c r="W11" s="20">
        <f>[30]Total_Reports!H273</f>
        <v>-127.97506594718749</v>
      </c>
      <c r="X11" s="20">
        <f>[30]Total_Reports!I273</f>
        <v>-127.44893792777356</v>
      </c>
      <c r="Y11" s="20">
        <f>[30]Total_Reports!J273</f>
        <v>-180.03105055624025</v>
      </c>
      <c r="Z11" s="20">
        <f>[30]Total_Reports!K273</f>
        <v>-296.0141554348881</v>
      </c>
      <c r="AA11" s="20">
        <f>[30]Total_Reports!L273</f>
        <v>-315.81383291369821</v>
      </c>
      <c r="AB11" s="20">
        <f>[30]Total_Reports!L273</f>
        <v>-315.81383291369821</v>
      </c>
      <c r="AC11" s="8"/>
    </row>
    <row r="12" spans="1:29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255</v>
      </c>
      <c r="D12" s="3" t="s">
        <v>254</v>
      </c>
      <c r="E12" s="6" t="s">
        <v>254</v>
      </c>
      <c r="F12" s="6" t="s">
        <v>254</v>
      </c>
      <c r="G12" s="6" t="s">
        <v>254</v>
      </c>
      <c r="H12" s="6" t="s">
        <v>254</v>
      </c>
      <c r="I12" s="6" t="s">
        <v>254</v>
      </c>
      <c r="J12" s="6" t="s">
        <v>254</v>
      </c>
      <c r="K12" s="6" t="s">
        <v>254</v>
      </c>
      <c r="L12" s="6" t="s">
        <v>254</v>
      </c>
      <c r="M12" s="6" t="s">
        <v>254</v>
      </c>
      <c r="N12" s="6" t="s">
        <v>254</v>
      </c>
      <c r="O12" s="6" t="s">
        <v>254</v>
      </c>
      <c r="P12" s="3" t="str">
        <f>'Model names'!C10</f>
        <v>Liberty</v>
      </c>
      <c r="Q12" s="30">
        <f>[31]Cnst_Plt!J505</f>
        <v>0</v>
      </c>
      <c r="R12" s="20">
        <f>[31]Cnst_Plt!J505</f>
        <v>0</v>
      </c>
      <c r="S12" s="20">
        <f>[31]Cnst_Plt!J505</f>
        <v>0</v>
      </c>
      <c r="T12" s="20">
        <f>[31]Cnst_Plt!J505</f>
        <v>0</v>
      </c>
      <c r="U12" s="20">
        <f>[31]Cnst_Plt!J505</f>
        <v>0</v>
      </c>
      <c r="V12" s="20">
        <f>[32]Total_Reports!G273</f>
        <v>114.27009977377293</v>
      </c>
      <c r="W12" s="20">
        <f>[32]Total_Reports!H273</f>
        <v>110.82379619863104</v>
      </c>
      <c r="X12" s="20">
        <f>[32]Total_Reports!I273</f>
        <v>1105.6039136136678</v>
      </c>
      <c r="Y12" s="20">
        <f>[32]Total_Reports!J273</f>
        <v>2376.9170760720749</v>
      </c>
      <c r="Z12" s="20">
        <f>[32]Total_Reports!K273</f>
        <v>2516.8772453258935</v>
      </c>
      <c r="AA12" s="20">
        <f>[32]Total_Reports!L273</f>
        <v>9721.5227800596149</v>
      </c>
      <c r="AB12" s="7">
        <f>[32]Total_Reports!L273</f>
        <v>9721.5227800596149</v>
      </c>
      <c r="AC12" s="8"/>
    </row>
    <row r="13" spans="1:29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255</v>
      </c>
      <c r="D13" s="3" t="s">
        <v>254</v>
      </c>
      <c r="E13" s="6" t="s">
        <v>254</v>
      </c>
      <c r="F13" s="6" t="s">
        <v>254</v>
      </c>
      <c r="G13" s="6" t="s">
        <v>254</v>
      </c>
      <c r="H13" s="6" t="s">
        <v>254</v>
      </c>
      <c r="I13" s="6" t="s">
        <v>254</v>
      </c>
      <c r="J13" s="6" t="s">
        <v>254</v>
      </c>
      <c r="K13" s="6" t="s">
        <v>254</v>
      </c>
      <c r="L13" s="6" t="s">
        <v>254</v>
      </c>
      <c r="M13" s="6" t="s">
        <v>254</v>
      </c>
      <c r="N13" s="6" t="s">
        <v>254</v>
      </c>
      <c r="O13" s="6" t="s">
        <v>254</v>
      </c>
      <c r="P13" s="3" t="str">
        <f>'Model names'!C11</f>
        <v>LW</v>
      </c>
      <c r="Q13" s="30">
        <f>[33]Cnst_Plt!J505</f>
        <v>1.9569389169501739E-2</v>
      </c>
      <c r="R13" s="20">
        <f>[33]Cnst_Plt!J505</f>
        <v>1.9569389169501739E-2</v>
      </c>
      <c r="S13" s="20">
        <f>[33]Cnst_Plt!J505</f>
        <v>1.9569389169501739E-2</v>
      </c>
      <c r="T13" s="20">
        <f>[33]Cnst_Plt!J505</f>
        <v>1.9569389169501739E-2</v>
      </c>
      <c r="U13" s="20">
        <f>[33]Cnst_Plt!J505</f>
        <v>1.9569389169501739E-2</v>
      </c>
      <c r="V13" s="20">
        <f>[34]Total_Reports!G273</f>
        <v>-499.57702226760335</v>
      </c>
      <c r="W13" s="20">
        <f>[34]Total_Reports!H273</f>
        <v>-499.98381855339181</v>
      </c>
      <c r="X13" s="20">
        <f>[34]Total_Reports!I273</f>
        <v>-477.10553718854362</v>
      </c>
      <c r="Y13" s="20">
        <f>[34]Total_Reports!J273</f>
        <v>-481.06519743122431</v>
      </c>
      <c r="Z13" s="20">
        <f>[34]Total_Reports!K273</f>
        <v>-481.44383256584877</v>
      </c>
      <c r="AA13" s="20">
        <f>[34]Total_Reports!L273</f>
        <v>-482.04055197392103</v>
      </c>
      <c r="AB13" s="7">
        <f>[34]Total_Reports!L273</f>
        <v>-482.04055197392103</v>
      </c>
      <c r="AC13" s="8"/>
    </row>
    <row r="14" spans="1:29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255</v>
      </c>
      <c r="D14" s="3" t="s">
        <v>254</v>
      </c>
      <c r="E14" s="6" t="s">
        <v>254</v>
      </c>
      <c r="F14" s="6" t="s">
        <v>254</v>
      </c>
      <c r="G14" s="6" t="s">
        <v>254</v>
      </c>
      <c r="H14" s="6" t="s">
        <v>254</v>
      </c>
      <c r="I14" s="6" t="s">
        <v>254</v>
      </c>
      <c r="J14" s="6" t="s">
        <v>254</v>
      </c>
      <c r="K14" s="6" t="s">
        <v>254</v>
      </c>
      <c r="L14" s="6" t="s">
        <v>254</v>
      </c>
      <c r="M14" s="6" t="s">
        <v>254</v>
      </c>
      <c r="N14" s="6" t="s">
        <v>254</v>
      </c>
      <c r="O14" s="6" t="s">
        <v>254</v>
      </c>
      <c r="P14" s="3" t="str">
        <f>'Model names'!C12</f>
        <v>MD</v>
      </c>
      <c r="Q14" s="30">
        <f>[35]Cnst_Plt!J505</f>
        <v>2.2749255357521533E-2</v>
      </c>
      <c r="R14" s="20">
        <f>[35]Cnst_Plt!J505</f>
        <v>2.2749255357521533E-2</v>
      </c>
      <c r="S14" s="20">
        <f>[35]Cnst_Plt!J505</f>
        <v>2.2749255357521533E-2</v>
      </c>
      <c r="T14" s="20">
        <f>[35]Cnst_Plt!J505</f>
        <v>2.2749255357521533E-2</v>
      </c>
      <c r="U14" s="20">
        <f>[35]Cnst_Plt!J505</f>
        <v>2.2749255357521533E-2</v>
      </c>
      <c r="V14" s="20">
        <f>[36]Total_Reports!G273</f>
        <v>25.977372237752206</v>
      </c>
      <c r="W14" s="20">
        <f>[36]Total_Reports!H273</f>
        <v>26.305648915940992</v>
      </c>
      <c r="X14" s="20">
        <f>[36]Total_Reports!I273</f>
        <v>26.335613316696254</v>
      </c>
      <c r="Y14" s="20">
        <f>[36]Total_Reports!J273</f>
        <v>40.995027378260488</v>
      </c>
      <c r="Z14" s="20">
        <f>[36]Total_Reports!K273</f>
        <v>40.151913756182466</v>
      </c>
      <c r="AA14" s="20">
        <f>[36]Total_Reports!L273</f>
        <v>40.576325173975988</v>
      </c>
      <c r="AB14" s="7">
        <f>[36]Total_Reports!L273</f>
        <v>40.576325173975988</v>
      </c>
      <c r="AC14" s="8"/>
    </row>
    <row r="15" spans="1:29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255</v>
      </c>
      <c r="D15" s="3" t="s">
        <v>254</v>
      </c>
      <c r="E15" s="6" t="s">
        <v>254</v>
      </c>
      <c r="F15" s="6" t="s">
        <v>254</v>
      </c>
      <c r="G15" s="6" t="s">
        <v>254</v>
      </c>
      <c r="H15" s="6" t="s">
        <v>254</v>
      </c>
      <c r="I15" s="6" t="s">
        <v>254</v>
      </c>
      <c r="J15" s="6" t="s">
        <v>254</v>
      </c>
      <c r="K15" s="6" t="s">
        <v>254</v>
      </c>
      <c r="L15" s="6" t="s">
        <v>254</v>
      </c>
      <c r="M15" s="6" t="s">
        <v>254</v>
      </c>
      <c r="N15" s="6" t="s">
        <v>254</v>
      </c>
      <c r="O15" s="6" t="s">
        <v>254</v>
      </c>
      <c r="P15" s="3" t="str">
        <f>'Model names'!C13</f>
        <v>MI</v>
      </c>
      <c r="Q15" s="29">
        <f>[37]Cnst_Plt!J505</f>
        <v>4.4633592792100149E-2</v>
      </c>
      <c r="R15" s="20">
        <f>[37]Cnst_Plt!J505</f>
        <v>4.4633592792100149E-2</v>
      </c>
      <c r="S15" s="20">
        <f>[37]Cnst_Plt!J505</f>
        <v>4.4633592792100149E-2</v>
      </c>
      <c r="T15" s="20">
        <f>[37]Cnst_Plt!J505</f>
        <v>4.4633592792100149E-2</v>
      </c>
      <c r="U15" s="20">
        <f>[37]Cnst_Plt!J505</f>
        <v>4.4633592792100149E-2</v>
      </c>
      <c r="V15" s="20">
        <f>[38]Total_Reports!G273</f>
        <v>3459.7834180339114</v>
      </c>
      <c r="W15" s="20">
        <f>[38]Total_Reports!H273</f>
        <v>4811.7996597270048</v>
      </c>
      <c r="X15" s="20">
        <f>[38]Total_Reports!I273</f>
        <v>5615.5324709052247</v>
      </c>
      <c r="Y15" s="20">
        <f>[38]Total_Reports!J273</f>
        <v>7827.419876354219</v>
      </c>
      <c r="Z15" s="20">
        <f>[38]Total_Reports!K273</f>
        <v>6871.4181452733828</v>
      </c>
      <c r="AA15" s="20">
        <f>[38]Total_Reports!L273</f>
        <v>7273.0139051252299</v>
      </c>
      <c r="AB15" s="20">
        <f>[38]Total_Reports!L273</f>
        <v>7273.0139051252299</v>
      </c>
      <c r="AC15" s="8"/>
    </row>
    <row r="16" spans="1:29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255</v>
      </c>
      <c r="D16" s="3" t="s">
        <v>254</v>
      </c>
      <c r="E16" s="6" t="s">
        <v>254</v>
      </c>
      <c r="F16" s="6" t="s">
        <v>254</v>
      </c>
      <c r="G16" s="6" t="s">
        <v>254</v>
      </c>
      <c r="H16" s="6" t="s">
        <v>254</v>
      </c>
      <c r="I16" s="6" t="s">
        <v>254</v>
      </c>
      <c r="J16" s="6" t="s">
        <v>254</v>
      </c>
      <c r="K16" s="6" t="s">
        <v>254</v>
      </c>
      <c r="L16" s="6" t="s">
        <v>254</v>
      </c>
      <c r="M16" s="6" t="s">
        <v>254</v>
      </c>
      <c r="N16" s="6" t="s">
        <v>254</v>
      </c>
      <c r="O16" s="6" t="s">
        <v>254</v>
      </c>
      <c r="P16" s="3" t="str">
        <f>'Model names'!C14</f>
        <v>MO</v>
      </c>
      <c r="Q16" s="30">
        <f>[39]Cnst_Plt!J505</f>
        <v>1.6E-2</v>
      </c>
      <c r="R16" s="20">
        <f>[39]Cnst_Plt!J505</f>
        <v>1.6E-2</v>
      </c>
      <c r="S16" s="20">
        <f>[39]Cnst_Plt!J505</f>
        <v>1.6E-2</v>
      </c>
      <c r="T16" s="20">
        <f>[39]Cnst_Plt!J505</f>
        <v>1.6E-2</v>
      </c>
      <c r="U16" s="20">
        <f>[39]Cnst_Plt!J505</f>
        <v>1.6E-2</v>
      </c>
      <c r="V16" s="20">
        <f>[40]Total_Reports!G273</f>
        <v>662.87769339726424</v>
      </c>
      <c r="W16" s="20">
        <f>[40]Total_Reports!H273</f>
        <v>670.82450012462891</v>
      </c>
      <c r="X16" s="20">
        <f>[40]Total_Reports!I273</f>
        <v>677.32180205538771</v>
      </c>
      <c r="Y16" s="20">
        <f>[40]Total_Reports!J273</f>
        <v>684.56582378584756</v>
      </c>
      <c r="Z16" s="20">
        <f>[40]Total_Reports!K273</f>
        <v>692.5563517766434</v>
      </c>
      <c r="AA16" s="20">
        <f>[40]Total_Reports!L273</f>
        <v>698.57391131666793</v>
      </c>
      <c r="AB16" s="7">
        <f>[40]Total_Reports!L273</f>
        <v>698.57391131666793</v>
      </c>
      <c r="AC16" s="8"/>
    </row>
    <row r="17" spans="1:29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255</v>
      </c>
      <c r="D17" s="3" t="s">
        <v>254</v>
      </c>
      <c r="E17" s="6" t="s">
        <v>254</v>
      </c>
      <c r="F17" s="6" t="s">
        <v>254</v>
      </c>
      <c r="G17" s="6" t="s">
        <v>254</v>
      </c>
      <c r="H17" s="6" t="s">
        <v>254</v>
      </c>
      <c r="I17" s="6" t="s">
        <v>254</v>
      </c>
      <c r="J17" s="6" t="s">
        <v>254</v>
      </c>
      <c r="K17" s="6" t="s">
        <v>254</v>
      </c>
      <c r="L17" s="6" t="s">
        <v>254</v>
      </c>
      <c r="M17" s="6" t="s">
        <v>254</v>
      </c>
      <c r="N17" s="6" t="s">
        <v>254</v>
      </c>
      <c r="O17" s="6" t="s">
        <v>254</v>
      </c>
      <c r="P17" s="3" t="str">
        <f>'Model names'!C15</f>
        <v>NJ</v>
      </c>
      <c r="Q17" s="30">
        <f>[41]Cnst_Plt!J505</f>
        <v>2.4168009723074386E-2</v>
      </c>
      <c r="R17" s="20">
        <f>[41]Cnst_Plt!J505</f>
        <v>2.4168009723074386E-2</v>
      </c>
      <c r="S17" s="20">
        <f>[41]Cnst_Plt!J505</f>
        <v>2.4168009723074386E-2</v>
      </c>
      <c r="T17" s="20">
        <f>[41]Cnst_Plt!J505</f>
        <v>2.4168009723074386E-2</v>
      </c>
      <c r="U17" s="20">
        <f>[41]Cnst_Plt!J505</f>
        <v>2.4168009723074386E-2</v>
      </c>
      <c r="V17" s="20">
        <f>[42]Total_Reports!G273</f>
        <v>-5538.5809388526613</v>
      </c>
      <c r="W17" s="20">
        <f>[42]Total_Reports!H273</f>
        <v>-10455.745447534413</v>
      </c>
      <c r="X17" s="20">
        <f>[42]Total_Reports!I273</f>
        <v>-10492.362263255962</v>
      </c>
      <c r="Y17" s="20">
        <f>[42]Total_Reports!J273</f>
        <v>-7080.3485859592738</v>
      </c>
      <c r="Z17" s="20">
        <f>[42]Total_Reports!K273</f>
        <v>-4668.3663708343793</v>
      </c>
      <c r="AA17" s="20">
        <f>[42]Total_Reports!L273</f>
        <v>-8496.4652328322009</v>
      </c>
      <c r="AB17" s="7">
        <f>[42]Total_Reports!L273</f>
        <v>-8496.4652328322009</v>
      </c>
      <c r="AC17" s="8"/>
    </row>
    <row r="18" spans="1:29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255</v>
      </c>
      <c r="D18" s="3" t="s">
        <v>254</v>
      </c>
      <c r="E18" s="6" t="s">
        <v>254</v>
      </c>
      <c r="F18" s="6" t="s">
        <v>254</v>
      </c>
      <c r="G18" s="6" t="s">
        <v>254</v>
      </c>
      <c r="H18" s="6" t="s">
        <v>254</v>
      </c>
      <c r="I18" s="6" t="s">
        <v>254</v>
      </c>
      <c r="J18" s="6" t="s">
        <v>254</v>
      </c>
      <c r="K18" s="6" t="s">
        <v>254</v>
      </c>
      <c r="L18" s="6" t="s">
        <v>254</v>
      </c>
      <c r="M18" s="6" t="s">
        <v>254</v>
      </c>
      <c r="N18" s="6" t="s">
        <v>254</v>
      </c>
      <c r="O18" s="6" t="s">
        <v>254</v>
      </c>
      <c r="P18" s="3" t="str">
        <f>'Model names'!C16</f>
        <v>NY</v>
      </c>
      <c r="Q18" s="30">
        <f>[43]Cnst_Plt!J505</f>
        <v>1.66E-2</v>
      </c>
      <c r="R18" s="20">
        <f>[43]Cnst_Plt!J505</f>
        <v>1.66E-2</v>
      </c>
      <c r="S18" s="20">
        <f>[43]Cnst_Plt!J505</f>
        <v>1.66E-2</v>
      </c>
      <c r="T18" s="20">
        <f>[43]Cnst_Plt!J505</f>
        <v>1.66E-2</v>
      </c>
      <c r="U18" s="20">
        <f>[43]Cnst_Plt!J505</f>
        <v>1.66E-2</v>
      </c>
      <c r="V18" s="20">
        <f>[44]Total_Reports!G273</f>
        <v>-0.73914745952161809</v>
      </c>
      <c r="W18" s="20">
        <f>[44]Total_Reports!H273</f>
        <v>-0.17123282943778406</v>
      </c>
      <c r="X18" s="20">
        <f>[44]Total_Reports!I273</f>
        <v>1.6729194665602307</v>
      </c>
      <c r="Y18" s="20">
        <f>[44]Total_Reports!J273</f>
        <v>-0.29140369598530924</v>
      </c>
      <c r="Z18" s="20">
        <f>[44]Total_Reports!K273</f>
        <v>-0.31067737829637565</v>
      </c>
      <c r="AA18" s="20">
        <f>[44]Total_Reports!L273</f>
        <v>-1.505292281911494</v>
      </c>
      <c r="AB18" s="7">
        <f>[44]Total_Reports!L273</f>
        <v>-1.505292281911494</v>
      </c>
      <c r="AC18" s="8"/>
    </row>
    <row r="19" spans="1:29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255</v>
      </c>
      <c r="D19" s="3" t="s">
        <v>254</v>
      </c>
      <c r="E19" s="6" t="s">
        <v>254</v>
      </c>
      <c r="F19" s="6" t="s">
        <v>254</v>
      </c>
      <c r="G19" s="6" t="s">
        <v>254</v>
      </c>
      <c r="H19" s="6" t="s">
        <v>254</v>
      </c>
      <c r="I19" s="6" t="s">
        <v>254</v>
      </c>
      <c r="J19" s="6" t="s">
        <v>254</v>
      </c>
      <c r="K19" s="6" t="s">
        <v>254</v>
      </c>
      <c r="L19" s="6" t="s">
        <v>254</v>
      </c>
      <c r="M19" s="6" t="s">
        <v>254</v>
      </c>
      <c r="N19" s="6" t="s">
        <v>254</v>
      </c>
      <c r="O19" s="6" t="s">
        <v>254</v>
      </c>
      <c r="P19" s="3" t="str">
        <f>'Model names'!C17</f>
        <v>PA</v>
      </c>
      <c r="Q19" s="30">
        <f>[45]Cnst_Plt!J505</f>
        <v>1.2869999999999999E-2</v>
      </c>
      <c r="R19" s="20">
        <f>[45]Cnst_Plt!J505</f>
        <v>1.2869999999999999E-2</v>
      </c>
      <c r="S19" s="20">
        <f>[45]Cnst_Plt!J505</f>
        <v>1.2869999999999999E-2</v>
      </c>
      <c r="T19" s="20">
        <f>[45]Cnst_Plt!J505</f>
        <v>1.2869999999999999E-2</v>
      </c>
      <c r="U19" s="20">
        <f>[45]Cnst_Plt!J505</f>
        <v>1.2869999999999999E-2</v>
      </c>
      <c r="V19" s="20">
        <f>[46]Total_Reports!G273</f>
        <v>18.68438643165797</v>
      </c>
      <c r="W19" s="20">
        <f>[46]Total_Reports!H273</f>
        <v>18.841821643529556</v>
      </c>
      <c r="X19" s="20">
        <f>[46]Total_Reports!I273</f>
        <v>22.244866269503973</v>
      </c>
      <c r="Y19" s="20">
        <f>[46]Total_Reports!J273</f>
        <v>-12.721042644807483</v>
      </c>
      <c r="Z19" s="20">
        <f>[46]Total_Reports!K273</f>
        <v>94.827196997387603</v>
      </c>
      <c r="AA19" s="20">
        <f>[46]Total_Reports!L273</f>
        <v>41.268338246218661</v>
      </c>
      <c r="AB19" s="7">
        <f>[46]Total_Reports!L273</f>
        <v>41.268338246218661</v>
      </c>
    </row>
    <row r="20" spans="1:29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255</v>
      </c>
      <c r="D20" s="3" t="s">
        <v>254</v>
      </c>
      <c r="E20" s="6" t="s">
        <v>254</v>
      </c>
      <c r="F20" s="6" t="s">
        <v>254</v>
      </c>
      <c r="G20" s="6" t="s">
        <v>254</v>
      </c>
      <c r="H20" s="6" t="s">
        <v>254</v>
      </c>
      <c r="I20" s="6" t="s">
        <v>254</v>
      </c>
      <c r="J20" s="6" t="s">
        <v>254</v>
      </c>
      <c r="K20" s="6" t="s">
        <v>254</v>
      </c>
      <c r="L20" s="6" t="s">
        <v>254</v>
      </c>
      <c r="M20" s="6" t="s">
        <v>254</v>
      </c>
      <c r="N20" s="6" t="s">
        <v>254</v>
      </c>
      <c r="O20" s="6" t="s">
        <v>254</v>
      </c>
      <c r="P20" s="3" t="str">
        <f>'Model names'!C18</f>
        <v>TN</v>
      </c>
      <c r="Q20" s="30">
        <f>[47]Cnst_Plt!J505</f>
        <v>1.2500000000000001E-2</v>
      </c>
      <c r="R20" s="20">
        <f>[47]Cnst_Plt!J505</f>
        <v>1.2500000000000001E-2</v>
      </c>
      <c r="S20" s="20">
        <f>[47]Cnst_Plt!J505</f>
        <v>1.2500000000000001E-2</v>
      </c>
      <c r="T20" s="20">
        <f>[47]Cnst_Plt!J505</f>
        <v>1.2500000000000001E-2</v>
      </c>
      <c r="U20" s="20">
        <f>[47]Cnst_Plt!J505</f>
        <v>1.2500000000000001E-2</v>
      </c>
      <c r="V20" s="20">
        <f>[48]Total_Reports!G273</f>
        <v>515.0224575691027</v>
      </c>
      <c r="W20" s="20">
        <f>[48]Total_Reports!H273</f>
        <v>559.73264258124982</v>
      </c>
      <c r="X20" s="20">
        <f>[48]Total_Reports!I273</f>
        <v>552.25149472106204</v>
      </c>
      <c r="Y20" s="20">
        <f>[48]Total_Reports!J273</f>
        <v>647.6808808460828</v>
      </c>
      <c r="Z20" s="20">
        <f>[48]Total_Reports!K273</f>
        <v>700.70476655418315</v>
      </c>
      <c r="AA20" s="20">
        <f>[48]Total_Reports!L273</f>
        <v>700.85642649219699</v>
      </c>
      <c r="AB20" s="7">
        <f>[48]Total_Reports!L273</f>
        <v>700.85642649219699</v>
      </c>
      <c r="AC20" s="8"/>
    </row>
    <row r="21" spans="1:29" outlineLevel="1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255</v>
      </c>
      <c r="D21" s="3" t="s">
        <v>254</v>
      </c>
      <c r="E21" s="6" t="s">
        <v>254</v>
      </c>
      <c r="F21" s="6" t="s">
        <v>254</v>
      </c>
      <c r="G21" s="6" t="s">
        <v>254</v>
      </c>
      <c r="H21" s="6" t="s">
        <v>254</v>
      </c>
      <c r="I21" s="6" t="s">
        <v>254</v>
      </c>
      <c r="J21" s="6" t="s">
        <v>254</v>
      </c>
      <c r="K21" s="6" t="s">
        <v>254</v>
      </c>
      <c r="L21" s="6" t="s">
        <v>254</v>
      </c>
      <c r="M21" s="6" t="s">
        <v>254</v>
      </c>
      <c r="N21" s="6" t="s">
        <v>254</v>
      </c>
      <c r="O21" s="6" t="s">
        <v>254</v>
      </c>
      <c r="P21" s="3" t="str">
        <f>'Model names'!C19</f>
        <v>VA</v>
      </c>
      <c r="Q21" s="30">
        <f>[49]Cnst_Plt!J505</f>
        <v>2.4E-2</v>
      </c>
      <c r="R21" s="20">
        <f>[49]Cnst_Plt!J505</f>
        <v>2.4E-2</v>
      </c>
      <c r="S21" s="20">
        <f>[49]Cnst_Plt!J505</f>
        <v>2.4E-2</v>
      </c>
      <c r="T21" s="20">
        <f>[49]Cnst_Plt!J505</f>
        <v>2.4E-2</v>
      </c>
      <c r="U21" s="20">
        <f>[49]Cnst_Plt!J505</f>
        <v>2.4E-2</v>
      </c>
      <c r="V21" s="20">
        <v>0</v>
      </c>
      <c r="W21" s="20">
        <v>0</v>
      </c>
      <c r="X21" s="20">
        <v>0</v>
      </c>
      <c r="Y21" s="20">
        <v>0</v>
      </c>
      <c r="Z21" s="20">
        <v>0</v>
      </c>
      <c r="AA21" s="20">
        <v>0</v>
      </c>
      <c r="AB21" s="7">
        <f>[50]Total_Reports!L273</f>
        <v>25153.280723886397</v>
      </c>
      <c r="AC21" s="8"/>
    </row>
    <row r="22" spans="1:29" outlineLevel="1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255</v>
      </c>
      <c r="D22" s="3" t="s">
        <v>254</v>
      </c>
      <c r="E22" s="6" t="s">
        <v>254</v>
      </c>
      <c r="F22" s="6" t="s">
        <v>254</v>
      </c>
      <c r="G22" s="6" t="s">
        <v>254</v>
      </c>
      <c r="H22" s="6" t="s">
        <v>254</v>
      </c>
      <c r="I22" s="6" t="s">
        <v>254</v>
      </c>
      <c r="J22" s="6" t="s">
        <v>254</v>
      </c>
      <c r="K22" s="6" t="s">
        <v>254</v>
      </c>
      <c r="L22" s="6" t="s">
        <v>254</v>
      </c>
      <c r="M22" s="6" t="s">
        <v>254</v>
      </c>
      <c r="N22" s="6" t="s">
        <v>254</v>
      </c>
      <c r="O22" s="6" t="s">
        <v>254</v>
      </c>
      <c r="P22" s="3" t="str">
        <f>'Model names'!C20</f>
        <v>WV</v>
      </c>
      <c r="Q22" s="30">
        <f>[51]Cnst_Plt!J505</f>
        <v>1.54E-2</v>
      </c>
      <c r="R22" s="20">
        <f>[51]Cnst_Plt!J505</f>
        <v>1.54E-2</v>
      </c>
      <c r="S22" s="20">
        <f>[51]Cnst_Plt!J505</f>
        <v>1.54E-2</v>
      </c>
      <c r="T22" s="20">
        <f>[51]Cnst_Plt!J505</f>
        <v>1.54E-2</v>
      </c>
      <c r="U22" s="20">
        <f>[51]Cnst_Plt!J505</f>
        <v>1.54E-2</v>
      </c>
      <c r="V22" s="20">
        <f>[52]Total_Reports!G273</f>
        <v>9.0735276758560985</v>
      </c>
      <c r="W22" s="20">
        <f>[52]Total_Reports!H273</f>
        <v>5.721829004058236</v>
      </c>
      <c r="X22" s="20">
        <f>[52]Total_Reports!I273</f>
        <v>6.4964754061440999</v>
      </c>
      <c r="Y22" s="20">
        <f>[52]Total_Reports!J273</f>
        <v>15.79722462296229</v>
      </c>
      <c r="Z22" s="20">
        <f>[52]Total_Reports!K273</f>
        <v>16.517497326817761</v>
      </c>
      <c r="AA22" s="20">
        <f>[52]Total_Reports!L273</f>
        <v>15.414140839574884</v>
      </c>
      <c r="AB22" s="7">
        <f>[52]Total_Reports!L273</f>
        <v>15.414140839574884</v>
      </c>
      <c r="AC22" s="8"/>
    </row>
    <row r="23" spans="1:29" outlineLevel="1" x14ac:dyDescent="0.3">
      <c r="A23" s="2"/>
      <c r="B23" s="3"/>
      <c r="C23" s="3"/>
      <c r="D23" s="3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"/>
      <c r="Q23" s="15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7"/>
      <c r="AC23" s="8"/>
    </row>
    <row r="24" spans="1:29" outlineLevel="1" x14ac:dyDescent="0.3">
      <c r="A24" s="2"/>
      <c r="B24" s="3"/>
      <c r="C24" s="3"/>
      <c r="D24" s="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"/>
      <c r="Q24" s="15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7"/>
      <c r="AC24" s="8"/>
    </row>
    <row r="25" spans="1:29" outlineLevel="1" x14ac:dyDescent="0.3">
      <c r="A25" s="2" t="str">
        <f t="shared" ref="A25:A33" si="0">IF(B25=0,"",A24)</f>
        <v/>
      </c>
      <c r="B25" s="3"/>
      <c r="C25" s="3"/>
      <c r="D25" s="3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18"/>
      <c r="Q25" s="15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7"/>
      <c r="AC25" s="8"/>
    </row>
    <row r="26" spans="1:29" ht="15" outlineLevel="1" thickBot="1" x14ac:dyDescent="0.35">
      <c r="A26" s="2" t="str">
        <f t="shared" si="0"/>
        <v/>
      </c>
      <c r="B26" s="3"/>
      <c r="C26" s="3"/>
      <c r="D26" s="3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18"/>
      <c r="R26" s="94">
        <f t="shared" ref="R26:AA26" si="1">SUM(R4:R22)</f>
        <v>0.37573193198605109</v>
      </c>
      <c r="S26" s="94">
        <f t="shared" si="1"/>
        <v>0.37573193198605109</v>
      </c>
      <c r="T26" s="94">
        <f t="shared" si="1"/>
        <v>0.37573193198605109</v>
      </c>
      <c r="U26" s="94">
        <f t="shared" si="1"/>
        <v>0.37573193198605109</v>
      </c>
      <c r="V26" s="94">
        <f t="shared" si="1"/>
        <v>18736.082661576678</v>
      </c>
      <c r="W26" s="94">
        <f t="shared" si="1"/>
        <v>-9318.3223905950454</v>
      </c>
      <c r="X26" s="94">
        <f t="shared" si="1"/>
        <v>-8162.7775810703133</v>
      </c>
      <c r="Y26" s="94">
        <f t="shared" si="1"/>
        <v>-2754.5036610528609</v>
      </c>
      <c r="Z26" s="94">
        <f t="shared" si="1"/>
        <v>-1859.9048096743672</v>
      </c>
      <c r="AA26" s="94">
        <f t="shared" si="1"/>
        <v>1825.3257281551821</v>
      </c>
      <c r="AB26" s="7"/>
      <c r="AC26" s="8"/>
    </row>
    <row r="27" spans="1:29" ht="15" outlineLevel="1" thickTop="1" x14ac:dyDescent="0.3">
      <c r="A27" s="2" t="str">
        <f t="shared" si="0"/>
        <v/>
      </c>
      <c r="B27" s="3"/>
      <c r="C27" s="3"/>
      <c r="D27" s="3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18"/>
      <c r="Q27" s="8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7"/>
      <c r="AC27" s="8"/>
    </row>
    <row r="28" spans="1:29" outlineLevel="1" x14ac:dyDescent="0.3">
      <c r="A28" s="2" t="str">
        <f t="shared" si="0"/>
        <v/>
      </c>
      <c r="B28" s="3"/>
      <c r="C28" s="3"/>
      <c r="D28" s="3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18"/>
      <c r="Q28" s="8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7"/>
      <c r="AC28" s="8"/>
    </row>
    <row r="29" spans="1:29" outlineLevel="1" x14ac:dyDescent="0.3">
      <c r="A29" s="2" t="str">
        <f t="shared" si="0"/>
        <v/>
      </c>
      <c r="B29" s="3"/>
      <c r="C29" s="3"/>
      <c r="D29" s="3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18"/>
      <c r="Q29" s="8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7"/>
      <c r="AC29" s="8"/>
    </row>
    <row r="30" spans="1:29" outlineLevel="1" x14ac:dyDescent="0.3">
      <c r="A30" s="2" t="str">
        <f t="shared" si="0"/>
        <v/>
      </c>
      <c r="B30" s="3"/>
      <c r="C30" s="3"/>
      <c r="D30" s="3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18"/>
      <c r="Q30" s="8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7"/>
      <c r="AC30" s="8"/>
    </row>
    <row r="31" spans="1:29" outlineLevel="1" x14ac:dyDescent="0.3">
      <c r="A31" s="2" t="str">
        <f t="shared" si="0"/>
        <v/>
      </c>
      <c r="B31" s="3"/>
      <c r="C31" s="3"/>
      <c r="D31" s="3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18"/>
      <c r="Q31" s="8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7"/>
      <c r="AC31" s="8"/>
    </row>
    <row r="32" spans="1:29" outlineLevel="1" x14ac:dyDescent="0.3">
      <c r="A32" s="2" t="str">
        <f t="shared" si="0"/>
        <v/>
      </c>
      <c r="B32" s="3"/>
      <c r="C32" s="3"/>
      <c r="D32" s="3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18"/>
      <c r="Q32" s="8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7"/>
      <c r="AC32" s="8"/>
    </row>
    <row r="33" spans="1:29" outlineLevel="1" x14ac:dyDescent="0.3">
      <c r="A33" s="2" t="str">
        <f t="shared" si="0"/>
        <v/>
      </c>
      <c r="B33" s="3"/>
      <c r="C33" s="3"/>
      <c r="D33" s="3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18"/>
      <c r="Q33" s="8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7"/>
      <c r="AC33" s="8"/>
    </row>
    <row r="36" spans="1:29" ht="28.8" x14ac:dyDescent="0.3">
      <c r="A36" s="95" t="s">
        <v>256</v>
      </c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77" priority="5" operator="equal">
      <formula>"On"</formula>
    </cfRule>
  </conditionalFormatting>
  <conditionalFormatting sqref="V21:AA23">
    <cfRule type="cellIs" dxfId="76" priority="4" operator="equal">
      <formula>"On"</formula>
    </cfRule>
  </conditionalFormatting>
  <conditionalFormatting sqref="R21:R23">
    <cfRule type="cellIs" dxfId="75" priority="3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3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05473" r:id="rId4" name="CommandButton2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A1:BP40"/>
  <sheetViews>
    <sheetView showGridLines="0" topLeftCell="D1" zoomScale="90" zoomScaleNormal="90" workbookViewId="0">
      <selection activeCell="P6" activeCellId="2" sqref="P12 P17 P6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21" width="9" customWidth="1"/>
    <col min="22" max="28" width="9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  <col min="44" max="44" width="14.6640625" bestFit="1" customWidth="1"/>
    <col min="58" max="58" width="9" bestFit="1" customWidth="1"/>
    <col min="59" max="59" width="12.44140625" bestFit="1" customWidth="1"/>
    <col min="60" max="60" width="9.109375" bestFit="1" customWidth="1"/>
    <col min="61" max="68" width="9" bestFit="1" customWidth="1"/>
  </cols>
  <sheetData>
    <row r="1" spans="1:68" ht="35.4" customHeight="1" thickBot="1" x14ac:dyDescent="0.35"/>
    <row r="2" spans="1:68" ht="15" thickBot="1" x14ac:dyDescent="0.35">
      <c r="A2">
        <f>COUNTIF(A4:A33,"&gt;""")</f>
        <v>19</v>
      </c>
      <c r="B2">
        <f>P2</f>
        <v>12</v>
      </c>
      <c r="P2" s="1">
        <v>12</v>
      </c>
      <c r="Q2" s="2"/>
      <c r="R2" s="2"/>
      <c r="AF2" s="61" t="s">
        <v>213</v>
      </c>
      <c r="AG2" s="62"/>
      <c r="AH2" s="62"/>
      <c r="AI2" s="62"/>
      <c r="AJ2" s="62"/>
      <c r="AK2" s="62"/>
      <c r="AL2" s="62"/>
      <c r="AM2" s="62"/>
      <c r="AN2" s="62"/>
      <c r="AO2" s="62"/>
      <c r="AP2" s="63"/>
      <c r="AR2" s="64" t="s">
        <v>214</v>
      </c>
      <c r="AS2" s="35">
        <v>2</v>
      </c>
      <c r="AT2" s="35">
        <f>AS2+1</f>
        <v>3</v>
      </c>
      <c r="AU2" s="35">
        <f t="shared" ref="AU2:BC2" si="0">AT2+1</f>
        <v>4</v>
      </c>
      <c r="AV2" s="35">
        <f t="shared" si="0"/>
        <v>5</v>
      </c>
      <c r="AW2" s="35">
        <f t="shared" si="0"/>
        <v>6</v>
      </c>
      <c r="AX2" s="35">
        <f t="shared" si="0"/>
        <v>7</v>
      </c>
      <c r="AY2" s="35">
        <f t="shared" si="0"/>
        <v>8</v>
      </c>
      <c r="AZ2" s="35">
        <f t="shared" si="0"/>
        <v>9</v>
      </c>
      <c r="BA2" s="35">
        <f t="shared" si="0"/>
        <v>10</v>
      </c>
      <c r="BB2" s="35">
        <f t="shared" si="0"/>
        <v>11</v>
      </c>
      <c r="BC2" s="36">
        <f t="shared" si="0"/>
        <v>12</v>
      </c>
      <c r="BF2" s="32" t="s">
        <v>212</v>
      </c>
      <c r="BG2" s="33"/>
      <c r="BH2" s="33"/>
      <c r="BI2" s="33"/>
      <c r="BJ2" s="33"/>
      <c r="BK2" s="33"/>
      <c r="BL2" s="33"/>
      <c r="BM2" s="33"/>
      <c r="BN2" s="33"/>
      <c r="BO2" s="33"/>
      <c r="BP2" s="34"/>
    </row>
    <row r="3" spans="1:68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names'!I1</f>
        <v>2017</v>
      </c>
      <c r="R3" s="2">
        <f>'Model names'!J1</f>
        <v>2018</v>
      </c>
      <c r="S3" s="2">
        <f>'Model names'!K1</f>
        <v>2019</v>
      </c>
      <c r="T3" s="2">
        <f>'Model names'!L1</f>
        <v>2020</v>
      </c>
      <c r="U3" s="2">
        <f>'Model names'!M1</f>
        <v>2021</v>
      </c>
      <c r="V3" s="2">
        <f>'Model names'!N1</f>
        <v>2022</v>
      </c>
      <c r="W3" s="2">
        <f>'Model names'!O1</f>
        <v>2023</v>
      </c>
      <c r="X3" s="2">
        <f>'Model names'!P1</f>
        <v>2024</v>
      </c>
      <c r="Y3" s="2">
        <f>'Model names'!Q1</f>
        <v>2025</v>
      </c>
      <c r="Z3" s="2">
        <f>'Model names'!R1</f>
        <v>2026</v>
      </c>
      <c r="AA3" s="2">
        <f>'Model names'!S1</f>
        <v>2027</v>
      </c>
      <c r="AB3" s="2"/>
      <c r="AF3" s="65">
        <v>2016</v>
      </c>
      <c r="AG3" s="2">
        <v>2017</v>
      </c>
      <c r="AH3" s="2">
        <v>2018</v>
      </c>
      <c r="AI3" s="2">
        <v>2019</v>
      </c>
      <c r="AJ3" s="2">
        <v>2020</v>
      </c>
      <c r="AK3" s="2">
        <v>2021</v>
      </c>
      <c r="AL3" s="2">
        <v>2022</v>
      </c>
      <c r="AM3" s="2">
        <v>2023</v>
      </c>
      <c r="AN3" s="2">
        <v>2024</v>
      </c>
      <c r="AO3" s="2">
        <v>2025</v>
      </c>
      <c r="AP3" s="2">
        <v>2026</v>
      </c>
      <c r="AQ3" s="66"/>
      <c r="AR3" s="37"/>
      <c r="AS3" s="38">
        <v>2016</v>
      </c>
      <c r="AT3" s="38">
        <v>2017</v>
      </c>
      <c r="AU3" s="38">
        <v>2018</v>
      </c>
      <c r="AV3" s="38">
        <v>2019</v>
      </c>
      <c r="AW3" s="38">
        <v>2020</v>
      </c>
      <c r="AX3" s="38">
        <v>2021</v>
      </c>
      <c r="AY3" s="38">
        <v>2022</v>
      </c>
      <c r="AZ3" s="38">
        <v>2023</v>
      </c>
      <c r="BA3" s="38">
        <v>2024</v>
      </c>
      <c r="BB3" s="38">
        <v>2025</v>
      </c>
      <c r="BC3" s="39">
        <v>2026</v>
      </c>
      <c r="BF3" s="49">
        <v>2016</v>
      </c>
      <c r="BG3" s="50">
        <v>2017</v>
      </c>
      <c r="BH3" s="50">
        <v>2018</v>
      </c>
      <c r="BI3" s="50">
        <v>2019</v>
      </c>
      <c r="BJ3" s="50">
        <v>2020</v>
      </c>
      <c r="BK3" s="50">
        <v>2021</v>
      </c>
      <c r="BL3" s="50">
        <v>2022</v>
      </c>
      <c r="BM3" s="50">
        <v>2023</v>
      </c>
      <c r="BN3" s="50">
        <v>2024</v>
      </c>
      <c r="BO3" s="50">
        <v>2025</v>
      </c>
      <c r="BP3" s="51">
        <v>2026</v>
      </c>
    </row>
    <row r="4" spans="1:68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16</v>
      </c>
      <c r="D4" s="3" t="s">
        <v>17</v>
      </c>
      <c r="E4" s="3" t="s">
        <v>18</v>
      </c>
      <c r="F4" s="3" t="s">
        <v>19</v>
      </c>
      <c r="G4" s="3" t="s">
        <v>20</v>
      </c>
      <c r="H4" s="3" t="s">
        <v>21</v>
      </c>
      <c r="I4" s="3" t="s">
        <v>22</v>
      </c>
      <c r="J4" s="3" t="s">
        <v>23</v>
      </c>
      <c r="K4" s="3" t="s">
        <v>24</v>
      </c>
      <c r="L4" s="3" t="s">
        <v>25</v>
      </c>
      <c r="M4" s="3" t="s">
        <v>26</v>
      </c>
      <c r="N4" s="3" t="s">
        <v>27</v>
      </c>
      <c r="O4" s="6" t="s">
        <v>27</v>
      </c>
      <c r="P4" s="3" t="str">
        <f>'Model names'!C2</f>
        <v>BFW</v>
      </c>
      <c r="Q4" s="15">
        <f>[15]Total_Reports!B273</f>
        <v>3.6664840227604143E-4</v>
      </c>
      <c r="R4" s="15">
        <f>[15]Total_Reports!C273</f>
        <v>3.2577372621744872E-9</v>
      </c>
      <c r="S4" s="15">
        <f ca="1">[15]Total_Reports!D273</f>
        <v>-5.7597305549442243E-2</v>
      </c>
      <c r="T4" s="15">
        <f ca="1">[15]Total_Reports!E273</f>
        <v>-4.4033552426224795E-2</v>
      </c>
      <c r="U4" s="15">
        <f ca="1">[15]Total_Reports!F273</f>
        <v>-5.477001618798448E-2</v>
      </c>
      <c r="V4" s="15">
        <f ca="1">[15]Total_Reports!G273</f>
        <v>6.9674880680124254</v>
      </c>
      <c r="W4" s="15">
        <f ca="1">[15]Total_Reports!H273</f>
        <v>-4.6575443976162756E-2</v>
      </c>
      <c r="X4" s="15">
        <f ca="1">[15]Total_Reports!I273</f>
        <v>-4.1863179578076393E-2</v>
      </c>
      <c r="Y4" s="15">
        <f ca="1">[15]Total_Reports!J273</f>
        <v>0.21695712627144148</v>
      </c>
      <c r="Z4" s="15">
        <f ca="1">[15]Total_Reports!K273</f>
        <v>-7.0755114316705114E-3</v>
      </c>
      <c r="AA4" s="15">
        <f ca="1">[15]Total_Reports!L273</f>
        <v>-7.1144118017089086E-3</v>
      </c>
      <c r="AB4" s="115">
        <f ca="1">[15]Total_Reports!L273</f>
        <v>-7.1144118017089086E-3</v>
      </c>
      <c r="AC4" s="8"/>
      <c r="AE4" t="s">
        <v>195</v>
      </c>
      <c r="AF4" s="41">
        <v>32.900472407519814</v>
      </c>
      <c r="AG4" s="42">
        <v>-2.1511052918793211E-2</v>
      </c>
      <c r="AH4" s="42">
        <v>-248.46491446930827</v>
      </c>
      <c r="AI4" s="42">
        <v>667.05228489224305</v>
      </c>
      <c r="AJ4" s="42">
        <v>41.092989014777913</v>
      </c>
      <c r="AK4" s="42">
        <v>70.103807951411909</v>
      </c>
      <c r="AL4" s="42">
        <v>64.581462516671309</v>
      </c>
      <c r="AM4" s="42">
        <v>69.434264154214361</v>
      </c>
      <c r="AN4" s="42">
        <v>68.949795532709686</v>
      </c>
      <c r="AO4" s="42">
        <v>68.162464303677552</v>
      </c>
      <c r="AP4" s="43">
        <v>68.888272434850478</v>
      </c>
      <c r="AR4" s="37" t="s">
        <v>195</v>
      </c>
      <c r="AS4" s="31">
        <f t="shared" ref="AS4:BC13" si="1">VLOOKUP($AE4,$P$4:$AA$22,AS$2,FALSE)</f>
        <v>-2.2548755235970021E-2</v>
      </c>
      <c r="AT4" s="31">
        <f t="shared" si="1"/>
        <v>37.062157065993631</v>
      </c>
      <c r="AU4" s="31">
        <f t="shared" si="1"/>
        <v>-41.68434629876856</v>
      </c>
      <c r="AV4" s="31">
        <f t="shared" si="1"/>
        <v>64.270243759218829</v>
      </c>
      <c r="AW4" s="31">
        <f t="shared" si="1"/>
        <v>17.803494761968977</v>
      </c>
      <c r="AX4" s="31">
        <f t="shared" si="1"/>
        <v>37.16097315828938</v>
      </c>
      <c r="AY4" s="31">
        <f t="shared" si="1"/>
        <v>33.492054164059482</v>
      </c>
      <c r="AZ4" s="31">
        <f t="shared" si="1"/>
        <v>38.040230130307464</v>
      </c>
      <c r="BA4" s="31">
        <f t="shared" si="1"/>
        <v>40.686318579369072</v>
      </c>
      <c r="BB4" s="31">
        <f t="shared" si="1"/>
        <v>34.303081694956745</v>
      </c>
      <c r="BC4" s="31">
        <f t="shared" si="1"/>
        <v>32.572757796991937</v>
      </c>
      <c r="BD4" s="15"/>
      <c r="BE4" t="s">
        <v>195</v>
      </c>
      <c r="BF4" s="52">
        <f>IF(AND(AS4&lt;1,AF4&lt;1),0,((AS4/AF4)-1))</f>
        <v>-1.0006853626585257</v>
      </c>
      <c r="BG4" s="53">
        <f t="shared" ref="BG4:BP4" si="2">IF(AND(AT4&lt;1,AG4&lt;1),0,((AT4/AG4)-1))</f>
        <v>-1723.9355162626252</v>
      </c>
      <c r="BH4" s="53">
        <f t="shared" si="2"/>
        <v>0</v>
      </c>
      <c r="BI4" s="53">
        <f t="shared" si="2"/>
        <v>-0.90365036562373646</v>
      </c>
      <c r="BJ4" s="53">
        <f t="shared" si="2"/>
        <v>-0.56675103980471064</v>
      </c>
      <c r="BK4" s="53">
        <f t="shared" si="2"/>
        <v>-0.46991505534128486</v>
      </c>
      <c r="BL4" s="53">
        <f t="shared" si="2"/>
        <v>-0.48139833229367157</v>
      </c>
      <c r="BM4" s="53">
        <f t="shared" si="2"/>
        <v>-0.4521403719953071</v>
      </c>
      <c r="BN4" s="53">
        <f t="shared" si="2"/>
        <v>-0.40991386174499189</v>
      </c>
      <c r="BO4" s="53">
        <f t="shared" si="2"/>
        <v>-0.49674528282707642</v>
      </c>
      <c r="BP4" s="54">
        <f t="shared" si="2"/>
        <v>-0.52716541370961389</v>
      </c>
    </row>
    <row r="5" spans="1:68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H5" s="3" t="s">
        <v>21</v>
      </c>
      <c r="I5" s="3" t="s">
        <v>22</v>
      </c>
      <c r="J5" s="3" t="s">
        <v>23</v>
      </c>
      <c r="K5" s="3" t="s">
        <v>24</v>
      </c>
      <c r="L5" s="3" t="s">
        <v>25</v>
      </c>
      <c r="M5" s="3" t="s">
        <v>26</v>
      </c>
      <c r="N5" s="3" t="s">
        <v>27</v>
      </c>
      <c r="O5" s="6" t="s">
        <v>27</v>
      </c>
      <c r="P5" s="3" t="str">
        <f>'Model names'!C3</f>
        <v>CA</v>
      </c>
      <c r="Q5" s="15">
        <f>[17]Total_Reports!B273</f>
        <v>6.671143637504429E-13</v>
      </c>
      <c r="R5" s="15">
        <f>[17]Total_Reports!C273</f>
        <v>-8.7779108071117668E-10</v>
      </c>
      <c r="S5" s="15">
        <f>[17]Total_Reports!D273</f>
        <v>-11.837478098212159</v>
      </c>
      <c r="T5" s="15">
        <f>[17]Total_Reports!E273</f>
        <v>-0.6857747504609506</v>
      </c>
      <c r="U5" s="15">
        <f>[17]Total_Reports!F273</f>
        <v>-2.9198798829197585</v>
      </c>
      <c r="V5" s="15">
        <f>[17]Total_Reports!G273</f>
        <v>84.921232646407589</v>
      </c>
      <c r="W5" s="15">
        <f>[17]Total_Reports!H273</f>
        <v>84.443546994330518</v>
      </c>
      <c r="X5" s="15">
        <f>[17]Total_Reports!I273</f>
        <v>134.69253297588239</v>
      </c>
      <c r="Y5" s="15">
        <f>[17]Total_Reports!J273</f>
        <v>116.9029164434055</v>
      </c>
      <c r="Z5" s="15">
        <f>[17]Total_Reports!K273</f>
        <v>123.26979634302461</v>
      </c>
      <c r="AA5" s="15">
        <f>[17]Total_Reports!L273</f>
        <v>116.08076223465469</v>
      </c>
      <c r="AB5" s="115">
        <f>[17]Total_Reports!L273</f>
        <v>116.08076223465469</v>
      </c>
      <c r="AC5" s="8"/>
      <c r="AE5" t="s">
        <v>201</v>
      </c>
      <c r="AF5" s="44">
        <v>-361.9999992270246</v>
      </c>
      <c r="AG5" s="15">
        <v>1.2689270079135895E-11</v>
      </c>
      <c r="AH5" s="15">
        <v>5440.0573583588493</v>
      </c>
      <c r="AI5" s="15">
        <v>5196.7590898401104</v>
      </c>
      <c r="AJ5" s="15">
        <v>2652.1362209863382</v>
      </c>
      <c r="AK5" s="15">
        <v>3926.2586277066775</v>
      </c>
      <c r="AL5" s="15">
        <v>4283.8406196047808</v>
      </c>
      <c r="AM5" s="15">
        <v>5092.7792675213868</v>
      </c>
      <c r="AN5" s="15">
        <v>7307.0285544638537</v>
      </c>
      <c r="AO5" s="15">
        <v>6353.5461160231998</v>
      </c>
      <c r="AP5" s="45">
        <v>6756.6825966178531</v>
      </c>
      <c r="AR5" s="37" t="s">
        <v>201</v>
      </c>
      <c r="AS5" s="31">
        <f t="shared" si="1"/>
        <v>-6.7055225372314448E-11</v>
      </c>
      <c r="AT5" s="31">
        <f t="shared" si="1"/>
        <v>-3.8343018240993844E-7</v>
      </c>
      <c r="AU5" s="31">
        <f t="shared" si="1"/>
        <v>6.9717003327345424</v>
      </c>
      <c r="AV5" s="31">
        <f t="shared" si="1"/>
        <v>9.0527581637667254</v>
      </c>
      <c r="AW5" s="31">
        <f t="shared" si="1"/>
        <v>8.7151835145359655</v>
      </c>
      <c r="AX5" s="31">
        <f t="shared" si="1"/>
        <v>7.4170799479916241</v>
      </c>
      <c r="AY5" s="31">
        <f t="shared" si="1"/>
        <v>11.99786768565491</v>
      </c>
      <c r="AZ5" s="31">
        <f t="shared" si="1"/>
        <v>7.7994502643555279</v>
      </c>
      <c r="BA5" s="31">
        <f t="shared" si="1"/>
        <v>7.5064249042916344</v>
      </c>
      <c r="BB5" s="31">
        <f t="shared" si="1"/>
        <v>8.1990388348822307</v>
      </c>
      <c r="BC5" s="31">
        <f t="shared" si="1"/>
        <v>8.102507423634961</v>
      </c>
      <c r="BD5" s="15"/>
      <c r="BE5" t="s">
        <v>201</v>
      </c>
      <c r="BF5" s="55">
        <f t="shared" ref="BF5:BF22" si="3">IF(AND(AS5&lt;1,AF5&lt;1),0,((AS5/AF5)-1))</f>
        <v>0</v>
      </c>
      <c r="BG5" s="56">
        <f t="shared" ref="BG5:BG22" si="4">IF(AND(AT5&lt;1,AG5&lt;1),0,((AT5/AG5)-1))</f>
        <v>0</v>
      </c>
      <c r="BH5" s="56">
        <f t="shared" ref="BH5:BH22" si="5">IF(AND(AU5&lt;1,AH5&lt;1),0,((AU5/AH5)-1))</f>
        <v>-0.99871845095125289</v>
      </c>
      <c r="BI5" s="56">
        <f t="shared" ref="BI5:BI22" si="6">IF(AND(AV5&lt;1,AI5&lt;1),0,((AV5/AI5)-1))</f>
        <v>-0.99825799926314362</v>
      </c>
      <c r="BJ5" s="56">
        <f t="shared" ref="BJ5:BJ22" si="7">IF(AND(AW5&lt;1,AJ5&lt;1),0,((AW5/AJ5)-1))</f>
        <v>-0.99671390049818231</v>
      </c>
      <c r="BK5" s="56">
        <f t="shared" ref="BK5:BK22" si="8">IF(AND(AX5&lt;1,AK5&lt;1),0,((AX5/AK5)-1))</f>
        <v>-0.99811090387789259</v>
      </c>
      <c r="BL5" s="56">
        <f t="shared" ref="BL5:BL22" si="9">IF(AND(AY5&lt;1,AL5&lt;1),0,((AY5/AL5)-1))</f>
        <v>-0.99719927309369372</v>
      </c>
      <c r="BM5" s="56">
        <f t="shared" ref="BM5:BM22" si="10">IF(AND(AZ5&lt;1,AM5&lt;1),0,((AZ5/AM5)-1))</f>
        <v>-0.99846852772235872</v>
      </c>
      <c r="BN5" s="56">
        <f t="shared" ref="BN5:BN22" si="11">IF(AND(BA5&lt;1,AN5&lt;1),0,((BA5/AN5)-1))</f>
        <v>-0.99897271170512858</v>
      </c>
      <c r="BO5" s="56">
        <f t="shared" ref="BO5:BO22" si="12">IF(AND(BB5&lt;1,AO5&lt;1),0,((BB5/AO5)-1))</f>
        <v>-0.99870953343453273</v>
      </c>
      <c r="BP5" s="57">
        <f t="shared" ref="BP5:BP22" si="13">IF(AND(BC5&lt;1,AP5&lt;1),0,((BC5/AP5)-1))</f>
        <v>-0.9988008157394147</v>
      </c>
    </row>
    <row r="6" spans="1:68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16</v>
      </c>
      <c r="D6" s="3" t="s">
        <v>17</v>
      </c>
      <c r="E6" s="3" t="s">
        <v>18</v>
      </c>
      <c r="F6" s="3" t="s">
        <v>19</v>
      </c>
      <c r="G6" s="3" t="s">
        <v>20</v>
      </c>
      <c r="H6" s="3" t="s">
        <v>21</v>
      </c>
      <c r="I6" s="3" t="s">
        <v>22</v>
      </c>
      <c r="J6" s="3" t="s">
        <v>23</v>
      </c>
      <c r="K6" s="3" t="s">
        <v>24</v>
      </c>
      <c r="L6" s="3" t="s">
        <v>25</v>
      </c>
      <c r="M6" s="3" t="s">
        <v>26</v>
      </c>
      <c r="N6" s="3" t="s">
        <v>27</v>
      </c>
      <c r="O6" s="6" t="s">
        <v>27</v>
      </c>
      <c r="P6" s="3" t="str">
        <f>'Model names'!C4</f>
        <v>ETS</v>
      </c>
      <c r="Q6" s="15">
        <f>[19]Total_Reports!B273</f>
        <v>1.000263834837824E-3</v>
      </c>
      <c r="R6" s="15">
        <f>[19]Total_Reports!C273</f>
        <v>-2.9362850126810371E-2</v>
      </c>
      <c r="S6" s="15">
        <f>[19]Total_Reports!D273</f>
        <v>203.87623569685758</v>
      </c>
      <c r="T6" s="15">
        <f>[19]Total_Reports!E273</f>
        <v>450.61375797397204</v>
      </c>
      <c r="U6" s="15">
        <f>[19]Total_Reports!F273</f>
        <v>711.79278293642506</v>
      </c>
      <c r="V6" s="15">
        <f>[19]Total_Reports!G273</f>
        <v>687.58496410685348</v>
      </c>
      <c r="W6" s="15">
        <f>[19]Total_Reports!H273</f>
        <v>535.86206497729245</v>
      </c>
      <c r="X6" s="15">
        <f>[19]Total_Reports!I273</f>
        <v>535.86206497729245</v>
      </c>
      <c r="Y6" s="15">
        <f>[19]Total_Reports!J273</f>
        <v>535.86206497729245</v>
      </c>
      <c r="Z6" s="15">
        <f>[19]Total_Reports!K273</f>
        <v>535.86206497729245</v>
      </c>
      <c r="AA6" s="15">
        <f>[19]Total_Reports!L273</f>
        <v>613.86206497729245</v>
      </c>
      <c r="AB6" s="115">
        <f>[19]Total_Reports!L273</f>
        <v>613.86206497729245</v>
      </c>
      <c r="AC6" s="8"/>
      <c r="AE6" t="s">
        <v>194</v>
      </c>
      <c r="AF6" s="44">
        <v>-2.5305165909230711E-6</v>
      </c>
      <c r="AG6" s="15">
        <v>1.0695027477324402E-2</v>
      </c>
      <c r="AH6" s="15">
        <v>282.52504184937015</v>
      </c>
      <c r="AI6" s="15">
        <v>324.97795150216405</v>
      </c>
      <c r="AJ6" s="15">
        <v>348.79965015860375</v>
      </c>
      <c r="AK6" s="15">
        <v>237.22168892381407</v>
      </c>
      <c r="AL6" s="15">
        <v>228.72388117956052</v>
      </c>
      <c r="AM6" s="15">
        <v>210.39189558577371</v>
      </c>
      <c r="AN6" s="15">
        <v>305.76218294108753</v>
      </c>
      <c r="AO6" s="15">
        <v>416.3683871688844</v>
      </c>
      <c r="AP6" s="45">
        <v>434.38377107445444</v>
      </c>
      <c r="AR6" s="37" t="s">
        <v>194</v>
      </c>
      <c r="AS6" s="31">
        <f t="shared" si="1"/>
        <v>1.0695027477107943E-2</v>
      </c>
      <c r="AT6" s="31">
        <f t="shared" si="1"/>
        <v>1.1761259785071161E-3</v>
      </c>
      <c r="AU6" s="31">
        <f t="shared" si="1"/>
        <v>9.1106833802514728</v>
      </c>
      <c r="AV6" s="31">
        <f t="shared" si="1"/>
        <v>0.11162586424578924</v>
      </c>
      <c r="AW6" s="31">
        <f t="shared" si="1"/>
        <v>0.10937308298626514</v>
      </c>
      <c r="AX6" s="31">
        <f t="shared" si="1"/>
        <v>0.11809474763398464</v>
      </c>
      <c r="AY6" s="31">
        <f t="shared" si="1"/>
        <v>0.12462699885217043</v>
      </c>
      <c r="AZ6" s="31">
        <f t="shared" si="1"/>
        <v>0.12104117315548457</v>
      </c>
      <c r="BA6" s="31">
        <f t="shared" si="1"/>
        <v>0.1341431893378483</v>
      </c>
      <c r="BB6" s="31">
        <f t="shared" si="1"/>
        <v>0.14792457452893426</v>
      </c>
      <c r="BC6" s="31">
        <f t="shared" si="1"/>
        <v>2.2367300390428113</v>
      </c>
      <c r="BD6" s="15"/>
      <c r="BE6" t="s">
        <v>194</v>
      </c>
      <c r="BF6" s="55">
        <f t="shared" si="3"/>
        <v>0</v>
      </c>
      <c r="BG6" s="56">
        <f t="shared" si="4"/>
        <v>0</v>
      </c>
      <c r="BH6" s="56">
        <f t="shared" si="5"/>
        <v>-0.96775265186896642</v>
      </c>
      <c r="BI6" s="56">
        <f t="shared" si="6"/>
        <v>-0.99965651249960241</v>
      </c>
      <c r="BJ6" s="56">
        <f t="shared" si="7"/>
        <v>-0.99968643006684055</v>
      </c>
      <c r="BK6" s="56">
        <f t="shared" si="8"/>
        <v>-0.99950217558870891</v>
      </c>
      <c r="BL6" s="56">
        <f t="shared" si="9"/>
        <v>-0.99945512030396888</v>
      </c>
      <c r="BM6" s="56">
        <f t="shared" si="10"/>
        <v>-0.99942468709253995</v>
      </c>
      <c r="BN6" s="56">
        <f t="shared" si="11"/>
        <v>-0.99956128260189814</v>
      </c>
      <c r="BO6" s="56">
        <f t="shared" si="12"/>
        <v>-0.99964472669134474</v>
      </c>
      <c r="BP6" s="57">
        <f t="shared" si="13"/>
        <v>-0.99485079741006388</v>
      </c>
    </row>
    <row r="7" spans="1:68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16</v>
      </c>
      <c r="D7" s="3" t="s">
        <v>17</v>
      </c>
      <c r="E7" s="3" t="s">
        <v>18</v>
      </c>
      <c r="F7" s="3" t="s">
        <v>19</v>
      </c>
      <c r="G7" s="3" t="s">
        <v>20</v>
      </c>
      <c r="H7" s="3" t="s">
        <v>21</v>
      </c>
      <c r="I7" s="3" t="s">
        <v>22</v>
      </c>
      <c r="J7" s="3" t="s">
        <v>23</v>
      </c>
      <c r="K7" s="3" t="s">
        <v>24</v>
      </c>
      <c r="L7" s="3" t="s">
        <v>25</v>
      </c>
      <c r="M7" s="3" t="s">
        <v>26</v>
      </c>
      <c r="N7" s="3" t="s">
        <v>27</v>
      </c>
      <c r="O7" s="6" t="s">
        <v>27</v>
      </c>
      <c r="P7" s="3" t="str">
        <f>'Model names'!C5</f>
        <v>HI</v>
      </c>
      <c r="Q7" s="15">
        <f>[21]Total_Reports!B273</f>
        <v>9.5724320137158268E-13</v>
      </c>
      <c r="R7" s="15">
        <f>[21]Total_Reports!C273</f>
        <v>8.7720766761556493E-13</v>
      </c>
      <c r="S7" s="15">
        <f>[21]Total_Reports!D273</f>
        <v>-2.3476925939275475</v>
      </c>
      <c r="T7" s="15">
        <f>[21]Total_Reports!E273</f>
        <v>1002.6920175189443</v>
      </c>
      <c r="U7" s="15">
        <f>[21]Total_Reports!F273</f>
        <v>327.46486924147678</v>
      </c>
      <c r="V7" s="15">
        <f>[21]Total_Reports!G273</f>
        <v>503.4256511010442</v>
      </c>
      <c r="W7" s="15">
        <f>[21]Total_Reports!H273</f>
        <v>18.489557729912917</v>
      </c>
      <c r="X7" s="15">
        <f>[21]Total_Reports!I273</f>
        <v>21.096885592693226</v>
      </c>
      <c r="Y7" s="15">
        <f>[21]Total_Reports!J273</f>
        <v>1016.1405193071598</v>
      </c>
      <c r="Z7" s="15">
        <f>[21]Total_Reports!K273</f>
        <v>1017.7814135381327</v>
      </c>
      <c r="AA7" s="15">
        <f>[21]Total_Reports!L273</f>
        <v>1016.9670278872261</v>
      </c>
      <c r="AB7" s="115">
        <f>[21]Total_Reports!L273</f>
        <v>1016.9670278872261</v>
      </c>
      <c r="AC7" s="8"/>
      <c r="AE7" t="s">
        <v>199</v>
      </c>
      <c r="AF7" s="44">
        <v>9.5076910246163604E-2</v>
      </c>
      <c r="AG7" s="15">
        <v>-2.9743868374498556E-4</v>
      </c>
      <c r="AH7" s="15">
        <v>-315.13758138051435</v>
      </c>
      <c r="AI7" s="15">
        <v>-674.16429772785887</v>
      </c>
      <c r="AJ7" s="15">
        <v>-649.06991311030833</v>
      </c>
      <c r="AK7" s="15">
        <v>9603.2498316271995</v>
      </c>
      <c r="AL7" s="15">
        <v>-1461.0837725975216</v>
      </c>
      <c r="AM7" s="15">
        <v>-1441.6836920648238</v>
      </c>
      <c r="AN7" s="15">
        <v>-2208.1437091624903</v>
      </c>
      <c r="AO7" s="15">
        <v>-2792.7715703587937</v>
      </c>
      <c r="AP7" s="45">
        <v>-2827.8644190649475</v>
      </c>
      <c r="AR7" s="37" t="s">
        <v>199</v>
      </c>
      <c r="AS7" s="31">
        <f t="shared" si="1"/>
        <v>-6.3767212629318234E-4</v>
      </c>
      <c r="AT7" s="31">
        <f t="shared" si="1"/>
        <v>2206.3497968664051</v>
      </c>
      <c r="AU7" s="31">
        <f t="shared" si="1"/>
        <v>2425.5510353180994</v>
      </c>
      <c r="AV7" s="31">
        <f t="shared" si="1"/>
        <v>2019.548947300857</v>
      </c>
      <c r="AW7" s="31">
        <f t="shared" si="1"/>
        <v>2426.3466858124962</v>
      </c>
      <c r="AX7" s="31">
        <f t="shared" si="1"/>
        <v>2567.1162432831652</v>
      </c>
      <c r="AY7" s="31">
        <f t="shared" si="1"/>
        <v>2208.6579597285754</v>
      </c>
      <c r="AZ7" s="31">
        <f t="shared" si="1"/>
        <v>2408.834317540809</v>
      </c>
      <c r="BA7" s="31">
        <f t="shared" si="1"/>
        <v>2397.9449966605544</v>
      </c>
      <c r="BB7" s="31">
        <f t="shared" si="1"/>
        <v>2535.8907068685903</v>
      </c>
      <c r="BC7" s="31">
        <f t="shared" si="1"/>
        <v>2407.6395254155723</v>
      </c>
      <c r="BD7" s="15"/>
      <c r="BE7" t="s">
        <v>199</v>
      </c>
      <c r="BF7" s="55">
        <f t="shared" si="3"/>
        <v>0</v>
      </c>
      <c r="BG7" s="56">
        <f t="shared" si="4"/>
        <v>-7417831.6906376006</v>
      </c>
      <c r="BH7" s="56">
        <f t="shared" si="5"/>
        <v>-8.6968003139852641</v>
      </c>
      <c r="BI7" s="56">
        <f t="shared" si="6"/>
        <v>-3.9956331922461015</v>
      </c>
      <c r="BJ7" s="56">
        <f t="shared" si="7"/>
        <v>-4.7381900420951144</v>
      </c>
      <c r="BK7" s="56">
        <f t="shared" si="8"/>
        <v>-0.73268255139747973</v>
      </c>
      <c r="BL7" s="56">
        <f t="shared" si="9"/>
        <v>-2.5116573061392726</v>
      </c>
      <c r="BM7" s="56">
        <f t="shared" si="10"/>
        <v>-2.6708480027895733</v>
      </c>
      <c r="BN7" s="56">
        <f t="shared" si="11"/>
        <v>-2.0859551335859621</v>
      </c>
      <c r="BO7" s="56">
        <f t="shared" si="12"/>
        <v>-1.9080193789507813</v>
      </c>
      <c r="BP7" s="57">
        <f t="shared" si="13"/>
        <v>-1.8513985002900792</v>
      </c>
    </row>
    <row r="8" spans="1:68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16</v>
      </c>
      <c r="D8" s="3" t="s">
        <v>17</v>
      </c>
      <c r="E8" s="3" t="s">
        <v>18</v>
      </c>
      <c r="F8" s="3" t="s">
        <v>19</v>
      </c>
      <c r="G8" s="3" t="s">
        <v>20</v>
      </c>
      <c r="H8" s="3" t="s">
        <v>21</v>
      </c>
      <c r="I8" s="3" t="s">
        <v>22</v>
      </c>
      <c r="J8" s="3" t="s">
        <v>23</v>
      </c>
      <c r="K8" s="3" t="s">
        <v>24</v>
      </c>
      <c r="L8" s="3" t="s">
        <v>25</v>
      </c>
      <c r="M8" s="3" t="s">
        <v>26</v>
      </c>
      <c r="N8" s="3" t="s">
        <v>27</v>
      </c>
      <c r="O8" s="6" t="s">
        <v>27</v>
      </c>
      <c r="P8" s="3" t="str">
        <f>'Model names'!C6</f>
        <v>IA</v>
      </c>
      <c r="Q8" s="15">
        <f>[23]Total_Reports!B273</f>
        <v>-1.4901161193847657E-11</v>
      </c>
      <c r="R8" s="15">
        <f>[23]Total_Reports!C273</f>
        <v>266.79733186799899</v>
      </c>
      <c r="S8" s="15">
        <f>[23]Total_Reports!D273</f>
        <v>267.55007500801162</v>
      </c>
      <c r="T8" s="15">
        <f>[23]Total_Reports!E273</f>
        <v>266.17317942074294</v>
      </c>
      <c r="U8" s="15">
        <f>[23]Total_Reports!F273</f>
        <v>268.21573313484726</v>
      </c>
      <c r="V8" s="15">
        <f>[23]Total_Reports!G273</f>
        <v>272.97133670938285</v>
      </c>
      <c r="W8" s="15">
        <f>[23]Total_Reports!H273</f>
        <v>272.15294519035371</v>
      </c>
      <c r="X8" s="15">
        <f>[23]Total_Reports!I273</f>
        <v>283.87320749259061</v>
      </c>
      <c r="Y8" s="15">
        <f>[23]Total_Reports!J273</f>
        <v>285.61720093755605</v>
      </c>
      <c r="Z8" s="15">
        <f>[23]Total_Reports!K273</f>
        <v>284.00695800950746</v>
      </c>
      <c r="AA8" s="15">
        <f>[23]Total_Reports!L273</f>
        <v>283.34052312551103</v>
      </c>
      <c r="AB8" s="115">
        <f>[23]Total_Reports!L273</f>
        <v>283.34052312551103</v>
      </c>
      <c r="AC8" s="8"/>
      <c r="AE8" t="s">
        <v>200</v>
      </c>
      <c r="AF8" s="44">
        <v>-1.4669532692059874E-3</v>
      </c>
      <c r="AG8" s="15">
        <v>-1.3077969203460076</v>
      </c>
      <c r="AH8" s="15">
        <v>-28.215444701006504</v>
      </c>
      <c r="AI8" s="15">
        <v>-30.376839424540435</v>
      </c>
      <c r="AJ8" s="15">
        <v>-30.68685077248702</v>
      </c>
      <c r="AK8" s="15">
        <v>-1363.7257305635151</v>
      </c>
      <c r="AL8" s="15">
        <v>-127.79562548955336</v>
      </c>
      <c r="AM8" s="15">
        <v>-127.27134966601433</v>
      </c>
      <c r="AN8" s="15">
        <v>-179.87241622556556</v>
      </c>
      <c r="AO8" s="15">
        <v>-296.44663760018841</v>
      </c>
      <c r="AP8" s="45">
        <v>-315.70972411471155</v>
      </c>
      <c r="AR8" s="37" t="s">
        <v>200</v>
      </c>
      <c r="AS8" s="31">
        <f t="shared" si="1"/>
        <v>33.488139999999667</v>
      </c>
      <c r="AT8" s="31">
        <f t="shared" si="1"/>
        <v>-0.23934113548904593</v>
      </c>
      <c r="AU8" s="31">
        <f t="shared" si="1"/>
        <v>59.939865145862569</v>
      </c>
      <c r="AV8" s="31">
        <f t="shared" si="1"/>
        <v>-9.3690323276549208</v>
      </c>
      <c r="AW8" s="31">
        <f t="shared" si="1"/>
        <v>7.5376399012735362</v>
      </c>
      <c r="AX8" s="31">
        <f t="shared" si="1"/>
        <v>-25.743654102317123</v>
      </c>
      <c r="AY8" s="31">
        <f t="shared" si="1"/>
        <v>21.448327885228537</v>
      </c>
      <c r="AZ8" s="31">
        <f t="shared" si="1"/>
        <v>15.244225610353624</v>
      </c>
      <c r="BA8" s="31">
        <f t="shared" si="1"/>
        <v>22.603502382028182</v>
      </c>
      <c r="BB8" s="31">
        <f t="shared" si="1"/>
        <v>36.217494368113876</v>
      </c>
      <c r="BC8" s="31">
        <f t="shared" si="1"/>
        <v>33.944308046033257</v>
      </c>
      <c r="BD8" s="15"/>
      <c r="BE8" t="s">
        <v>200</v>
      </c>
      <c r="BF8" s="55">
        <f t="shared" si="3"/>
        <v>-22829.361818318641</v>
      </c>
      <c r="BG8" s="56">
        <f t="shared" si="4"/>
        <v>0</v>
      </c>
      <c r="BH8" s="56">
        <f t="shared" si="5"/>
        <v>-3.1243636519301212</v>
      </c>
      <c r="BI8" s="56">
        <f t="shared" si="6"/>
        <v>0</v>
      </c>
      <c r="BJ8" s="56">
        <f t="shared" si="7"/>
        <v>-1.2456309367539133</v>
      </c>
      <c r="BK8" s="56">
        <f t="shared" si="8"/>
        <v>0</v>
      </c>
      <c r="BL8" s="56">
        <f t="shared" si="9"/>
        <v>-1.1678330365618175</v>
      </c>
      <c r="BM8" s="56">
        <f t="shared" si="10"/>
        <v>-1.1197773548434706</v>
      </c>
      <c r="BN8" s="56">
        <f t="shared" si="11"/>
        <v>-1.1256640837785972</v>
      </c>
      <c r="BO8" s="56">
        <f t="shared" si="12"/>
        <v>-1.1221720531604062</v>
      </c>
      <c r="BP8" s="57">
        <f t="shared" si="13"/>
        <v>-1.1075174613047387</v>
      </c>
    </row>
    <row r="9" spans="1:68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16</v>
      </c>
      <c r="D9" s="3" t="s">
        <v>17</v>
      </c>
      <c r="E9" s="3" t="s">
        <v>18</v>
      </c>
      <c r="F9" s="3" t="s">
        <v>19</v>
      </c>
      <c r="G9" s="3" t="s">
        <v>20</v>
      </c>
      <c r="H9" s="3" t="s">
        <v>21</v>
      </c>
      <c r="I9" s="3" t="s">
        <v>22</v>
      </c>
      <c r="J9" s="3" t="s">
        <v>23</v>
      </c>
      <c r="K9" s="3" t="s">
        <v>24</v>
      </c>
      <c r="L9" s="3" t="s">
        <v>25</v>
      </c>
      <c r="M9" s="3" t="s">
        <v>26</v>
      </c>
      <c r="N9" s="3" t="s">
        <v>27</v>
      </c>
      <c r="O9" s="6" t="s">
        <v>27</v>
      </c>
      <c r="P9" s="3" t="str">
        <f>'Model names'!C7</f>
        <v>IL</v>
      </c>
      <c r="Q9" s="15">
        <f>[25]Total_Reports!B273</f>
        <v>-4.4896823167800903E-4</v>
      </c>
      <c r="R9" s="15">
        <f>[25]Total_Reports!C273</f>
        <v>-1.9999968717456795E-5</v>
      </c>
      <c r="S9" s="15">
        <f>[25]Total_Reports!D273</f>
        <v>-677.92022286044403</v>
      </c>
      <c r="T9" s="15">
        <f>[25]Total_Reports!E273</f>
        <v>815.47997129747137</v>
      </c>
      <c r="U9" s="15">
        <f>[25]Total_Reports!F273</f>
        <v>95.379251624578501</v>
      </c>
      <c r="V9" s="15">
        <f>[25]Total_Reports!G273</f>
        <v>111.21805838741466</v>
      </c>
      <c r="W9" s="15">
        <f>[25]Total_Reports!H273</f>
        <v>105.85232752710226</v>
      </c>
      <c r="X9" s="15">
        <f>[25]Total_Reports!I273</f>
        <v>122.75339513214408</v>
      </c>
      <c r="Y9" s="15">
        <f>[25]Total_Reports!J273</f>
        <v>159.45639340961679</v>
      </c>
      <c r="Z9" s="15">
        <f>[25]Total_Reports!K273</f>
        <v>156.11461182203038</v>
      </c>
      <c r="AA9" s="15">
        <f>[25]Total_Reports!L273</f>
        <v>153.75113384051565</v>
      </c>
      <c r="AB9" s="115">
        <f>[25]Total_Reports!L273</f>
        <v>153.75113384051565</v>
      </c>
      <c r="AC9" s="8"/>
      <c r="AE9" t="s">
        <v>202</v>
      </c>
      <c r="AF9" s="44">
        <v>-181.63193436810562</v>
      </c>
      <c r="AG9" s="15">
        <v>-1.3504177331924439E-11</v>
      </c>
      <c r="AH9" s="15">
        <v>-2.9053410541328049</v>
      </c>
      <c r="AI9" s="15">
        <v>30.319954064266085</v>
      </c>
      <c r="AJ9" s="15">
        <v>26.844884507433562</v>
      </c>
      <c r="AK9" s="15">
        <v>25.828863550537108</v>
      </c>
      <c r="AL9" s="15">
        <v>26.159605772736086</v>
      </c>
      <c r="AM9" s="15">
        <v>26.187617159247793</v>
      </c>
      <c r="AN9" s="15">
        <v>40.794239362885492</v>
      </c>
      <c r="AO9" s="15">
        <v>40.930021682258143</v>
      </c>
      <c r="AP9" s="45">
        <v>40.35693189974404</v>
      </c>
      <c r="AR9" s="37" t="s">
        <v>202</v>
      </c>
      <c r="AS9" s="31">
        <f t="shared" si="1"/>
        <v>-2.2351741790771485E-11</v>
      </c>
      <c r="AT9" s="31">
        <f t="shared" si="1"/>
        <v>1.6622983803245007E-6</v>
      </c>
      <c r="AU9" s="31">
        <f t="shared" si="1"/>
        <v>56.425067044255854</v>
      </c>
      <c r="AV9" s="31">
        <f t="shared" si="1"/>
        <v>57.037378043046374</v>
      </c>
      <c r="AW9" s="31">
        <f t="shared" si="1"/>
        <v>50.80220877160923</v>
      </c>
      <c r="AX9" s="31">
        <f t="shared" si="1"/>
        <v>57.371951076883079</v>
      </c>
      <c r="AY9" s="31">
        <f t="shared" si="1"/>
        <v>56.824607824451959</v>
      </c>
      <c r="AZ9" s="31">
        <f t="shared" si="1"/>
        <v>72.974883065587164</v>
      </c>
      <c r="BA9" s="31">
        <f t="shared" si="1"/>
        <v>73.137170083579804</v>
      </c>
      <c r="BB9" s="31">
        <f t="shared" si="1"/>
        <v>745.98676845900627</v>
      </c>
      <c r="BC9" s="31">
        <f t="shared" si="1"/>
        <v>6544.6049641199143</v>
      </c>
      <c r="BD9" s="15"/>
      <c r="BE9" t="s">
        <v>202</v>
      </c>
      <c r="BF9" s="55">
        <f t="shared" si="3"/>
        <v>0</v>
      </c>
      <c r="BG9" s="56">
        <f t="shared" si="4"/>
        <v>0</v>
      </c>
      <c r="BH9" s="56">
        <f t="shared" si="5"/>
        <v>-20.421150905499381</v>
      </c>
      <c r="BI9" s="56">
        <f t="shared" si="6"/>
        <v>0.88118286466233142</v>
      </c>
      <c r="BJ9" s="56">
        <f t="shared" si="7"/>
        <v>0.89243536352490893</v>
      </c>
      <c r="BK9" s="56">
        <f t="shared" si="8"/>
        <v>1.2212340455718595</v>
      </c>
      <c r="BL9" s="56">
        <f t="shared" si="9"/>
        <v>1.1722272238397178</v>
      </c>
      <c r="BM9" s="56">
        <f t="shared" si="10"/>
        <v>1.7866179126502582</v>
      </c>
      <c r="BN9" s="56">
        <f t="shared" si="11"/>
        <v>0.79283083165217283</v>
      </c>
      <c r="BO9" s="56">
        <f t="shared" si="12"/>
        <v>17.225906994385191</v>
      </c>
      <c r="BP9" s="57">
        <f t="shared" si="13"/>
        <v>161.16805034580497</v>
      </c>
    </row>
    <row r="10" spans="1:68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16</v>
      </c>
      <c r="D10" s="3" t="s">
        <v>17</v>
      </c>
      <c r="E10" s="3" t="s">
        <v>18</v>
      </c>
      <c r="F10" s="3" t="s">
        <v>19</v>
      </c>
      <c r="G10" s="3" t="s">
        <v>20</v>
      </c>
      <c r="H10" s="3" t="s">
        <v>21</v>
      </c>
      <c r="I10" s="3" t="s">
        <v>22</v>
      </c>
      <c r="J10" s="3" t="s">
        <v>23</v>
      </c>
      <c r="K10" s="3" t="s">
        <v>24</v>
      </c>
      <c r="L10" s="3" t="s">
        <v>25</v>
      </c>
      <c r="M10" s="3" t="s">
        <v>26</v>
      </c>
      <c r="N10" s="3" t="s">
        <v>27</v>
      </c>
      <c r="O10" s="6" t="s">
        <v>27</v>
      </c>
      <c r="P10" s="3" t="str">
        <f>'Model names'!C8</f>
        <v>IN</v>
      </c>
      <c r="Q10" s="15">
        <f>[27]Total_Reports!B273</f>
        <v>-2.2548755235970021E-2</v>
      </c>
      <c r="R10" s="15">
        <f>[27]Total_Reports!C273</f>
        <v>37.062157065993631</v>
      </c>
      <c r="S10" s="15">
        <f>[27]Total_Reports!D273</f>
        <v>-41.68434629876856</v>
      </c>
      <c r="T10" s="15">
        <f>[27]Total_Reports!E273</f>
        <v>64.270243759218829</v>
      </c>
      <c r="U10" s="15">
        <f>[27]Total_Reports!F273</f>
        <v>17.803494761968977</v>
      </c>
      <c r="V10" s="15">
        <f>[27]Total_Reports!G273</f>
        <v>37.16097315828938</v>
      </c>
      <c r="W10" s="15">
        <f>[27]Total_Reports!H273</f>
        <v>33.492054164059482</v>
      </c>
      <c r="X10" s="15">
        <f>[27]Total_Reports!I273</f>
        <v>38.040230130307464</v>
      </c>
      <c r="Y10" s="15">
        <f>[27]Total_Reports!J273</f>
        <v>40.686318579369072</v>
      </c>
      <c r="Z10" s="15">
        <f>[27]Total_Reports!K273</f>
        <v>34.303081694956745</v>
      </c>
      <c r="AA10" s="15">
        <f>[27]Total_Reports!L273</f>
        <v>32.572757796991937</v>
      </c>
      <c r="AB10" s="115">
        <f>[27]Total_Reports!L273</f>
        <v>32.572757796991937</v>
      </c>
      <c r="AC10" s="8"/>
      <c r="AE10" t="s">
        <v>203</v>
      </c>
      <c r="AF10" s="44">
        <v>11.862129403432133</v>
      </c>
      <c r="AG10" s="15">
        <v>0.42788800694613016</v>
      </c>
      <c r="AH10" s="15">
        <v>-5.7524268539552565</v>
      </c>
      <c r="AI10" s="15">
        <v>-309.24890808321135</v>
      </c>
      <c r="AJ10" s="15">
        <v>-444.49636415523628</v>
      </c>
      <c r="AK10" s="15">
        <v>3073.5297201934695</v>
      </c>
      <c r="AL10" s="15">
        <v>-1718.8162687305407</v>
      </c>
      <c r="AM10" s="15">
        <v>-1757.2825191788884</v>
      </c>
      <c r="AN10" s="15">
        <v>1097.3050568491594</v>
      </c>
      <c r="AO10" s="15">
        <v>4621.785051694611</v>
      </c>
      <c r="AP10" s="45">
        <v>239.20682249537742</v>
      </c>
      <c r="AR10" s="37" t="s">
        <v>203</v>
      </c>
      <c r="AS10" s="31">
        <f t="shared" si="1"/>
        <v>11.862129403331549</v>
      </c>
      <c r="AT10" s="31">
        <f t="shared" si="1"/>
        <v>86.992745068589329</v>
      </c>
      <c r="AU10" s="31">
        <f t="shared" si="1"/>
        <v>-785.26950094624772</v>
      </c>
      <c r="AV10" s="31">
        <f t="shared" si="1"/>
        <v>-216.93960578699807</v>
      </c>
      <c r="AW10" s="31">
        <f t="shared" si="1"/>
        <v>1304.6735442786039</v>
      </c>
      <c r="AX10" s="31">
        <f t="shared" si="1"/>
        <v>224.30880467180941</v>
      </c>
      <c r="AY10" s="31">
        <f t="shared" si="1"/>
        <v>221.19721564968359</v>
      </c>
      <c r="AZ10" s="31">
        <f t="shared" si="1"/>
        <v>308.69983155528644</v>
      </c>
      <c r="BA10" s="31">
        <f t="shared" si="1"/>
        <v>304.07166071766551</v>
      </c>
      <c r="BB10" s="31">
        <f t="shared" si="1"/>
        <v>305.75418955065743</v>
      </c>
      <c r="BC10" s="31">
        <f t="shared" si="1"/>
        <v>303.59262966365304</v>
      </c>
      <c r="BD10" s="15"/>
      <c r="BE10" t="s">
        <v>203</v>
      </c>
      <c r="BF10" s="55">
        <f t="shared" si="3"/>
        <v>-8.4794393728770956E-12</v>
      </c>
      <c r="BG10" s="56">
        <f t="shared" si="4"/>
        <v>202.30727586749461</v>
      </c>
      <c r="BH10" s="56">
        <f t="shared" si="5"/>
        <v>0</v>
      </c>
      <c r="BI10" s="56">
        <f t="shared" si="6"/>
        <v>0</v>
      </c>
      <c r="BJ10" s="56">
        <f t="shared" si="7"/>
        <v>-3.9351725896749037</v>
      </c>
      <c r="BK10" s="56">
        <f t="shared" si="8"/>
        <v>-0.9270191522150989</v>
      </c>
      <c r="BL10" s="56">
        <f t="shared" si="9"/>
        <v>-1.1286915999538754</v>
      </c>
      <c r="BM10" s="56">
        <f t="shared" si="10"/>
        <v>-1.1756688683727021</v>
      </c>
      <c r="BN10" s="56">
        <f t="shared" si="11"/>
        <v>-0.72289231802978504</v>
      </c>
      <c r="BO10" s="56">
        <f t="shared" si="12"/>
        <v>-0.93384500011774663</v>
      </c>
      <c r="BP10" s="57">
        <f t="shared" si="13"/>
        <v>0.2691637575241812</v>
      </c>
    </row>
    <row r="11" spans="1:68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16</v>
      </c>
      <c r="D11" s="3" t="s">
        <v>17</v>
      </c>
      <c r="E11" s="3" t="s">
        <v>18</v>
      </c>
      <c r="F11" s="3" t="s">
        <v>19</v>
      </c>
      <c r="G11" s="3" t="s">
        <v>20</v>
      </c>
      <c r="H11" s="3" t="s">
        <v>21</v>
      </c>
      <c r="I11" s="3" t="s">
        <v>22</v>
      </c>
      <c r="J11" s="3" t="s">
        <v>23</v>
      </c>
      <c r="K11" s="3" t="s">
        <v>24</v>
      </c>
      <c r="L11" s="3" t="s">
        <v>25</v>
      </c>
      <c r="M11" s="3" t="s">
        <v>26</v>
      </c>
      <c r="N11" s="3" t="s">
        <v>27</v>
      </c>
      <c r="O11" s="6" t="s">
        <v>27</v>
      </c>
      <c r="P11" s="3" t="str">
        <f>'Model names'!C9</f>
        <v>KY</v>
      </c>
      <c r="Q11" s="15">
        <f>[29]Total_Reports!B273</f>
        <v>-6.7055225372314448E-11</v>
      </c>
      <c r="R11" s="15">
        <f>[29]Total_Reports!C273</f>
        <v>-3.8343018240993844E-7</v>
      </c>
      <c r="S11" s="15">
        <f>[29]Total_Reports!D273</f>
        <v>6.9717003327345424</v>
      </c>
      <c r="T11" s="15">
        <f>[29]Total_Reports!E273</f>
        <v>9.0527581637667254</v>
      </c>
      <c r="U11" s="15">
        <f>[29]Total_Reports!F273</f>
        <v>8.7151835145359655</v>
      </c>
      <c r="V11" s="15">
        <f>[29]Total_Reports!G273</f>
        <v>7.4170799479916241</v>
      </c>
      <c r="W11" s="15">
        <f>[29]Total_Reports!H273</f>
        <v>11.99786768565491</v>
      </c>
      <c r="X11" s="15">
        <f>[29]Total_Reports!I273</f>
        <v>7.7994502643555279</v>
      </c>
      <c r="Y11" s="15">
        <f>[29]Total_Reports!J273</f>
        <v>7.5064249042916344</v>
      </c>
      <c r="Z11" s="15">
        <f>[29]Total_Reports!K273</f>
        <v>8.1990388348822307</v>
      </c>
      <c r="AA11" s="15">
        <f>[29]Total_Reports!L273</f>
        <v>8.102507423634961</v>
      </c>
      <c r="AB11" s="115">
        <f>[29]Total_Reports!L273</f>
        <v>8.102507423634961</v>
      </c>
      <c r="AC11" s="8"/>
      <c r="AE11" t="s">
        <v>204</v>
      </c>
      <c r="AF11" s="44">
        <v>6.854685352664091E-11</v>
      </c>
      <c r="AG11" s="15">
        <v>-1.0256333515978695</v>
      </c>
      <c r="AH11" s="15">
        <v>-9.8883755290899433E-3</v>
      </c>
      <c r="AI11" s="15">
        <v>613.96661401004519</v>
      </c>
      <c r="AJ11" s="15">
        <v>634.68344457794751</v>
      </c>
      <c r="AK11" s="15">
        <v>655.42896110933464</v>
      </c>
      <c r="AL11" s="15">
        <v>664.13440802670061</v>
      </c>
      <c r="AM11" s="15">
        <v>670.71153636207828</v>
      </c>
      <c r="AN11" s="15">
        <v>677.71534225684479</v>
      </c>
      <c r="AO11" s="15">
        <v>685.44247351839931</v>
      </c>
      <c r="AP11" s="45">
        <v>691.88542509868341</v>
      </c>
      <c r="AR11" s="37" t="s">
        <v>204</v>
      </c>
      <c r="AS11" s="31">
        <f t="shared" si="1"/>
        <v>3.6664840227604143E-4</v>
      </c>
      <c r="AT11" s="31">
        <f t="shared" si="1"/>
        <v>3.2577372621744872E-9</v>
      </c>
      <c r="AU11" s="31">
        <f t="shared" ca="1" si="1"/>
        <v>-5.7597305549442243E-2</v>
      </c>
      <c r="AV11" s="31">
        <f t="shared" ca="1" si="1"/>
        <v>-4.4033552426224795E-2</v>
      </c>
      <c r="AW11" s="31">
        <f t="shared" ca="1" si="1"/>
        <v>-5.477001618798448E-2</v>
      </c>
      <c r="AX11" s="31">
        <f t="shared" ca="1" si="1"/>
        <v>6.9674880680124254</v>
      </c>
      <c r="AY11" s="31">
        <f t="shared" ca="1" si="1"/>
        <v>-4.6575443976162756E-2</v>
      </c>
      <c r="AZ11" s="31">
        <f t="shared" ca="1" si="1"/>
        <v>-4.1863179578076393E-2</v>
      </c>
      <c r="BA11" s="31">
        <f t="shared" ca="1" si="1"/>
        <v>0.21695712627144148</v>
      </c>
      <c r="BB11" s="31">
        <f t="shared" ca="1" si="1"/>
        <v>-7.0755114316705114E-3</v>
      </c>
      <c r="BC11" s="31">
        <f t="shared" ca="1" si="1"/>
        <v>-7.1144118017089086E-3</v>
      </c>
      <c r="BD11" s="15"/>
      <c r="BE11" t="s">
        <v>204</v>
      </c>
      <c r="BF11" s="55">
        <f t="shared" si="3"/>
        <v>0</v>
      </c>
      <c r="BG11" s="56">
        <f t="shared" si="4"/>
        <v>0</v>
      </c>
      <c r="BH11" s="56">
        <f t="shared" ca="1" si="5"/>
        <v>0</v>
      </c>
      <c r="BI11" s="56">
        <f t="shared" ca="1" si="6"/>
        <v>-1.0000717197831632</v>
      </c>
      <c r="BJ11" s="56">
        <f t="shared" ca="1" si="7"/>
        <v>-1.0000862950131375</v>
      </c>
      <c r="BK11" s="56">
        <f t="shared" ca="1" si="8"/>
        <v>-0.98936957552772808</v>
      </c>
      <c r="BL11" s="56">
        <f t="shared" ca="1" si="9"/>
        <v>-1.0000701295451844</v>
      </c>
      <c r="BM11" s="56">
        <f t="shared" ca="1" si="10"/>
        <v>-1.0000624160720497</v>
      </c>
      <c r="BN11" s="56">
        <f t="shared" ca="1" si="11"/>
        <v>-0.99967986983214963</v>
      </c>
      <c r="BO11" s="56">
        <f t="shared" ca="1" si="12"/>
        <v>-1.000010322545954</v>
      </c>
      <c r="BP11" s="57">
        <f t="shared" ca="1" si="13"/>
        <v>-1.0000102826444144</v>
      </c>
    </row>
    <row r="12" spans="1:68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16</v>
      </c>
      <c r="D12" s="3" t="s">
        <v>17</v>
      </c>
      <c r="E12" s="3" t="s">
        <v>18</v>
      </c>
      <c r="F12" s="3" t="s">
        <v>19</v>
      </c>
      <c r="G12" s="3" t="s">
        <v>20</v>
      </c>
      <c r="H12" s="3" t="s">
        <v>21</v>
      </c>
      <c r="I12" s="3" t="s">
        <v>22</v>
      </c>
      <c r="J12" s="3" t="s">
        <v>23</v>
      </c>
      <c r="K12" s="3" t="s">
        <v>24</v>
      </c>
      <c r="L12" s="3" t="s">
        <v>25</v>
      </c>
      <c r="M12" s="3" t="s">
        <v>26</v>
      </c>
      <c r="N12" s="3" t="s">
        <v>27</v>
      </c>
      <c r="O12" s="6" t="s">
        <v>27</v>
      </c>
      <c r="P12" s="3" t="str">
        <f>'Model names'!C10</f>
        <v>Liberty</v>
      </c>
      <c r="Q12" s="8">
        <f>[31]Total_Reports!B273</f>
        <v>2001.0733176616145</v>
      </c>
      <c r="R12" s="8">
        <f>[31]Total_Reports!C273</f>
        <v>5805.2681442662515</v>
      </c>
      <c r="S12" s="8">
        <f>[31]Total_Reports!D273</f>
        <v>9031.2792139667017</v>
      </c>
      <c r="T12" s="8">
        <f>[31]Total_Reports!E273</f>
        <v>12543.267355256645</v>
      </c>
      <c r="U12" s="8">
        <f>[31]Total_Reports!F273</f>
        <v>16191.176834103677</v>
      </c>
      <c r="V12" s="8">
        <f>[31]Total_Reports!G273</f>
        <v>19957.935082233609</v>
      </c>
      <c r="W12" s="8">
        <f>[31]Total_Reports!H273</f>
        <v>23856.478010550687</v>
      </c>
      <c r="X12" s="8">
        <f>[31]Total_Reports!I273</f>
        <v>27903.380677212481</v>
      </c>
      <c r="Y12" s="8">
        <f>[31]Total_Reports!J273</f>
        <v>32124.549623833518</v>
      </c>
      <c r="Z12" s="8">
        <f>[31]Total_Reports!K273</f>
        <v>36531.680561360154</v>
      </c>
      <c r="AA12" s="8">
        <f>[31]Total_Reports!L273</f>
        <v>41127.913131815825</v>
      </c>
      <c r="AB12" s="116">
        <f>[31]Total_Reports!L273</f>
        <v>41127.913131815825</v>
      </c>
      <c r="AC12" s="8"/>
      <c r="AE12" t="s">
        <v>59</v>
      </c>
      <c r="AF12" s="44">
        <v>1.195371150970459E-6</v>
      </c>
      <c r="AG12" s="15">
        <v>-1.361331669613719E-11</v>
      </c>
      <c r="AH12" s="15">
        <v>-937.36406674379441</v>
      </c>
      <c r="AI12" s="15">
        <v>-886.31954264661272</v>
      </c>
      <c r="AJ12" s="15">
        <v>-861.84818108846139</v>
      </c>
      <c r="AK12" s="15">
        <v>3789.7543105051582</v>
      </c>
      <c r="AL12" s="15">
        <v>-1140.5648823266047</v>
      </c>
      <c r="AM12" s="15">
        <v>-1794.4826054329446</v>
      </c>
      <c r="AN12" s="15">
        <v>-2447.8334962117901</v>
      </c>
      <c r="AO12" s="15">
        <v>-2459.1523774445041</v>
      </c>
      <c r="AP12" s="45">
        <v>-2435.5783807921125</v>
      </c>
      <c r="AR12" s="37" t="s">
        <v>59</v>
      </c>
      <c r="AS12" s="31">
        <f t="shared" si="1"/>
        <v>-1.6697049140930176E-5</v>
      </c>
      <c r="AT12" s="31">
        <f t="shared" si="1"/>
        <v>1.9999999999829197</v>
      </c>
      <c r="AU12" s="31">
        <f t="shared" si="1"/>
        <v>-56.564874302740463</v>
      </c>
      <c r="AV12" s="31">
        <f t="shared" si="1"/>
        <v>4.7629138502961723</v>
      </c>
      <c r="AW12" s="31">
        <f t="shared" si="1"/>
        <v>-51.919139627984805</v>
      </c>
      <c r="AX12" s="31">
        <f t="shared" si="1"/>
        <v>208.5151046864039</v>
      </c>
      <c r="AY12" s="31">
        <f t="shared" si="1"/>
        <v>150.23638266685703</v>
      </c>
      <c r="AZ12" s="31">
        <f t="shared" si="1"/>
        <v>191.88885557980757</v>
      </c>
      <c r="BA12" s="31">
        <f t="shared" si="1"/>
        <v>188.13538203032658</v>
      </c>
      <c r="BB12" s="31">
        <f t="shared" si="1"/>
        <v>194.28122212715425</v>
      </c>
      <c r="BC12" s="31">
        <f t="shared" si="1"/>
        <v>118.79362166778083</v>
      </c>
      <c r="BD12" s="15"/>
      <c r="BE12" t="s">
        <v>59</v>
      </c>
      <c r="BF12" s="55">
        <f t="shared" si="3"/>
        <v>0</v>
      </c>
      <c r="BG12" s="56">
        <f t="shared" si="4"/>
        <v>-146914968970.34927</v>
      </c>
      <c r="BH12" s="56">
        <f t="shared" si="5"/>
        <v>0</v>
      </c>
      <c r="BI12" s="56">
        <f t="shared" si="6"/>
        <v>-1.0053738111607848</v>
      </c>
      <c r="BJ12" s="56">
        <f t="shared" si="7"/>
        <v>0</v>
      </c>
      <c r="BK12" s="56">
        <f t="shared" si="8"/>
        <v>-0.9449792552228512</v>
      </c>
      <c r="BL12" s="56">
        <f t="shared" si="9"/>
        <v>-1.1317210313896342</v>
      </c>
      <c r="BM12" s="56">
        <f t="shared" si="10"/>
        <v>-1.1069326919073208</v>
      </c>
      <c r="BN12" s="56">
        <f t="shared" si="11"/>
        <v>-1.0768579163253875</v>
      </c>
      <c r="BO12" s="56">
        <f t="shared" si="12"/>
        <v>-1.0790033281016311</v>
      </c>
      <c r="BP12" s="57">
        <f t="shared" si="13"/>
        <v>-1.0487742963251079</v>
      </c>
    </row>
    <row r="13" spans="1:68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16</v>
      </c>
      <c r="D13" s="3" t="s">
        <v>17</v>
      </c>
      <c r="E13" s="3" t="s">
        <v>18</v>
      </c>
      <c r="F13" s="3" t="s">
        <v>19</v>
      </c>
      <c r="G13" s="3" t="s">
        <v>20</v>
      </c>
      <c r="H13" s="3" t="s">
        <v>21</v>
      </c>
      <c r="I13" s="3" t="s">
        <v>22</v>
      </c>
      <c r="J13" s="3" t="s">
        <v>23</v>
      </c>
      <c r="K13" s="3" t="s">
        <v>24</v>
      </c>
      <c r="L13" s="3" t="s">
        <v>25</v>
      </c>
      <c r="M13" s="3" t="s">
        <v>26</v>
      </c>
      <c r="N13" s="3" t="s">
        <v>27</v>
      </c>
      <c r="O13" s="6" t="s">
        <v>27</v>
      </c>
      <c r="P13" s="3" t="str">
        <f>'Model names'!C11</f>
        <v>LW</v>
      </c>
      <c r="Q13" s="8">
        <f>[33]Total_Reports!B273</f>
        <v>-4.4953697826713326E-5</v>
      </c>
      <c r="R13" s="8">
        <f>[33]Total_Reports!C273</f>
        <v>-3.9999999338760975E-5</v>
      </c>
      <c r="S13" s="8">
        <f>[33]Total_Reports!D273</f>
        <v>17555.918541308209</v>
      </c>
      <c r="T13" s="8">
        <f>[33]Total_Reports!E273</f>
        <v>19918.544701669885</v>
      </c>
      <c r="U13" s="8">
        <f>[33]Total_Reports!F273</f>
        <v>22279.974812259235</v>
      </c>
      <c r="V13" s="8">
        <f>[33]Total_Reports!G273</f>
        <v>24807.058327007853</v>
      </c>
      <c r="W13" s="8">
        <f>[33]Total_Reports!H273</f>
        <v>27364.483484448014</v>
      </c>
      <c r="X13" s="8">
        <f>[33]Total_Reports!I273</f>
        <v>29944.335484422241</v>
      </c>
      <c r="Y13" s="8">
        <f>[33]Total_Reports!J273</f>
        <v>32662.68384557002</v>
      </c>
      <c r="Z13" s="8">
        <f>[33]Total_Reports!K273</f>
        <v>35052.666382944379</v>
      </c>
      <c r="AA13" s="8">
        <f>[33]Total_Reports!L273</f>
        <v>37124.255223043612</v>
      </c>
      <c r="AB13" s="116">
        <f>[33]Total_Reports!L273</f>
        <v>37124.255223043612</v>
      </c>
      <c r="AC13" s="8"/>
      <c r="AE13" t="s">
        <v>205</v>
      </c>
      <c r="AF13" s="44">
        <v>16.517746720880272</v>
      </c>
      <c r="AG13" s="15">
        <v>52.244335821708404</v>
      </c>
      <c r="AH13" s="15">
        <v>-996.77821140026572</v>
      </c>
      <c r="AI13" s="15">
        <v>1689.9072099008299</v>
      </c>
      <c r="AJ13" s="15">
        <v>363.52537471684082</v>
      </c>
      <c r="AK13" s="15">
        <v>550.28163237946683</v>
      </c>
      <c r="AL13" s="15">
        <v>626.01826109964531</v>
      </c>
      <c r="AM13" s="15">
        <v>603.25758123822379</v>
      </c>
      <c r="AN13" s="15">
        <v>697.82399613829693</v>
      </c>
      <c r="AO13" s="15">
        <v>746.54338551879482</v>
      </c>
      <c r="AP13" s="45">
        <v>751.13939628299886</v>
      </c>
      <c r="AR13" s="37" t="s">
        <v>205</v>
      </c>
      <c r="AS13" s="31">
        <f t="shared" si="1"/>
        <v>-1.9647607207298279E-4</v>
      </c>
      <c r="AT13" s="31">
        <f t="shared" si="1"/>
        <v>-1.5871006897252811</v>
      </c>
      <c r="AU13" s="31">
        <f t="shared" si="1"/>
        <v>178.19736170567921</v>
      </c>
      <c r="AV13" s="31">
        <f t="shared" si="1"/>
        <v>183.47302879924973</v>
      </c>
      <c r="AW13" s="31">
        <f t="shared" si="1"/>
        <v>222.72233106217936</v>
      </c>
      <c r="AX13" s="31">
        <f t="shared" si="1"/>
        <v>450.35676446360776</v>
      </c>
      <c r="AY13" s="31">
        <f t="shared" si="1"/>
        <v>469.87039314221693</v>
      </c>
      <c r="AZ13" s="31">
        <f t="shared" si="1"/>
        <v>513.48275938129336</v>
      </c>
      <c r="BA13" s="31">
        <f t="shared" si="1"/>
        <v>604.77268216550146</v>
      </c>
      <c r="BB13" s="31">
        <f t="shared" si="1"/>
        <v>603.88920908388172</v>
      </c>
      <c r="BC13" s="31">
        <f t="shared" si="1"/>
        <v>598.64216347965703</v>
      </c>
      <c r="BD13" s="15"/>
      <c r="BE13" t="s">
        <v>205</v>
      </c>
      <c r="BF13" s="55">
        <f t="shared" si="3"/>
        <v>-1.0000118948471237</v>
      </c>
      <c r="BG13" s="56">
        <f t="shared" si="4"/>
        <v>-1.0303784260008875</v>
      </c>
      <c r="BH13" s="56">
        <f t="shared" si="5"/>
        <v>-1.1787733315873239</v>
      </c>
      <c r="BI13" s="56">
        <f t="shared" si="6"/>
        <v>-0.89143011656242555</v>
      </c>
      <c r="BJ13" s="56">
        <f t="shared" si="7"/>
        <v>-0.3873265896894722</v>
      </c>
      <c r="BK13" s="56">
        <f t="shared" si="8"/>
        <v>-0.18158859397827809</v>
      </c>
      <c r="BL13" s="56">
        <f t="shared" si="9"/>
        <v>-0.24943021259977882</v>
      </c>
      <c r="BM13" s="56">
        <f t="shared" si="10"/>
        <v>-0.14881673210415691</v>
      </c>
      <c r="BN13" s="56">
        <f t="shared" si="11"/>
        <v>-0.13334496160598386</v>
      </c>
      <c r="BO13" s="56">
        <f t="shared" si="12"/>
        <v>-0.19108625058110795</v>
      </c>
      <c r="BP13" s="57">
        <f t="shared" si="13"/>
        <v>-0.20302121491426484</v>
      </c>
    </row>
    <row r="14" spans="1:68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16</v>
      </c>
      <c r="D14" s="3" t="s">
        <v>17</v>
      </c>
      <c r="E14" s="3" t="s">
        <v>18</v>
      </c>
      <c r="F14" s="3" t="s">
        <v>19</v>
      </c>
      <c r="G14" s="3" t="s">
        <v>20</v>
      </c>
      <c r="H14" s="3" t="s">
        <v>21</v>
      </c>
      <c r="I14" s="3" t="s">
        <v>22</v>
      </c>
      <c r="J14" s="3" t="s">
        <v>23</v>
      </c>
      <c r="K14" s="3" t="s">
        <v>24</v>
      </c>
      <c r="L14" s="3" t="s">
        <v>25</v>
      </c>
      <c r="M14" s="3" t="s">
        <v>26</v>
      </c>
      <c r="N14" s="3" t="s">
        <v>27</v>
      </c>
      <c r="O14" s="6" t="s">
        <v>27</v>
      </c>
      <c r="P14" s="3" t="str">
        <f>'Model names'!C12</f>
        <v>MD</v>
      </c>
      <c r="Q14" s="8">
        <f>[35]Total_Reports!B273</f>
        <v>14.33412424976367</v>
      </c>
      <c r="R14" s="8">
        <f>[35]Total_Reports!C273</f>
        <v>2.7807319471179451E-3</v>
      </c>
      <c r="S14" s="8">
        <f>[35]Total_Reports!D273</f>
        <v>0.26617769601176633</v>
      </c>
      <c r="T14" s="8">
        <f>[35]Total_Reports!E273</f>
        <v>0.32292819058010025</v>
      </c>
      <c r="U14" s="8">
        <f>[35]Total_Reports!F273</f>
        <v>0.28472446877783852</v>
      </c>
      <c r="V14" s="8">
        <f>[35]Total_Reports!G273</f>
        <v>0.27728325439342427</v>
      </c>
      <c r="W14" s="8">
        <f>[35]Total_Reports!H273</f>
        <v>2.4806899739616028E-2</v>
      </c>
      <c r="X14" s="8">
        <f>[35]Total_Reports!I273</f>
        <v>8.5267403836269295E-2</v>
      </c>
      <c r="Y14" s="8">
        <f>[35]Total_Reports!J273</f>
        <v>0.14720757007268048</v>
      </c>
      <c r="Z14" s="8">
        <f>[35]Total_Reports!K273</f>
        <v>8.0079336003549884E-2</v>
      </c>
      <c r="AA14" s="8">
        <f>[35]Total_Reports!L273</f>
        <v>-7.7108919927070474E-2</v>
      </c>
      <c r="AB14" s="116">
        <f>[35]Total_Reports!L273</f>
        <v>-7.7108919927070474E-2</v>
      </c>
      <c r="AC14" s="8"/>
      <c r="AE14" t="s">
        <v>206</v>
      </c>
      <c r="AF14" s="44">
        <v>-4.2999999597668646E-4</v>
      </c>
      <c r="AG14" s="15">
        <v>-4.2542445199069334E-4</v>
      </c>
      <c r="AH14" s="15">
        <v>-26.008105940432188</v>
      </c>
      <c r="AI14" s="15">
        <v>-171.81959307146985</v>
      </c>
      <c r="AJ14" s="15">
        <v>237.60820365576762</v>
      </c>
      <c r="AK14" s="15">
        <v>18.045419239884268</v>
      </c>
      <c r="AL14" s="15">
        <v>17.936960847977446</v>
      </c>
      <c r="AM14" s="15">
        <v>22.518234682683612</v>
      </c>
      <c r="AN14" s="15">
        <v>-6.7619301227280744</v>
      </c>
      <c r="AO14" s="15">
        <v>89.599787980101723</v>
      </c>
      <c r="AP14" s="45">
        <v>41.658808936120863</v>
      </c>
      <c r="AR14" s="37" t="s">
        <v>206</v>
      </c>
      <c r="AS14" s="31">
        <f t="shared" ref="AS14:BC20" si="14">VLOOKUP($AE14,$P$4:$AA$22,AS$2,FALSE)</f>
        <v>-2.184029210358858E-3</v>
      </c>
      <c r="AT14" s="31">
        <f t="shared" si="14"/>
        <v>9.8750717320217536E-4</v>
      </c>
      <c r="AU14" s="31">
        <f t="shared" si="14"/>
        <v>33.721647234397096</v>
      </c>
      <c r="AV14" s="31">
        <f t="shared" si="14"/>
        <v>34.852011524144586</v>
      </c>
      <c r="AW14" s="31">
        <f t="shared" si="14"/>
        <v>34.89742272592423</v>
      </c>
      <c r="AX14" s="31">
        <f t="shared" si="14"/>
        <v>34.218236780292955</v>
      </c>
      <c r="AY14" s="31">
        <f t="shared" si="14"/>
        <v>37.509294744814497</v>
      </c>
      <c r="AZ14" s="31">
        <f t="shared" si="14"/>
        <v>58.351267314717234</v>
      </c>
      <c r="BA14" s="31">
        <f t="shared" si="14"/>
        <v>59.826787493374582</v>
      </c>
      <c r="BB14" s="31">
        <f t="shared" si="14"/>
        <v>58.983014424619228</v>
      </c>
      <c r="BC14" s="31">
        <f t="shared" si="14"/>
        <v>58.508473117946892</v>
      </c>
      <c r="BD14" s="15"/>
      <c r="BE14" t="s">
        <v>206</v>
      </c>
      <c r="BF14" s="55">
        <f t="shared" si="3"/>
        <v>0</v>
      </c>
      <c r="BG14" s="56">
        <f t="shared" si="4"/>
        <v>0</v>
      </c>
      <c r="BH14" s="56">
        <f t="shared" si="5"/>
        <v>-2.2965822006274372</v>
      </c>
      <c r="BI14" s="56">
        <f t="shared" si="6"/>
        <v>-1.2028407290526384</v>
      </c>
      <c r="BJ14" s="56">
        <f t="shared" si="7"/>
        <v>-0.85313039621947773</v>
      </c>
      <c r="BK14" s="56">
        <f t="shared" si="8"/>
        <v>0.89622841816073029</v>
      </c>
      <c r="BL14" s="56">
        <f t="shared" si="9"/>
        <v>1.0911733633540273</v>
      </c>
      <c r="BM14" s="56">
        <f t="shared" si="10"/>
        <v>1.5912895987174789</v>
      </c>
      <c r="BN14" s="56">
        <f t="shared" si="11"/>
        <v>-9.8475903192619363</v>
      </c>
      <c r="BO14" s="56">
        <f t="shared" si="12"/>
        <v>-0.34170587057953594</v>
      </c>
      <c r="BP14" s="57">
        <f t="shared" si="13"/>
        <v>0.4044682172181906</v>
      </c>
    </row>
    <row r="15" spans="1:68" s="105" customFormat="1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16</v>
      </c>
      <c r="D15" s="3" t="s">
        <v>17</v>
      </c>
      <c r="E15" s="3" t="s">
        <v>18</v>
      </c>
      <c r="F15" s="3" t="s">
        <v>19</v>
      </c>
      <c r="G15" s="3" t="s">
        <v>20</v>
      </c>
      <c r="H15" s="3" t="s">
        <v>21</v>
      </c>
      <c r="I15" s="3" t="s">
        <v>22</v>
      </c>
      <c r="J15" s="3" t="s">
        <v>23</v>
      </c>
      <c r="K15" s="3" t="s">
        <v>24</v>
      </c>
      <c r="L15" s="3" t="s">
        <v>25</v>
      </c>
      <c r="M15" s="3" t="s">
        <v>26</v>
      </c>
      <c r="N15" s="3" t="s">
        <v>27</v>
      </c>
      <c r="O15" s="6" t="s">
        <v>27</v>
      </c>
      <c r="P15" s="3" t="str">
        <f>'Model names'!C13</f>
        <v>MI</v>
      </c>
      <c r="Q15" s="8">
        <f>[37]Total_Reports!B273</f>
        <v>1.0695027477107943E-2</v>
      </c>
      <c r="R15" s="8">
        <f>[37]Total_Reports!C273</f>
        <v>1.1761259785071161E-3</v>
      </c>
      <c r="S15" s="8">
        <f>[37]Total_Reports!D273</f>
        <v>9.1106833802514728</v>
      </c>
      <c r="T15" s="8">
        <f>[37]Total_Reports!E273</f>
        <v>0.11162586424578924</v>
      </c>
      <c r="U15" s="8">
        <f>[37]Total_Reports!F273</f>
        <v>0.10937308298626514</v>
      </c>
      <c r="V15" s="8">
        <f>[37]Total_Reports!G273</f>
        <v>0.11809474763398464</v>
      </c>
      <c r="W15" s="8">
        <f>[37]Total_Reports!H273</f>
        <v>0.12462699885217043</v>
      </c>
      <c r="X15" s="8">
        <f>[37]Total_Reports!I273</f>
        <v>0.12104117315548457</v>
      </c>
      <c r="Y15" s="8">
        <f>[37]Total_Reports!J273</f>
        <v>0.1341431893378483</v>
      </c>
      <c r="Z15" s="8">
        <f>[37]Total_Reports!K273</f>
        <v>0.14792457452893426</v>
      </c>
      <c r="AA15" s="8">
        <f>[37]Total_Reports!L273</f>
        <v>2.2367300390428113</v>
      </c>
      <c r="AB15" s="116">
        <f>[37]Total_Reports!L273</f>
        <v>2.2367300390428113</v>
      </c>
      <c r="AC15" s="106"/>
      <c r="AE15" s="105" t="s">
        <v>207</v>
      </c>
      <c r="AF15" s="107">
        <v>-9.0829498367384084E-6</v>
      </c>
      <c r="AG15" s="108">
        <v>-9.2906640140041408E-2</v>
      </c>
      <c r="AH15" s="108">
        <v>-6.8717392829821193</v>
      </c>
      <c r="AI15" s="108">
        <v>7.2271233429420221</v>
      </c>
      <c r="AJ15" s="108">
        <v>-0.12663778079109989</v>
      </c>
      <c r="AK15" s="108">
        <v>-0.23131741318604782</v>
      </c>
      <c r="AL15" s="108">
        <v>-0.1791447688219705</v>
      </c>
      <c r="AM15" s="108">
        <v>1.8457006619311045</v>
      </c>
      <c r="AN15" s="108">
        <v>-0.31658854302962425</v>
      </c>
      <c r="AO15" s="108">
        <v>-0.32576081574232774</v>
      </c>
      <c r="AP15" s="109">
        <v>-0.51485247144670154</v>
      </c>
      <c r="AR15" s="110" t="s">
        <v>207</v>
      </c>
      <c r="AS15" s="111">
        <f t="shared" si="14"/>
        <v>14.33412424976367</v>
      </c>
      <c r="AT15" s="111">
        <f t="shared" si="14"/>
        <v>2.7807319471179451E-3</v>
      </c>
      <c r="AU15" s="111">
        <f t="shared" si="14"/>
        <v>0.26617769601176633</v>
      </c>
      <c r="AV15" s="111">
        <f t="shared" si="14"/>
        <v>0.32292819058010025</v>
      </c>
      <c r="AW15" s="111">
        <f t="shared" si="14"/>
        <v>0.28472446877783852</v>
      </c>
      <c r="AX15" s="111">
        <f t="shared" si="14"/>
        <v>0.27728325439342427</v>
      </c>
      <c r="AY15" s="111">
        <f t="shared" si="14"/>
        <v>2.4806899739616028E-2</v>
      </c>
      <c r="AZ15" s="111">
        <f t="shared" si="14"/>
        <v>8.5267403836269295E-2</v>
      </c>
      <c r="BA15" s="111">
        <f t="shared" si="14"/>
        <v>0.14720757007268048</v>
      </c>
      <c r="BB15" s="111">
        <f t="shared" si="14"/>
        <v>8.0079336003549884E-2</v>
      </c>
      <c r="BC15" s="111">
        <f t="shared" si="14"/>
        <v>-7.7108919927070474E-2</v>
      </c>
      <c r="BD15" s="108"/>
      <c r="BE15" s="105" t="s">
        <v>207</v>
      </c>
      <c r="BF15" s="112">
        <f t="shared" si="3"/>
        <v>-1578136.3533172107</v>
      </c>
      <c r="BG15" s="113">
        <f t="shared" si="4"/>
        <v>0</v>
      </c>
      <c r="BH15" s="113">
        <f t="shared" si="5"/>
        <v>0</v>
      </c>
      <c r="BI15" s="113">
        <f t="shared" si="6"/>
        <v>-0.95531718842249036</v>
      </c>
      <c r="BJ15" s="113">
        <f t="shared" si="7"/>
        <v>0</v>
      </c>
      <c r="BK15" s="113">
        <f t="shared" si="8"/>
        <v>0</v>
      </c>
      <c r="BL15" s="113">
        <f t="shared" si="9"/>
        <v>0</v>
      </c>
      <c r="BM15" s="113">
        <f t="shared" si="10"/>
        <v>-0.95380214918108308</v>
      </c>
      <c r="BN15" s="113">
        <f t="shared" si="11"/>
        <v>0</v>
      </c>
      <c r="BO15" s="113">
        <f t="shared" si="12"/>
        <v>0</v>
      </c>
      <c r="BP15" s="114">
        <f t="shared" si="13"/>
        <v>0</v>
      </c>
    </row>
    <row r="16" spans="1:68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16</v>
      </c>
      <c r="D16" s="3" t="s">
        <v>17</v>
      </c>
      <c r="E16" s="3" t="s">
        <v>18</v>
      </c>
      <c r="F16" s="3" t="s">
        <v>19</v>
      </c>
      <c r="G16" s="3" t="s">
        <v>20</v>
      </c>
      <c r="H16" s="3" t="s">
        <v>21</v>
      </c>
      <c r="I16" s="3" t="s">
        <v>22</v>
      </c>
      <c r="J16" s="3" t="s">
        <v>23</v>
      </c>
      <c r="K16" s="3" t="s">
        <v>24</v>
      </c>
      <c r="L16" s="3" t="s">
        <v>25</v>
      </c>
      <c r="M16" s="3" t="s">
        <v>26</v>
      </c>
      <c r="N16" s="3" t="s">
        <v>27</v>
      </c>
      <c r="O16" s="6" t="s">
        <v>27</v>
      </c>
      <c r="P16" s="3" t="str">
        <f>'Model names'!C14</f>
        <v>MO</v>
      </c>
      <c r="Q16" s="8">
        <f>[39]Total_Reports!B273</f>
        <v>-1.6697049140930176E-5</v>
      </c>
      <c r="R16" s="8">
        <f>[39]Total_Reports!C273</f>
        <v>1.9999999999829197</v>
      </c>
      <c r="S16" s="8">
        <f>[39]Total_Reports!D273</f>
        <v>-56.564874302740463</v>
      </c>
      <c r="T16" s="8">
        <f>[39]Total_Reports!E273</f>
        <v>4.7629138502961723</v>
      </c>
      <c r="U16" s="8">
        <f>[39]Total_Reports!F273</f>
        <v>-51.919139627984805</v>
      </c>
      <c r="V16" s="8">
        <f>[39]Total_Reports!G273</f>
        <v>208.5151046864039</v>
      </c>
      <c r="W16" s="8">
        <f>[39]Total_Reports!H273</f>
        <v>150.23638266685703</v>
      </c>
      <c r="X16" s="8">
        <f>[39]Total_Reports!I273</f>
        <v>191.88885557980757</v>
      </c>
      <c r="Y16" s="8">
        <f>[39]Total_Reports!J273</f>
        <v>188.13538203032658</v>
      </c>
      <c r="Z16" s="8">
        <f>[39]Total_Reports!K273</f>
        <v>194.28122212715425</v>
      </c>
      <c r="AA16" s="8">
        <f>[39]Total_Reports!L273</f>
        <v>118.79362166778083</v>
      </c>
      <c r="AB16" s="116">
        <f>[39]Total_Reports!L273</f>
        <v>118.79362166778083</v>
      </c>
      <c r="AC16" s="8"/>
      <c r="AE16" t="s">
        <v>208</v>
      </c>
      <c r="AF16" s="44">
        <v>-2.3283064365386963E-12</v>
      </c>
      <c r="AG16" s="15">
        <v>2.3283064365386963E-13</v>
      </c>
      <c r="AH16" s="15">
        <v>-266.32344201817762</v>
      </c>
      <c r="AI16" s="15">
        <v>-1260.4399766534366</v>
      </c>
      <c r="AJ16" s="15">
        <v>2021.8392674094475</v>
      </c>
      <c r="AK16" s="15">
        <v>272.64087892740554</v>
      </c>
      <c r="AL16" s="15">
        <v>285.67389529083493</v>
      </c>
      <c r="AM16" s="15">
        <v>1030.2508397700667</v>
      </c>
      <c r="AN16" s="15">
        <v>2264.3470156156909</v>
      </c>
      <c r="AO16" s="15">
        <v>3388.5623568659175</v>
      </c>
      <c r="AP16" s="45">
        <v>10588.196980500634</v>
      </c>
      <c r="AR16" s="37" t="s">
        <v>208</v>
      </c>
      <c r="AS16" s="31">
        <f t="shared" si="14"/>
        <v>6.671143637504429E-13</v>
      </c>
      <c r="AT16" s="31">
        <f t="shared" si="14"/>
        <v>-8.7779108071117668E-10</v>
      </c>
      <c r="AU16" s="31">
        <f t="shared" si="14"/>
        <v>-11.837478098212159</v>
      </c>
      <c r="AV16" s="31">
        <f t="shared" si="14"/>
        <v>-0.6857747504609506</v>
      </c>
      <c r="AW16" s="31">
        <f t="shared" si="14"/>
        <v>-2.9198798829197585</v>
      </c>
      <c r="AX16" s="31">
        <f t="shared" si="14"/>
        <v>84.921232646407589</v>
      </c>
      <c r="AY16" s="31">
        <f t="shared" si="14"/>
        <v>84.443546994330518</v>
      </c>
      <c r="AZ16" s="31">
        <f t="shared" si="14"/>
        <v>134.69253297588239</v>
      </c>
      <c r="BA16" s="31">
        <f t="shared" si="14"/>
        <v>116.9029164434055</v>
      </c>
      <c r="BB16" s="31">
        <f t="shared" si="14"/>
        <v>123.26979634302461</v>
      </c>
      <c r="BC16" s="31">
        <f t="shared" si="14"/>
        <v>116.08076223465469</v>
      </c>
      <c r="BD16" s="15"/>
      <c r="BE16" t="s">
        <v>208</v>
      </c>
      <c r="BF16" s="55">
        <f t="shared" si="3"/>
        <v>0</v>
      </c>
      <c r="BG16" s="56">
        <f t="shared" si="4"/>
        <v>0</v>
      </c>
      <c r="BH16" s="56">
        <f t="shared" si="5"/>
        <v>0</v>
      </c>
      <c r="BI16" s="56">
        <f t="shared" si="6"/>
        <v>0</v>
      </c>
      <c r="BJ16" s="56">
        <f t="shared" si="7"/>
        <v>-1.0014441701326044</v>
      </c>
      <c r="BK16" s="56">
        <f t="shared" si="8"/>
        <v>-0.68852347828214322</v>
      </c>
      <c r="BL16" s="56">
        <f t="shared" si="9"/>
        <v>-0.70440579840744144</v>
      </c>
      <c r="BM16" s="56">
        <f t="shared" si="10"/>
        <v>-0.86926238953035617</v>
      </c>
      <c r="BN16" s="56">
        <f t="shared" si="11"/>
        <v>-0.94837234945120863</v>
      </c>
      <c r="BO16" s="56">
        <f t="shared" si="12"/>
        <v>-0.96362180082262472</v>
      </c>
      <c r="BP16" s="57">
        <f t="shared" si="13"/>
        <v>-0.98903677722954808</v>
      </c>
    </row>
    <row r="17" spans="1:68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16</v>
      </c>
      <c r="D17" s="3" t="s">
        <v>17</v>
      </c>
      <c r="E17" s="3" t="s">
        <v>18</v>
      </c>
      <c r="F17" s="3" t="s">
        <v>19</v>
      </c>
      <c r="G17" s="3" t="s">
        <v>20</v>
      </c>
      <c r="H17" s="3" t="s">
        <v>21</v>
      </c>
      <c r="I17" s="3" t="s">
        <v>22</v>
      </c>
      <c r="J17" s="3" t="s">
        <v>23</v>
      </c>
      <c r="K17" s="3" t="s">
        <v>24</v>
      </c>
      <c r="L17" s="3" t="s">
        <v>25</v>
      </c>
      <c r="M17" s="3" t="s">
        <v>26</v>
      </c>
      <c r="N17" s="3" t="s">
        <v>27</v>
      </c>
      <c r="O17" s="6" t="s">
        <v>27</v>
      </c>
      <c r="P17" s="3" t="str">
        <f>'Model names'!C15</f>
        <v>NJ</v>
      </c>
      <c r="Q17" s="8">
        <f>[41]Total_Reports!B273</f>
        <v>-6.3767212629318234E-4</v>
      </c>
      <c r="R17" s="8">
        <f>[41]Total_Reports!C273</f>
        <v>2206.3497968664051</v>
      </c>
      <c r="S17" s="8">
        <f>[41]Total_Reports!D273</f>
        <v>2425.5510353180994</v>
      </c>
      <c r="T17" s="8">
        <f>[41]Total_Reports!E273</f>
        <v>2019.548947300857</v>
      </c>
      <c r="U17" s="8">
        <f>[41]Total_Reports!F273</f>
        <v>2426.3466858124962</v>
      </c>
      <c r="V17" s="8">
        <f>[41]Total_Reports!G273</f>
        <v>2567.1162432831652</v>
      </c>
      <c r="W17" s="8">
        <f>[41]Total_Reports!H273</f>
        <v>2208.6579597285754</v>
      </c>
      <c r="X17" s="8">
        <f>[41]Total_Reports!I273</f>
        <v>2408.834317540809</v>
      </c>
      <c r="Y17" s="8">
        <f>[41]Total_Reports!J273</f>
        <v>2397.9449966605544</v>
      </c>
      <c r="Z17" s="8">
        <f>[41]Total_Reports!K273</f>
        <v>2535.8907068685903</v>
      </c>
      <c r="AA17" s="8">
        <f>[41]Total_Reports!L273</f>
        <v>2407.6395254155723</v>
      </c>
      <c r="AB17" s="116">
        <f>[41]Total_Reports!L273</f>
        <v>2407.6395254155723</v>
      </c>
      <c r="AC17" s="8"/>
      <c r="AE17" t="s">
        <v>209</v>
      </c>
      <c r="AF17" s="44">
        <v>0</v>
      </c>
      <c r="AG17" s="15">
        <v>-500</v>
      </c>
      <c r="AH17" s="15">
        <v>-501.80447073838809</v>
      </c>
      <c r="AI17" s="15">
        <v>-502.6620024021471</v>
      </c>
      <c r="AJ17" s="15">
        <v>-488.56211461058189</v>
      </c>
      <c r="AK17" s="15">
        <v>-499.59358410761251</v>
      </c>
      <c r="AL17" s="15">
        <v>-500.00120825150293</v>
      </c>
      <c r="AM17" s="15">
        <v>-477.01386788992897</v>
      </c>
      <c r="AN17" s="15">
        <v>-482.59827283544917</v>
      </c>
      <c r="AO17" s="15">
        <v>-481.46747800903449</v>
      </c>
      <c r="AP17" s="45">
        <v>-481.07525595950375</v>
      </c>
      <c r="AR17" s="37" t="s">
        <v>209</v>
      </c>
      <c r="AS17" s="31">
        <f t="shared" si="14"/>
        <v>9.5724320137158268E-13</v>
      </c>
      <c r="AT17" s="31">
        <f t="shared" si="14"/>
        <v>8.7720766761556493E-13</v>
      </c>
      <c r="AU17" s="31">
        <f t="shared" si="14"/>
        <v>-2.3476925939275475</v>
      </c>
      <c r="AV17" s="31">
        <f t="shared" si="14"/>
        <v>1002.6920175189443</v>
      </c>
      <c r="AW17" s="31">
        <f t="shared" si="14"/>
        <v>327.46486924147678</v>
      </c>
      <c r="AX17" s="31">
        <f t="shared" si="14"/>
        <v>503.4256511010442</v>
      </c>
      <c r="AY17" s="31">
        <f t="shared" si="14"/>
        <v>18.489557729912917</v>
      </c>
      <c r="AZ17" s="31">
        <f t="shared" si="14"/>
        <v>21.096885592693226</v>
      </c>
      <c r="BA17" s="31">
        <f t="shared" si="14"/>
        <v>1016.1405193071598</v>
      </c>
      <c r="BB17" s="31">
        <f t="shared" si="14"/>
        <v>1017.7814135381327</v>
      </c>
      <c r="BC17" s="31">
        <f t="shared" si="14"/>
        <v>1016.9670278872261</v>
      </c>
      <c r="BD17" s="15"/>
      <c r="BE17" t="s">
        <v>209</v>
      </c>
      <c r="BF17" s="55">
        <f t="shared" si="3"/>
        <v>0</v>
      </c>
      <c r="BG17" s="56">
        <f t="shared" si="4"/>
        <v>0</v>
      </c>
      <c r="BH17" s="56">
        <f t="shared" si="5"/>
        <v>0</v>
      </c>
      <c r="BI17" s="56">
        <f t="shared" si="6"/>
        <v>-2.9947639024378767</v>
      </c>
      <c r="BJ17" s="56">
        <f t="shared" si="7"/>
        <v>-1.6702625100239079</v>
      </c>
      <c r="BK17" s="56">
        <f t="shared" si="8"/>
        <v>-2.0076703687063491</v>
      </c>
      <c r="BL17" s="56">
        <f t="shared" si="9"/>
        <v>-1.0369790260998981</v>
      </c>
      <c r="BM17" s="56">
        <f t="shared" si="10"/>
        <v>-1.044226985865244</v>
      </c>
      <c r="BN17" s="56">
        <f t="shared" si="11"/>
        <v>-3.1055618648134526</v>
      </c>
      <c r="BO17" s="56">
        <f t="shared" si="12"/>
        <v>-3.1139151864355719</v>
      </c>
      <c r="BP17" s="57">
        <f t="shared" si="13"/>
        <v>-3.1139458230061887</v>
      </c>
    </row>
    <row r="18" spans="1:68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16</v>
      </c>
      <c r="D18" s="3" t="s">
        <v>17</v>
      </c>
      <c r="E18" s="3" t="s">
        <v>18</v>
      </c>
      <c r="F18" s="3" t="s">
        <v>19</v>
      </c>
      <c r="G18" s="3" t="s">
        <v>20</v>
      </c>
      <c r="H18" s="3" t="s">
        <v>21</v>
      </c>
      <c r="I18" s="3" t="s">
        <v>22</v>
      </c>
      <c r="J18" s="3" t="s">
        <v>23</v>
      </c>
      <c r="K18" s="3" t="s">
        <v>24</v>
      </c>
      <c r="L18" s="3" t="s">
        <v>25</v>
      </c>
      <c r="M18" s="3" t="s">
        <v>26</v>
      </c>
      <c r="N18" s="3" t="s">
        <v>27</v>
      </c>
      <c r="O18" s="6" t="s">
        <v>27</v>
      </c>
      <c r="P18" s="3" t="str">
        <f>'Model names'!C16</f>
        <v>NY</v>
      </c>
      <c r="Q18" s="8">
        <f>[43]Total_Reports!B273</f>
        <v>33.488139999999667</v>
      </c>
      <c r="R18" s="8">
        <f>[43]Total_Reports!C273</f>
        <v>-0.23934113548904593</v>
      </c>
      <c r="S18" s="8">
        <f>[43]Total_Reports!D273</f>
        <v>59.939865145862569</v>
      </c>
      <c r="T18" s="8">
        <f>[43]Total_Reports!E273</f>
        <v>-9.3690323276549208</v>
      </c>
      <c r="U18" s="8">
        <f>[43]Total_Reports!F273</f>
        <v>7.5376399012735362</v>
      </c>
      <c r="V18" s="8">
        <f>[43]Total_Reports!G273</f>
        <v>-25.743654102317123</v>
      </c>
      <c r="W18" s="8">
        <f>[43]Total_Reports!H273</f>
        <v>21.448327885228537</v>
      </c>
      <c r="X18" s="8">
        <f>[43]Total_Reports!I273</f>
        <v>15.244225610353624</v>
      </c>
      <c r="Y18" s="8">
        <f>[43]Total_Reports!J273</f>
        <v>22.603502382028182</v>
      </c>
      <c r="Z18" s="8">
        <f>[43]Total_Reports!K273</f>
        <v>36.217494368113876</v>
      </c>
      <c r="AA18" s="8">
        <f>[43]Total_Reports!L273</f>
        <v>33.944308046033257</v>
      </c>
      <c r="AB18" s="116">
        <f>[43]Total_Reports!L273</f>
        <v>33.944308046033257</v>
      </c>
      <c r="AC18" s="8"/>
      <c r="AE18" t="s">
        <v>210</v>
      </c>
      <c r="AF18" s="44">
        <v>-1.0392387518659235E-2</v>
      </c>
      <c r="AG18" s="15">
        <v>1.2805685400962829E-12</v>
      </c>
      <c r="AH18" s="15">
        <v>0.35544680549543273</v>
      </c>
      <c r="AI18" s="15">
        <v>0.68811863594874012</v>
      </c>
      <c r="AJ18" s="15">
        <v>0.8816481790283035</v>
      </c>
      <c r="AK18" s="15">
        <v>9.26808273395784</v>
      </c>
      <c r="AL18" s="15">
        <v>5.9662860742049588</v>
      </c>
      <c r="AM18" s="15">
        <v>6.8762790919113286</v>
      </c>
      <c r="AN18" s="15">
        <v>16.967117409713865</v>
      </c>
      <c r="AO18" s="15">
        <v>17.247783171286017</v>
      </c>
      <c r="AP18" s="45">
        <v>17.544901267323837</v>
      </c>
      <c r="AR18" s="37" t="s">
        <v>210</v>
      </c>
      <c r="AS18" s="31">
        <f t="shared" si="14"/>
        <v>-1.4901161193847657E-11</v>
      </c>
      <c r="AT18" s="31">
        <f t="shared" si="14"/>
        <v>266.79733186799899</v>
      </c>
      <c r="AU18" s="31">
        <f t="shared" si="14"/>
        <v>267.55007500801162</v>
      </c>
      <c r="AV18" s="31">
        <f t="shared" si="14"/>
        <v>266.17317942074294</v>
      </c>
      <c r="AW18" s="31">
        <f t="shared" si="14"/>
        <v>268.21573313484726</v>
      </c>
      <c r="AX18" s="31">
        <f t="shared" si="14"/>
        <v>272.97133670938285</v>
      </c>
      <c r="AY18" s="31">
        <f t="shared" si="14"/>
        <v>272.15294519035371</v>
      </c>
      <c r="AZ18" s="31">
        <f t="shared" si="14"/>
        <v>283.87320749259061</v>
      </c>
      <c r="BA18" s="31">
        <f t="shared" si="14"/>
        <v>285.61720093755605</v>
      </c>
      <c r="BB18" s="31">
        <f t="shared" si="14"/>
        <v>284.00695800950746</v>
      </c>
      <c r="BC18" s="31">
        <f t="shared" si="14"/>
        <v>283.34052312551103</v>
      </c>
      <c r="BD18" s="15"/>
      <c r="BE18" t="s">
        <v>210</v>
      </c>
      <c r="BF18" s="55">
        <f t="shared" si="3"/>
        <v>0</v>
      </c>
      <c r="BG18" s="56">
        <f t="shared" si="4"/>
        <v>208342875460565.25</v>
      </c>
      <c r="BH18" s="56">
        <f t="shared" si="5"/>
        <v>751.71481096894956</v>
      </c>
      <c r="BI18" s="56">
        <f t="shared" si="6"/>
        <v>385.81292078909911</v>
      </c>
      <c r="BJ18" s="56">
        <f t="shared" si="7"/>
        <v>303.22082131498024</v>
      </c>
      <c r="BK18" s="56">
        <f t="shared" si="8"/>
        <v>28.4528377168266</v>
      </c>
      <c r="BL18" s="56">
        <f t="shared" si="9"/>
        <v>44.615135078252116</v>
      </c>
      <c r="BM18" s="56">
        <f t="shared" si="10"/>
        <v>40.282967677463084</v>
      </c>
      <c r="BN18" s="56">
        <f t="shared" si="11"/>
        <v>15.833572494408333</v>
      </c>
      <c r="BO18" s="56">
        <f t="shared" si="12"/>
        <v>15.466287591226227</v>
      </c>
      <c r="BP18" s="57">
        <f t="shared" si="13"/>
        <v>15.149450989115174</v>
      </c>
    </row>
    <row r="19" spans="1:68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16</v>
      </c>
      <c r="D19" s="3" t="s">
        <v>17</v>
      </c>
      <c r="E19" s="3" t="s">
        <v>18</v>
      </c>
      <c r="F19" s="3" t="s">
        <v>19</v>
      </c>
      <c r="G19" s="3" t="s">
        <v>20</v>
      </c>
      <c r="H19" s="3" t="s">
        <v>21</v>
      </c>
      <c r="I19" s="3" t="s">
        <v>22</v>
      </c>
      <c r="J19" s="3" t="s">
        <v>23</v>
      </c>
      <c r="K19" s="3" t="s">
        <v>24</v>
      </c>
      <c r="L19" s="3" t="s">
        <v>25</v>
      </c>
      <c r="M19" s="3" t="s">
        <v>26</v>
      </c>
      <c r="N19" s="3" t="s">
        <v>27</v>
      </c>
      <c r="O19" s="6" t="s">
        <v>27</v>
      </c>
      <c r="P19" s="3" t="str">
        <f>'Model names'!C17</f>
        <v>PA</v>
      </c>
      <c r="Q19" s="8">
        <f>[45]Total_Reports!B273</f>
        <v>-1.9647607207298279E-4</v>
      </c>
      <c r="R19" s="8">
        <f>[45]Total_Reports!C273</f>
        <v>-1.5871006897252811</v>
      </c>
      <c r="S19" s="8">
        <f>[45]Total_Reports!D273</f>
        <v>178.19736170567921</v>
      </c>
      <c r="T19" s="8">
        <f>[45]Total_Reports!E273</f>
        <v>183.47302879924973</v>
      </c>
      <c r="U19" s="8">
        <f>[45]Total_Reports!F273</f>
        <v>222.72233106217936</v>
      </c>
      <c r="V19" s="8">
        <f>[45]Total_Reports!G273</f>
        <v>450.35676446360776</v>
      </c>
      <c r="W19" s="8">
        <f>[45]Total_Reports!H273</f>
        <v>469.87039314221693</v>
      </c>
      <c r="X19" s="8">
        <f>[45]Total_Reports!I273</f>
        <v>513.48275938129336</v>
      </c>
      <c r="Y19" s="8">
        <f>[45]Total_Reports!J273</f>
        <v>604.77268216550146</v>
      </c>
      <c r="Z19" s="8">
        <f>[45]Total_Reports!K273</f>
        <v>603.88920908388172</v>
      </c>
      <c r="AA19" s="8">
        <f>[45]Total_Reports!L273</f>
        <v>598.64216347965703</v>
      </c>
      <c r="AB19" s="116">
        <f>[45]Total_Reports!L273</f>
        <v>598.64216347965703</v>
      </c>
      <c r="AE19" t="s">
        <v>196</v>
      </c>
      <c r="AF19" s="44">
        <v>-4.4883061200380326E-4</v>
      </c>
      <c r="AG19" s="15">
        <v>-4.489682790153893E-4</v>
      </c>
      <c r="AH19" s="15">
        <v>-34.447023384642307</v>
      </c>
      <c r="AI19" s="15">
        <v>-984.03763544768208</v>
      </c>
      <c r="AJ19" s="15">
        <v>-1027.0380749118262</v>
      </c>
      <c r="AK19" s="15">
        <v>-9482.3884840427163</v>
      </c>
      <c r="AL19" s="15">
        <v>-1397.8778058914836</v>
      </c>
      <c r="AM19" s="15">
        <v>-1393.829038693138</v>
      </c>
      <c r="AN19" s="15">
        <v>-1561.096824603469</v>
      </c>
      <c r="AO19" s="15">
        <v>-1832.8910619515323</v>
      </c>
      <c r="AP19" s="45">
        <v>-1858.4640335947233</v>
      </c>
      <c r="AR19" s="37" t="s">
        <v>196</v>
      </c>
      <c r="AS19" s="31">
        <f t="shared" si="14"/>
        <v>-4.4896823167800903E-4</v>
      </c>
      <c r="AT19" s="31">
        <f t="shared" si="14"/>
        <v>-1.9999968717456795E-5</v>
      </c>
      <c r="AU19" s="31">
        <f t="shared" si="14"/>
        <v>-677.92022286044403</v>
      </c>
      <c r="AV19" s="31">
        <f t="shared" si="14"/>
        <v>815.47997129747137</v>
      </c>
      <c r="AW19" s="31">
        <f t="shared" si="14"/>
        <v>95.379251624578501</v>
      </c>
      <c r="AX19" s="31">
        <f t="shared" si="14"/>
        <v>111.21805838741466</v>
      </c>
      <c r="AY19" s="31">
        <f t="shared" si="14"/>
        <v>105.85232752710226</v>
      </c>
      <c r="AZ19" s="31">
        <f t="shared" si="14"/>
        <v>122.75339513214408</v>
      </c>
      <c r="BA19" s="31">
        <f t="shared" si="14"/>
        <v>159.45639340961679</v>
      </c>
      <c r="BB19" s="31">
        <f t="shared" si="14"/>
        <v>156.11461182203038</v>
      </c>
      <c r="BC19" s="31">
        <f t="shared" si="14"/>
        <v>153.75113384051565</v>
      </c>
      <c r="BD19" s="15"/>
      <c r="BE19" t="s">
        <v>196</v>
      </c>
      <c r="BF19" s="55">
        <f t="shared" si="3"/>
        <v>0</v>
      </c>
      <c r="BG19" s="56">
        <f t="shared" si="4"/>
        <v>0</v>
      </c>
      <c r="BH19" s="56">
        <f t="shared" si="5"/>
        <v>0</v>
      </c>
      <c r="BI19" s="56">
        <f t="shared" si="6"/>
        <v>-1.8287081122933611</v>
      </c>
      <c r="BJ19" s="56">
        <f t="shared" si="7"/>
        <v>-1.0928682723206411</v>
      </c>
      <c r="BK19" s="56">
        <f t="shared" si="8"/>
        <v>-1.0117289076032454</v>
      </c>
      <c r="BL19" s="56">
        <f t="shared" si="9"/>
        <v>-1.0757235912044514</v>
      </c>
      <c r="BM19" s="56">
        <f t="shared" si="10"/>
        <v>-1.0880691904993158</v>
      </c>
      <c r="BN19" s="56">
        <f t="shared" si="11"/>
        <v>-1.1021438202272431</v>
      </c>
      <c r="BO19" s="56">
        <f t="shared" si="12"/>
        <v>-1.0851739719085163</v>
      </c>
      <c r="BP19" s="57">
        <f t="shared" si="13"/>
        <v>-1.0827302175674196</v>
      </c>
    </row>
    <row r="20" spans="1:68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16</v>
      </c>
      <c r="D20" s="3" t="s">
        <v>17</v>
      </c>
      <c r="E20" s="3" t="s">
        <v>18</v>
      </c>
      <c r="F20" s="3" t="s">
        <v>19</v>
      </c>
      <c r="G20" s="3" t="s">
        <v>20</v>
      </c>
      <c r="H20" s="3" t="s">
        <v>21</v>
      </c>
      <c r="I20" s="3" t="s">
        <v>22</v>
      </c>
      <c r="J20" s="3" t="s">
        <v>23</v>
      </c>
      <c r="K20" s="3" t="s">
        <v>24</v>
      </c>
      <c r="L20" s="3" t="s">
        <v>25</v>
      </c>
      <c r="M20" s="3" t="s">
        <v>26</v>
      </c>
      <c r="N20" s="3" t="s">
        <v>27</v>
      </c>
      <c r="O20" s="6" t="s">
        <v>27</v>
      </c>
      <c r="P20" s="3" t="str">
        <f>'Model names'!C18</f>
        <v>TN</v>
      </c>
      <c r="Q20" s="8">
        <f>[47]Total_Reports!B273</f>
        <v>-2.2351741790771485E-11</v>
      </c>
      <c r="R20" s="8">
        <f>[47]Total_Reports!C273</f>
        <v>1.6622983803245007E-6</v>
      </c>
      <c r="S20" s="8">
        <f>[47]Total_Reports!D273</f>
        <v>56.425067044255854</v>
      </c>
      <c r="T20" s="8">
        <f>[47]Total_Reports!E273</f>
        <v>57.037378043046374</v>
      </c>
      <c r="U20" s="8">
        <f>[47]Total_Reports!F273</f>
        <v>50.80220877160923</v>
      </c>
      <c r="V20" s="8">
        <f>[47]Total_Reports!G273</f>
        <v>57.371951076883079</v>
      </c>
      <c r="W20" s="8">
        <f>[47]Total_Reports!H273</f>
        <v>56.824607824451959</v>
      </c>
      <c r="X20" s="8">
        <f>[47]Total_Reports!I273</f>
        <v>72.974883065587164</v>
      </c>
      <c r="Y20" s="8">
        <f>[47]Total_Reports!J273</f>
        <v>73.137170083579804</v>
      </c>
      <c r="Z20" s="8">
        <f>[47]Total_Reports!K273</f>
        <v>745.98676845900627</v>
      </c>
      <c r="AA20" s="8">
        <f>[47]Total_Reports!L273</f>
        <v>6544.6049641199143</v>
      </c>
      <c r="AB20" s="116">
        <f>[47]Total_Reports!L273</f>
        <v>6544.6049641199143</v>
      </c>
      <c r="AC20" s="8"/>
      <c r="AE20" t="s">
        <v>211</v>
      </c>
      <c r="AF20" s="44">
        <v>-4.4953705277293918E-5</v>
      </c>
      <c r="AG20" s="15">
        <v>-4.4953705160878597E-5</v>
      </c>
      <c r="AH20" s="15">
        <v>15918.913929106029</v>
      </c>
      <c r="AI20" s="15">
        <v>18337.108869542204</v>
      </c>
      <c r="AJ20" s="15">
        <v>20816.798342634283</v>
      </c>
      <c r="AK20" s="15">
        <v>23279.382978767608</v>
      </c>
      <c r="AL20" s="15">
        <v>26046.667039430638</v>
      </c>
      <c r="AM20" s="15">
        <v>28657.717994569633</v>
      </c>
      <c r="AN20" s="15">
        <v>31346.394638776121</v>
      </c>
      <c r="AO20" s="15">
        <v>34299.479386896397</v>
      </c>
      <c r="AP20" s="45">
        <v>37108.177211770308</v>
      </c>
      <c r="AR20" s="37" t="s">
        <v>211</v>
      </c>
      <c r="AS20" s="31">
        <f t="shared" si="14"/>
        <v>-4.4953697826713326E-5</v>
      </c>
      <c r="AT20" s="31">
        <f t="shared" si="14"/>
        <v>-3.9999999338760975E-5</v>
      </c>
      <c r="AU20" s="31">
        <f t="shared" si="14"/>
        <v>17555.918541308209</v>
      </c>
      <c r="AV20" s="31">
        <f t="shared" si="14"/>
        <v>19918.544701669885</v>
      </c>
      <c r="AW20" s="31">
        <f t="shared" si="14"/>
        <v>22279.974812259235</v>
      </c>
      <c r="AX20" s="31">
        <f t="shared" si="14"/>
        <v>24807.058327007853</v>
      </c>
      <c r="AY20" s="31">
        <f t="shared" si="14"/>
        <v>27364.483484448014</v>
      </c>
      <c r="AZ20" s="31">
        <f t="shared" si="14"/>
        <v>29944.335484422241</v>
      </c>
      <c r="BA20" s="31">
        <f t="shared" si="14"/>
        <v>32662.68384557002</v>
      </c>
      <c r="BB20" s="31">
        <f t="shared" si="14"/>
        <v>35052.666382944379</v>
      </c>
      <c r="BC20" s="31">
        <f t="shared" si="14"/>
        <v>37124.255223043612</v>
      </c>
      <c r="BD20" s="15"/>
      <c r="BE20" t="s">
        <v>211</v>
      </c>
      <c r="BF20" s="55">
        <f t="shared" si="3"/>
        <v>0</v>
      </c>
      <c r="BG20" s="56">
        <f t="shared" si="4"/>
        <v>0</v>
      </c>
      <c r="BH20" s="56">
        <f t="shared" si="5"/>
        <v>0.10283393826315579</v>
      </c>
      <c r="BI20" s="56">
        <f t="shared" si="6"/>
        <v>8.624237568630222E-2</v>
      </c>
      <c r="BJ20" s="56">
        <f t="shared" si="7"/>
        <v>7.0288256894349699E-2</v>
      </c>
      <c r="BK20" s="56">
        <f t="shared" si="8"/>
        <v>6.5623532618265257E-2</v>
      </c>
      <c r="BL20" s="56">
        <f t="shared" si="9"/>
        <v>5.0594436632618089E-2</v>
      </c>
      <c r="BM20" s="56">
        <f t="shared" si="10"/>
        <v>4.4896020335478459E-2</v>
      </c>
      <c r="BN20" s="56">
        <f t="shared" si="11"/>
        <v>4.1991725745889275E-2</v>
      </c>
      <c r="BO20" s="56">
        <f t="shared" si="12"/>
        <v>2.1959137850229959E-2</v>
      </c>
      <c r="BP20" s="57">
        <f t="shared" si="13"/>
        <v>4.3327407815119123E-4</v>
      </c>
    </row>
    <row r="21" spans="1:68" hidden="1" outlineLevel="1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16</v>
      </c>
      <c r="D21" s="3" t="s">
        <v>17</v>
      </c>
      <c r="E21" s="3" t="s">
        <v>18</v>
      </c>
      <c r="F21" s="3" t="s">
        <v>19</v>
      </c>
      <c r="G21" s="3" t="s">
        <v>20</v>
      </c>
      <c r="H21" s="3" t="s">
        <v>21</v>
      </c>
      <c r="I21" s="3" t="s">
        <v>22</v>
      </c>
      <c r="J21" s="3" t="s">
        <v>23</v>
      </c>
      <c r="K21" s="3" t="s">
        <v>24</v>
      </c>
      <c r="L21" s="3" t="s">
        <v>25</v>
      </c>
      <c r="M21" s="3" t="s">
        <v>26</v>
      </c>
      <c r="N21" s="3" t="s">
        <v>27</v>
      </c>
      <c r="O21" s="6" t="s">
        <v>27</v>
      </c>
      <c r="P21" s="3" t="str">
        <f>'Model names'!C19</f>
        <v>VA</v>
      </c>
      <c r="Q21" s="8">
        <f>[49]Total_Reports!B273</f>
        <v>-2.184029210358858E-3</v>
      </c>
      <c r="R21" s="8">
        <f>[49]Total_Reports!C273</f>
        <v>9.8750717320217536E-4</v>
      </c>
      <c r="S21" s="8">
        <f>[49]Total_Reports!D273</f>
        <v>33.721647234397096</v>
      </c>
      <c r="T21" s="8">
        <f>[49]Total_Reports!E273</f>
        <v>34.852011524144586</v>
      </c>
      <c r="U21" s="8">
        <f>[49]Total_Reports!F273</f>
        <v>34.89742272592423</v>
      </c>
      <c r="V21" s="8">
        <f>[49]Total_Reports!G273</f>
        <v>34.218236780292955</v>
      </c>
      <c r="W21" s="8">
        <f>[49]Total_Reports!H273</f>
        <v>37.509294744814497</v>
      </c>
      <c r="X21" s="8">
        <f>[49]Total_Reports!I273</f>
        <v>58.351267314717234</v>
      </c>
      <c r="Y21" s="8">
        <f>[49]Total_Reports!J273</f>
        <v>59.826787493374582</v>
      </c>
      <c r="Z21" s="8">
        <f>[49]Total_Reports!K273</f>
        <v>58.983014424619228</v>
      </c>
      <c r="AA21" s="8">
        <f>[49]Total_Reports!L273</f>
        <v>58.508473117946892</v>
      </c>
      <c r="AB21" s="7">
        <f>[49]Total_Reports!L273</f>
        <v>58.508473117946892</v>
      </c>
      <c r="AC21" s="8"/>
      <c r="AE21" t="s">
        <v>198</v>
      </c>
      <c r="AF21" s="44">
        <v>15773.046340293495</v>
      </c>
      <c r="AG21" s="15">
        <v>17747.160493738102</v>
      </c>
      <c r="AH21" s="15">
        <v>19455.021215156561</v>
      </c>
      <c r="AI21" s="15">
        <v>21117.67714546113</v>
      </c>
      <c r="AJ21" s="15">
        <v>22788.013026061657</v>
      </c>
      <c r="AK21" s="15">
        <v>24451.608835150524</v>
      </c>
      <c r="AL21" s="15">
        <v>26167.375182112079</v>
      </c>
      <c r="AM21" s="15">
        <v>27924.556459084062</v>
      </c>
      <c r="AN21" s="15">
        <v>29758.434184920028</v>
      </c>
      <c r="AO21" s="15">
        <v>31636.033021325817</v>
      </c>
      <c r="AP21" s="45">
        <v>33551.564461533759</v>
      </c>
      <c r="AR21" s="37" t="s">
        <v>198</v>
      </c>
      <c r="AS21" s="31">
        <f t="shared" ref="AS21:BC22" si="15">VLOOKUP($AE21,$P$4:$AA$22,AS$2,FALSE)</f>
        <v>2001.0733176616145</v>
      </c>
      <c r="AT21" s="31">
        <f t="shared" si="15"/>
        <v>5805.2681442662515</v>
      </c>
      <c r="AU21" s="31">
        <f t="shared" si="15"/>
        <v>9031.2792139667017</v>
      </c>
      <c r="AV21" s="31">
        <f t="shared" si="15"/>
        <v>12543.267355256645</v>
      </c>
      <c r="AW21" s="31">
        <f t="shared" si="15"/>
        <v>16191.176834103677</v>
      </c>
      <c r="AX21" s="31">
        <f t="shared" si="15"/>
        <v>19957.935082233609</v>
      </c>
      <c r="AY21" s="31">
        <f t="shared" si="15"/>
        <v>23856.478010550687</v>
      </c>
      <c r="AZ21" s="31">
        <f t="shared" si="15"/>
        <v>27903.380677212481</v>
      </c>
      <c r="BA21" s="31">
        <f t="shared" si="15"/>
        <v>32124.549623833518</v>
      </c>
      <c r="BB21" s="31">
        <f t="shared" si="15"/>
        <v>36531.680561360154</v>
      </c>
      <c r="BC21" s="31">
        <f t="shared" si="15"/>
        <v>41127.913131815825</v>
      </c>
      <c r="BD21" s="15"/>
      <c r="BE21" t="s">
        <v>198</v>
      </c>
      <c r="BF21" s="55">
        <f t="shared" si="3"/>
        <v>-0.87313336469761615</v>
      </c>
      <c r="BG21" s="56">
        <f t="shared" si="4"/>
        <v>-0.67289031130841581</v>
      </c>
      <c r="BH21" s="56">
        <f t="shared" si="5"/>
        <v>-0.53578671983504056</v>
      </c>
      <c r="BI21" s="56">
        <f t="shared" si="6"/>
        <v>-0.40602996869129626</v>
      </c>
      <c r="BJ21" s="56">
        <f t="shared" si="7"/>
        <v>-0.28948711695106832</v>
      </c>
      <c r="BK21" s="56">
        <f t="shared" si="8"/>
        <v>-0.1837782447450661</v>
      </c>
      <c r="BL21" s="56">
        <f t="shared" si="9"/>
        <v>-8.8312150358172414E-2</v>
      </c>
      <c r="BM21" s="56">
        <f t="shared" si="10"/>
        <v>-7.5832115373464237E-4</v>
      </c>
      <c r="BN21" s="56">
        <f t="shared" si="11"/>
        <v>7.9510750606377911E-2</v>
      </c>
      <c r="BO21" s="56">
        <f t="shared" si="12"/>
        <v>0.15474909691534933</v>
      </c>
      <c r="BP21" s="57">
        <f t="shared" si="13"/>
        <v>0.2258120833372228</v>
      </c>
    </row>
    <row r="22" spans="1:68" ht="15" hidden="1" outlineLevel="1" thickBot="1" x14ac:dyDescent="0.35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16</v>
      </c>
      <c r="D22" s="3" t="s">
        <v>17</v>
      </c>
      <c r="E22" s="3" t="s">
        <v>18</v>
      </c>
      <c r="F22" s="3" t="s">
        <v>19</v>
      </c>
      <c r="G22" s="3" t="s">
        <v>20</v>
      </c>
      <c r="H22" s="3" t="s">
        <v>21</v>
      </c>
      <c r="I22" s="3" t="s">
        <v>22</v>
      </c>
      <c r="J22" s="3" t="s">
        <v>23</v>
      </c>
      <c r="K22" s="3" t="s">
        <v>24</v>
      </c>
      <c r="L22" s="3" t="s">
        <v>25</v>
      </c>
      <c r="M22" s="3" t="s">
        <v>26</v>
      </c>
      <c r="N22" s="3" t="s">
        <v>27</v>
      </c>
      <c r="O22" s="6" t="s">
        <v>27</v>
      </c>
      <c r="P22" s="3" t="str">
        <f>'Model names'!C20</f>
        <v>WV</v>
      </c>
      <c r="Q22" s="8">
        <f>[51]Total_Reports!B273</f>
        <v>11.862129403331549</v>
      </c>
      <c r="R22" s="8">
        <f>[51]Total_Reports!C273</f>
        <v>86.992745068589329</v>
      </c>
      <c r="S22" s="8">
        <f>[51]Total_Reports!D273</f>
        <v>-785.26950094624772</v>
      </c>
      <c r="T22" s="8">
        <f>[51]Total_Reports!E273</f>
        <v>-216.93960578699807</v>
      </c>
      <c r="U22" s="8">
        <f>[51]Total_Reports!F273</f>
        <v>1304.6735442786039</v>
      </c>
      <c r="V22" s="8">
        <f>[51]Total_Reports!G273</f>
        <v>224.30880467180941</v>
      </c>
      <c r="W22" s="8">
        <f>[51]Total_Reports!H273</f>
        <v>221.19721564968359</v>
      </c>
      <c r="X22" s="8">
        <f>[51]Total_Reports!I273</f>
        <v>308.69983155528644</v>
      </c>
      <c r="Y22" s="8">
        <f>[51]Total_Reports!J273</f>
        <v>304.07166071766551</v>
      </c>
      <c r="Z22" s="8">
        <f>[51]Total_Reports!K273</f>
        <v>305.75418955065743</v>
      </c>
      <c r="AA22" s="8">
        <f>[51]Total_Reports!L273</f>
        <v>303.59262966365304</v>
      </c>
      <c r="AB22" s="7">
        <f>[51]Total_Reports!L273</f>
        <v>303.59262966365304</v>
      </c>
      <c r="AC22" s="8"/>
      <c r="AE22" t="s">
        <v>197</v>
      </c>
      <c r="AF22" s="46">
        <v>-1.7310125019866972E-4</v>
      </c>
      <c r="AG22" s="47">
        <v>6.2919348152354359E-4</v>
      </c>
      <c r="AH22" s="47">
        <v>-0.27352302421086583</v>
      </c>
      <c r="AI22" s="47">
        <v>-0.30734213671286759</v>
      </c>
      <c r="AJ22" s="47">
        <v>-0.35164362170039587</v>
      </c>
      <c r="AK22" s="47">
        <v>-0.4194789325598608</v>
      </c>
      <c r="AL22" s="47">
        <v>-736.39415785463063</v>
      </c>
      <c r="AM22" s="47">
        <v>-736.39415785463063</v>
      </c>
      <c r="AN22" s="47">
        <v>-736.39415785463063</v>
      </c>
      <c r="AO22" s="47">
        <v>-736.39415785463063</v>
      </c>
      <c r="AP22" s="48">
        <v>-736.39415785463063</v>
      </c>
      <c r="AR22" s="40" t="s">
        <v>197</v>
      </c>
      <c r="AS22" s="31">
        <f t="shared" si="15"/>
        <v>1.000263834837824E-3</v>
      </c>
      <c r="AT22" s="31">
        <f t="shared" si="15"/>
        <v>-2.9362850126810371E-2</v>
      </c>
      <c r="AU22" s="31">
        <f t="shared" si="15"/>
        <v>203.87623569685758</v>
      </c>
      <c r="AV22" s="31">
        <f t="shared" si="15"/>
        <v>450.61375797397204</v>
      </c>
      <c r="AW22" s="31">
        <f t="shared" si="15"/>
        <v>711.79278293642506</v>
      </c>
      <c r="AX22" s="31">
        <f t="shared" si="15"/>
        <v>687.58496410685348</v>
      </c>
      <c r="AY22" s="31">
        <f t="shared" si="15"/>
        <v>535.86206497729245</v>
      </c>
      <c r="AZ22" s="31">
        <f t="shared" si="15"/>
        <v>535.86206497729245</v>
      </c>
      <c r="BA22" s="31">
        <f t="shared" si="15"/>
        <v>535.86206497729245</v>
      </c>
      <c r="BB22" s="31">
        <f t="shared" si="15"/>
        <v>535.86206497729245</v>
      </c>
      <c r="BC22" s="31">
        <f t="shared" si="15"/>
        <v>613.86206497729245</v>
      </c>
      <c r="BD22" s="15"/>
      <c r="BE22" t="s">
        <v>197</v>
      </c>
      <c r="BF22" s="58">
        <f t="shared" si="3"/>
        <v>0</v>
      </c>
      <c r="BG22" s="59">
        <f t="shared" si="4"/>
        <v>0</v>
      </c>
      <c r="BH22" s="59">
        <f t="shared" si="5"/>
        <v>-746.37138613853665</v>
      </c>
      <c r="BI22" s="59">
        <f t="shared" si="6"/>
        <v>-1467.1632888787881</v>
      </c>
      <c r="BJ22" s="59">
        <f t="shared" si="7"/>
        <v>-2025.1879534015268</v>
      </c>
      <c r="BK22" s="59">
        <f t="shared" si="8"/>
        <v>-1640.1406355281817</v>
      </c>
      <c r="BL22" s="59">
        <f t="shared" si="9"/>
        <v>-1.7276837536821894</v>
      </c>
      <c r="BM22" s="59">
        <f t="shared" si="10"/>
        <v>-1.7276837536821894</v>
      </c>
      <c r="BN22" s="59">
        <f t="shared" si="11"/>
        <v>-1.7276837536821894</v>
      </c>
      <c r="BO22" s="59">
        <f t="shared" si="12"/>
        <v>-1.7276837536821894</v>
      </c>
      <c r="BP22" s="60">
        <f t="shared" si="13"/>
        <v>-1.8336052892729129</v>
      </c>
    </row>
    <row r="23" spans="1:68" hidden="1" outlineLevel="1" x14ac:dyDescent="0.3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6"/>
      <c r="P23" s="3"/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7"/>
      <c r="AC23" s="8"/>
    </row>
    <row r="24" spans="1:68" hidden="1" outlineLevel="1" x14ac:dyDescent="0.3">
      <c r="A24" s="2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6"/>
      <c r="P24" s="3"/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7"/>
      <c r="AC24" s="8"/>
    </row>
    <row r="25" spans="1:68" hidden="1" outlineLevel="1" x14ac:dyDescent="0.3">
      <c r="A25" s="2" t="str">
        <f t="shared" ref="A25:A33" si="16">IF(B25=0,"",A24)</f>
        <v/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6"/>
      <c r="P25" s="18"/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7"/>
      <c r="AC25" s="8"/>
    </row>
    <row r="26" spans="1:68" ht="15" hidden="1" outlineLevel="1" thickBot="1" x14ac:dyDescent="0.35">
      <c r="A26" s="2" t="str">
        <f t="shared" si="16"/>
        <v/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6"/>
      <c r="P26" s="18"/>
      <c r="Q26" s="67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7"/>
      <c r="AC26" s="8"/>
    </row>
    <row r="27" spans="1:68" ht="15" hidden="1" outlineLevel="1" thickTop="1" x14ac:dyDescent="0.3">
      <c r="A27" s="2" t="str">
        <f t="shared" si="16"/>
        <v/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6"/>
      <c r="P27" s="1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7"/>
      <c r="AC27" s="8"/>
    </row>
    <row r="28" spans="1:68" hidden="1" outlineLevel="1" x14ac:dyDescent="0.3">
      <c r="A28" s="2" t="str">
        <f t="shared" si="16"/>
        <v/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6"/>
      <c r="P28" s="1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7"/>
      <c r="AC28" s="8"/>
    </row>
    <row r="29" spans="1:68" hidden="1" outlineLevel="1" x14ac:dyDescent="0.3">
      <c r="A29" s="2" t="str">
        <f t="shared" si="16"/>
        <v/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6"/>
      <c r="P29" s="1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7"/>
      <c r="AC29" s="8"/>
    </row>
    <row r="30" spans="1:68" hidden="1" outlineLevel="1" x14ac:dyDescent="0.3">
      <c r="A30" s="2" t="str">
        <f t="shared" si="16"/>
        <v/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6"/>
      <c r="P30" s="1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7"/>
      <c r="AC30" s="8"/>
    </row>
    <row r="31" spans="1:68" hidden="1" outlineLevel="1" x14ac:dyDescent="0.3">
      <c r="A31" s="2" t="str">
        <f t="shared" si="16"/>
        <v/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6"/>
      <c r="P31" s="1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7"/>
      <c r="AC31" s="8"/>
    </row>
    <row r="32" spans="1:68" hidden="1" outlineLevel="1" x14ac:dyDescent="0.3">
      <c r="A32" s="2" t="str">
        <f t="shared" si="16"/>
        <v/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6"/>
      <c r="P32" s="1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7"/>
      <c r="AC32" s="8"/>
    </row>
    <row r="33" spans="1:29" hidden="1" outlineLevel="1" x14ac:dyDescent="0.3">
      <c r="A33" s="2" t="str">
        <f t="shared" si="16"/>
        <v/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6"/>
      <c r="P33" s="1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7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74" priority="6" operator="equal">
      <formula>"On"</formula>
    </cfRule>
  </conditionalFormatting>
  <conditionalFormatting sqref="V21:AA23">
    <cfRule type="cellIs" dxfId="73" priority="5" operator="equal">
      <formula>"On"</formula>
    </cfRule>
  </conditionalFormatting>
  <conditionalFormatting sqref="R21:R23">
    <cfRule type="cellIs" dxfId="72" priority="4" operator="equal">
      <formula>"On"</formula>
    </cfRule>
  </conditionalFormatting>
  <conditionalFormatting sqref="BF4:BP22">
    <cfRule type="cellIs" dxfId="71" priority="1" operator="lessThan">
      <formula>0</formula>
    </cfRule>
    <cfRule type="cellIs" dxfId="70" priority="2" operator="greaterThan">
      <formula>0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pageSetup orientation="portrait" verticalDpi="0" r:id="rId1"/>
  <customProperties>
    <customPr name="_pios_id" r:id="rId2"/>
  </customProperties>
  <drawing r:id="rId3"/>
  <legacyDrawing r:id="rId4"/>
  <controls>
    <mc:AlternateContent xmlns:mc="http://schemas.openxmlformats.org/markup-compatibility/2006">
      <mc:Choice Requires="x14">
        <control shapeId="5121" r:id="rId5" name="CommandButton21">
          <controlPr autoLine="0" r:id="rId6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18</xdr:col>
                <xdr:colOff>365760</xdr:colOff>
                <xdr:row>0</xdr:row>
                <xdr:rowOff>403860</xdr:rowOff>
              </to>
            </anchor>
          </controlPr>
        </control>
      </mc:Choice>
      <mc:Fallback>
        <control shapeId="5121" r:id="rId5" name="CommandButton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C00000"/>
  </sheetPr>
  <dimension ref="A1:AH40"/>
  <sheetViews>
    <sheetView zoomScale="70" zoomScaleNormal="70" workbookViewId="0">
      <selection activeCell="M4" sqref="M4"/>
    </sheetView>
  </sheetViews>
  <sheetFormatPr defaultRowHeight="14.4" outlineLevelRow="1" outlineLevelCol="1" x14ac:dyDescent="0.3"/>
  <cols>
    <col min="1" max="1" width="108" bestFit="1" customWidth="1" outlineLevel="1"/>
    <col min="2" max="2" width="49.109375" bestFit="1" customWidth="1" outlineLevel="1"/>
    <col min="3" max="3" width="14.44140625" bestFit="1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COUNTA(A4:A33)</f>
        <v>6</v>
      </c>
      <c r="B2">
        <f>P2</f>
        <v>12</v>
      </c>
      <c r="P2" s="1">
        <v>12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v>2016</v>
      </c>
      <c r="R3" s="2">
        <v>2017</v>
      </c>
      <c r="S3" s="2">
        <v>2018</v>
      </c>
      <c r="T3" s="2">
        <v>2019</v>
      </c>
      <c r="U3" s="2">
        <v>2020</v>
      </c>
      <c r="V3" s="2">
        <v>2021</v>
      </c>
      <c r="W3" s="2">
        <v>2022</v>
      </c>
      <c r="X3" s="2">
        <v>2023</v>
      </c>
      <c r="Y3" s="2">
        <v>2024</v>
      </c>
      <c r="Z3" s="2">
        <v>2025</v>
      </c>
      <c r="AA3" s="2">
        <v>2026</v>
      </c>
      <c r="AB3" s="2"/>
    </row>
    <row r="4" spans="1:34" x14ac:dyDescent="0.3">
      <c r="A4" s="2" t="s">
        <v>28</v>
      </c>
      <c r="B4" s="3" t="str">
        <f>'Model names'!B2</f>
        <v>AM_WATER_STATE_MODEL_10Yr_2018-2027_BFW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6"/>
      <c r="P4" s="3" t="str">
        <f>'Model names'!C2</f>
        <v>BFW</v>
      </c>
      <c r="Q4" s="8" t="s">
        <v>322</v>
      </c>
      <c r="R4" s="8" t="s">
        <v>322</v>
      </c>
      <c r="S4" s="8" t="s">
        <v>322</v>
      </c>
      <c r="T4" s="8" t="s">
        <v>322</v>
      </c>
      <c r="U4" s="8" t="s">
        <v>322</v>
      </c>
      <c r="V4" s="8" t="s">
        <v>322</v>
      </c>
      <c r="W4" s="8" t="s">
        <v>322</v>
      </c>
      <c r="X4" s="8" t="s">
        <v>322</v>
      </c>
      <c r="Y4" s="8" t="s">
        <v>322</v>
      </c>
      <c r="Z4" s="8" t="s">
        <v>322</v>
      </c>
      <c r="AA4" s="8" t="s">
        <v>322</v>
      </c>
      <c r="AB4" s="7" t="s">
        <v>322</v>
      </c>
      <c r="AC4" s="8"/>
      <c r="AG4" s="5"/>
      <c r="AH4" s="5"/>
    </row>
    <row r="5" spans="1:34" x14ac:dyDescent="0.3">
      <c r="A5" s="2" t="s">
        <v>28</v>
      </c>
      <c r="B5" s="3" t="str">
        <f>'Model names'!B3</f>
        <v>AM_WATER_STATE_MODEL_10Yr_2018-2027_CA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6"/>
      <c r="P5" s="3" t="str">
        <f>'Model names'!C3</f>
        <v>CA</v>
      </c>
      <c r="Q5" s="8" t="s">
        <v>323</v>
      </c>
      <c r="R5" s="8" t="s">
        <v>323</v>
      </c>
      <c r="S5" s="8" t="s">
        <v>323</v>
      </c>
      <c r="T5" s="8" t="s">
        <v>323</v>
      </c>
      <c r="U5" s="8" t="s">
        <v>323</v>
      </c>
      <c r="V5" s="8" t="s">
        <v>323</v>
      </c>
      <c r="W5" s="8" t="s">
        <v>323</v>
      </c>
      <c r="X5" s="8" t="s">
        <v>323</v>
      </c>
      <c r="Y5" s="8" t="s">
        <v>323</v>
      </c>
      <c r="Z5" s="8" t="s">
        <v>323</v>
      </c>
      <c r="AA5" s="8" t="s">
        <v>323</v>
      </c>
      <c r="AB5" s="7" t="s">
        <v>323</v>
      </c>
      <c r="AC5" s="8"/>
      <c r="AG5" s="5"/>
      <c r="AH5" s="5"/>
    </row>
    <row r="6" spans="1:34" x14ac:dyDescent="0.3">
      <c r="A6" s="2" t="s">
        <v>28</v>
      </c>
      <c r="B6" s="3" t="str">
        <f>'Model names'!B4</f>
        <v>AM_WATER_STATE_MODEL_10Yr_2018-2027_ETS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6"/>
      <c r="P6" s="3" t="str">
        <f>'Model names'!C4</f>
        <v>ETS</v>
      </c>
      <c r="Q6" s="8" t="s">
        <v>616</v>
      </c>
      <c r="R6" s="8" t="s">
        <v>616</v>
      </c>
      <c r="S6" s="8" t="s">
        <v>616</v>
      </c>
      <c r="T6" s="8" t="s">
        <v>616</v>
      </c>
      <c r="U6" s="8" t="s">
        <v>616</v>
      </c>
      <c r="V6" s="8" t="s">
        <v>616</v>
      </c>
      <c r="W6" s="8" t="s">
        <v>616</v>
      </c>
      <c r="X6" s="8" t="s">
        <v>616</v>
      </c>
      <c r="Y6" s="8" t="s">
        <v>616</v>
      </c>
      <c r="Z6" s="8" t="s">
        <v>616</v>
      </c>
      <c r="AA6" s="8" t="s">
        <v>616</v>
      </c>
      <c r="AB6" s="7" t="s">
        <v>616</v>
      </c>
      <c r="AC6" s="8"/>
      <c r="AG6" s="5"/>
      <c r="AH6" s="5"/>
    </row>
    <row r="7" spans="1:34" x14ac:dyDescent="0.3">
      <c r="A7" s="2" t="s">
        <v>28</v>
      </c>
      <c r="B7" s="3" t="str">
        <f>'Model names'!B5</f>
        <v>AM_WATER_STATE_MODEL_10Yr_2018-2027_HI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6"/>
      <c r="P7" s="3" t="str">
        <f>'Model names'!C5</f>
        <v>HI</v>
      </c>
      <c r="Q7" s="8" t="s">
        <v>324</v>
      </c>
      <c r="R7" s="8" t="s">
        <v>324</v>
      </c>
      <c r="S7" s="8" t="s">
        <v>324</v>
      </c>
      <c r="T7" s="8" t="s">
        <v>324</v>
      </c>
      <c r="U7" s="8" t="s">
        <v>324</v>
      </c>
      <c r="V7" s="8" t="s">
        <v>324</v>
      </c>
      <c r="W7" s="8" t="s">
        <v>324</v>
      </c>
      <c r="X7" s="8" t="s">
        <v>324</v>
      </c>
      <c r="Y7" s="8" t="s">
        <v>324</v>
      </c>
      <c r="Z7" s="8" t="s">
        <v>324</v>
      </c>
      <c r="AA7" s="8" t="s">
        <v>324</v>
      </c>
      <c r="AB7" s="7" t="s">
        <v>324</v>
      </c>
      <c r="AC7" s="8"/>
      <c r="AG7" s="5"/>
      <c r="AH7" s="5"/>
    </row>
    <row r="8" spans="1:34" x14ac:dyDescent="0.3">
      <c r="A8" s="2" t="s">
        <v>28</v>
      </c>
      <c r="B8" s="3" t="str">
        <f>'Model names'!B6</f>
        <v>AM_WATER_STATE_MODEL_10Yr_2018-2027_IA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6"/>
      <c r="P8" s="3" t="str">
        <f>'Model names'!C6</f>
        <v>IA</v>
      </c>
      <c r="Q8" s="8" t="s">
        <v>325</v>
      </c>
      <c r="R8" s="8" t="s">
        <v>325</v>
      </c>
      <c r="S8" s="8" t="s">
        <v>325</v>
      </c>
      <c r="T8" s="8" t="s">
        <v>325</v>
      </c>
      <c r="U8" s="8" t="s">
        <v>325</v>
      </c>
      <c r="V8" s="8" t="s">
        <v>325</v>
      </c>
      <c r="W8" s="8" t="s">
        <v>325</v>
      </c>
      <c r="X8" s="8" t="s">
        <v>325</v>
      </c>
      <c r="Y8" s="8" t="s">
        <v>325</v>
      </c>
      <c r="Z8" s="8" t="s">
        <v>325</v>
      </c>
      <c r="AA8" s="8" t="s">
        <v>325</v>
      </c>
      <c r="AB8" s="7" t="s">
        <v>325</v>
      </c>
      <c r="AC8" s="8"/>
      <c r="AG8" s="5"/>
      <c r="AH8" s="5"/>
    </row>
    <row r="9" spans="1:34" x14ac:dyDescent="0.3">
      <c r="A9" s="2" t="s">
        <v>28</v>
      </c>
      <c r="B9" s="3" t="str">
        <f>'Model names'!B7</f>
        <v>AM_WATER_STATE_MODEL_10Yr_2018-2027_IL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6"/>
      <c r="P9" s="3" t="str">
        <f>'Model names'!C7</f>
        <v>IL</v>
      </c>
      <c r="Q9" s="8" t="s">
        <v>326</v>
      </c>
      <c r="R9" s="8" t="s">
        <v>326</v>
      </c>
      <c r="S9" s="8" t="s">
        <v>326</v>
      </c>
      <c r="T9" s="8" t="s">
        <v>326</v>
      </c>
      <c r="U9" s="8" t="s">
        <v>326</v>
      </c>
      <c r="V9" s="8" t="s">
        <v>326</v>
      </c>
      <c r="W9" s="8" t="s">
        <v>326</v>
      </c>
      <c r="X9" s="8" t="s">
        <v>326</v>
      </c>
      <c r="Y9" s="8" t="s">
        <v>326</v>
      </c>
      <c r="Z9" s="8" t="s">
        <v>326</v>
      </c>
      <c r="AA9" s="8" t="s">
        <v>326</v>
      </c>
      <c r="AB9" s="7" t="s">
        <v>326</v>
      </c>
      <c r="AC9" s="8"/>
      <c r="AG9" s="5"/>
      <c r="AH9" s="5"/>
    </row>
    <row r="10" spans="1:34" x14ac:dyDescent="0.3">
      <c r="A10" s="2"/>
      <c r="B10" s="3" t="str">
        <f>'Model names'!B8</f>
        <v>AM_WATER_STATE_MODEL_10Yr_2018-2027_IN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/>
      <c r="P10" s="3" t="str">
        <f>'Model names'!C8</f>
        <v>IN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7"/>
      <c r="AC10" s="8"/>
      <c r="AG10" s="5"/>
      <c r="AH10" s="5"/>
    </row>
    <row r="11" spans="1:34" x14ac:dyDescent="0.3">
      <c r="A11" s="2"/>
      <c r="B11" s="3" t="str">
        <f>'Model names'!B9</f>
        <v>AM_WATER_STATE_MODEL_10Yr_2018-2027_KY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6"/>
      <c r="P11" s="3" t="str">
        <f>'Model names'!C9</f>
        <v>KY</v>
      </c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7"/>
      <c r="AC11" s="8"/>
      <c r="AG11" s="5"/>
      <c r="AH11" s="5"/>
    </row>
    <row r="12" spans="1:34" x14ac:dyDescent="0.3">
      <c r="A12" s="2"/>
      <c r="B12" s="3" t="str">
        <f>'Model names'!B10</f>
        <v>AM_WATER_STATE_MODEL_10Yr_2018-2027_Liberty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6"/>
      <c r="P12" s="3" t="str">
        <f>'Model names'!C10</f>
        <v>Liberty</v>
      </c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7"/>
      <c r="AC12" s="8"/>
      <c r="AG12" s="5"/>
      <c r="AH12" s="5"/>
    </row>
    <row r="13" spans="1:34" x14ac:dyDescent="0.3">
      <c r="A13" s="2"/>
      <c r="B13" s="3" t="str">
        <f>'Model names'!B11</f>
        <v>AM_WATER_STATE_MODEL_10Yr_2018-2027_LW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6"/>
      <c r="P13" s="3" t="str">
        <f>'Model names'!C11</f>
        <v>LW</v>
      </c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7"/>
      <c r="AC13" s="8"/>
      <c r="AG13" s="5"/>
      <c r="AH13" s="5"/>
    </row>
    <row r="14" spans="1:34" x14ac:dyDescent="0.3">
      <c r="A14" s="2"/>
      <c r="B14" s="3" t="str">
        <f>'Model names'!B12</f>
        <v>AM_WATER_STATE_MODEL_10Yr_2018-2027_MD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6"/>
      <c r="P14" s="3" t="str">
        <f>'Model names'!C12</f>
        <v>MD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7"/>
      <c r="AC14" s="8"/>
      <c r="AG14" s="5"/>
      <c r="AH14" s="5"/>
    </row>
    <row r="15" spans="1:34" x14ac:dyDescent="0.3">
      <c r="A15" s="2"/>
      <c r="B15" s="3" t="str">
        <f>'Model names'!B13</f>
        <v>AM_WATER_STATE_MODEL_10Yr_2018-2027_MI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6"/>
      <c r="P15" s="3" t="str">
        <f>'Model names'!C13</f>
        <v>MI</v>
      </c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7"/>
      <c r="AC15" s="8"/>
      <c r="AG15" s="5"/>
      <c r="AH15" s="5"/>
    </row>
    <row r="16" spans="1:34" x14ac:dyDescent="0.3">
      <c r="A16" s="2"/>
      <c r="B16" s="3" t="str">
        <f>'Model names'!B14</f>
        <v>AM_WATER_STATE_MODEL_10Yr_2018-2027_MO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6"/>
      <c r="P16" s="3" t="str">
        <f>'Model names'!C14</f>
        <v>MO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7"/>
      <c r="AC16" s="8"/>
      <c r="AG16" s="5"/>
      <c r="AH16" s="5"/>
    </row>
    <row r="17" spans="1:34" x14ac:dyDescent="0.3">
      <c r="A17" s="2"/>
      <c r="B17" s="3" t="str">
        <f>'Model names'!B15</f>
        <v>AM_WATER_STATE_MODEL_10Yr_2018-2027_NJ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6"/>
      <c r="P17" s="3" t="str">
        <f>'Model names'!C15</f>
        <v>NJ</v>
      </c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7"/>
      <c r="AC17" s="8"/>
      <c r="AG17" s="5"/>
      <c r="AH17" s="5"/>
    </row>
    <row r="18" spans="1:34" x14ac:dyDescent="0.3">
      <c r="A18" s="2"/>
      <c r="B18" s="3" t="str">
        <f>'Model names'!B16</f>
        <v>AM_WATER_STATE_MODEL_10Yr_2018-2027_NY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6"/>
      <c r="P18" s="3" t="str">
        <f>'Model names'!C16</f>
        <v>NY</v>
      </c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7"/>
      <c r="AC18" s="8"/>
      <c r="AG18" s="5"/>
      <c r="AH18" s="5"/>
    </row>
    <row r="19" spans="1:34" x14ac:dyDescent="0.3">
      <c r="A19" s="2"/>
      <c r="B19" s="3" t="str">
        <f>'Model names'!B17</f>
        <v>AM_WATER_STATE_MODEL_10Yr_2018-2027_PA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6"/>
      <c r="P19" s="3" t="str">
        <f>'Model names'!C17</f>
        <v>PA</v>
      </c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7"/>
      <c r="AG19" s="5"/>
      <c r="AH19" s="5"/>
    </row>
    <row r="20" spans="1:34" x14ac:dyDescent="0.3">
      <c r="A20" s="2"/>
      <c r="B20" s="3" t="str">
        <f>'Model names'!B18</f>
        <v>AM_WATER_STATE_MODEL_10Yr_2018-2027_TN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6"/>
      <c r="P20" s="3" t="str">
        <f>'Model names'!C18</f>
        <v>TN</v>
      </c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7"/>
      <c r="AC20" s="8"/>
      <c r="AG20" s="5"/>
      <c r="AH20" s="5"/>
    </row>
    <row r="21" spans="1:34" hidden="1" outlineLevel="1" x14ac:dyDescent="0.3">
      <c r="A21" s="3"/>
      <c r="B21" s="3" t="s">
        <v>15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4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34" hidden="1" outlineLevel="1" x14ac:dyDescent="0.3">
      <c r="A22" s="3"/>
      <c r="B22" s="3" t="s">
        <v>15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4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34" hidden="1" outlineLevel="1" x14ac:dyDescent="0.3">
      <c r="A23" s="3"/>
      <c r="B23" s="3" t="s">
        <v>15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34" hidden="1" outlineLevel="1" x14ac:dyDescent="0.3">
      <c r="A24" s="3"/>
      <c r="B24" s="3" t="s">
        <v>15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34" hidden="1" outlineLevel="1" x14ac:dyDescent="0.3">
      <c r="A25" s="3"/>
      <c r="B25" s="3" t="s">
        <v>15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34" hidden="1" outlineLevel="1" x14ac:dyDescent="0.3">
      <c r="A26" s="3"/>
      <c r="B26" s="3" t="s">
        <v>15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3"/>
      <c r="B27" s="3" t="s">
        <v>15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3"/>
      <c r="B28" s="3" t="s">
        <v>15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3"/>
      <c r="B29" s="3" t="s">
        <v>15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3"/>
      <c r="B30" s="3" t="s">
        <v>15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3"/>
      <c r="B31" s="3" t="s">
        <v>15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3"/>
      <c r="B32" s="3" t="s">
        <v>15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3"/>
      <c r="B33" s="3" t="s">
        <v>15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69" priority="3" operator="equal">
      <formula>"On"</formula>
    </cfRule>
  </conditionalFormatting>
  <conditionalFormatting sqref="V21:AA23">
    <cfRule type="cellIs" dxfId="68" priority="2" operator="equal">
      <formula>"On"</formula>
    </cfRule>
  </conditionalFormatting>
  <conditionalFormatting sqref="R21:R23">
    <cfRule type="cellIs" dxfId="67" priority="1" operator="equal">
      <formula>"On"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7169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7169" r:id="rId4" name="CommandButton2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C00000"/>
  </sheetPr>
  <dimension ref="A1:AH40"/>
  <sheetViews>
    <sheetView topLeftCell="J1" zoomScale="85" zoomScaleNormal="85" workbookViewId="0">
      <selection activeCell="V6" sqref="V6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6.8867187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21" width="13.33203125" customWidth="1"/>
    <col min="22" max="26" width="13.33203125" customWidth="1" outlineLevel="1"/>
    <col min="27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10</v>
      </c>
      <c r="P2" s="1">
        <v>10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 t="s">
        <v>41</v>
      </c>
      <c r="R3" s="2" t="s">
        <v>42</v>
      </c>
      <c r="S3" s="2" t="s">
        <v>43</v>
      </c>
      <c r="T3" s="2" t="s">
        <v>44</v>
      </c>
      <c r="U3" s="2" t="s">
        <v>45</v>
      </c>
      <c r="V3" s="2" t="s">
        <v>46</v>
      </c>
      <c r="W3" s="2" t="s">
        <v>47</v>
      </c>
      <c r="X3" s="2" t="s">
        <v>48</v>
      </c>
      <c r="Y3" s="2" t="s">
        <v>49</v>
      </c>
      <c r="Z3" s="2" t="s">
        <v>50</v>
      </c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60</v>
      </c>
      <c r="D4" s="3" t="s">
        <v>31</v>
      </c>
      <c r="E4" s="3" t="s">
        <v>32</v>
      </c>
      <c r="F4" s="3" t="s">
        <v>33</v>
      </c>
      <c r="G4" s="3" t="s">
        <v>34</v>
      </c>
      <c r="H4" s="3" t="s">
        <v>35</v>
      </c>
      <c r="I4" s="3" t="s">
        <v>36</v>
      </c>
      <c r="J4" s="3" t="s">
        <v>37</v>
      </c>
      <c r="K4" s="3" t="s">
        <v>38</v>
      </c>
      <c r="L4" s="3" t="s">
        <v>39</v>
      </c>
      <c r="M4" s="3" t="s">
        <v>40</v>
      </c>
      <c r="N4" s="6"/>
      <c r="O4" s="6"/>
      <c r="P4" s="3" t="str">
        <f>'Model names'!C2</f>
        <v>BFW</v>
      </c>
      <c r="Q4" s="8" t="str">
        <f>'[15]Reg Inputs'!B76</f>
        <v>On</v>
      </c>
      <c r="R4" s="8" t="str">
        <f>'[15]Reg Inputs'!G76</f>
        <v>On</v>
      </c>
      <c r="S4" s="8" t="str">
        <f>'[15]Reg Inputs'!L76</f>
        <v>On</v>
      </c>
      <c r="T4" s="8" t="str">
        <f>'[15]Reg Inputs'!Q76</f>
        <v>Off</v>
      </c>
      <c r="U4" s="8" t="str">
        <f>'[15]Reg Inputs'!V76</f>
        <v>Off</v>
      </c>
      <c r="V4" s="8" t="str">
        <f>'[15]Reg Inputs'!AA76</f>
        <v>Off</v>
      </c>
      <c r="W4" s="8" t="str">
        <f>'[15]Reg Inputs'!AF76</f>
        <v>Off</v>
      </c>
      <c r="X4" s="8" t="str">
        <f>'[15]Reg Inputs'!AK76</f>
        <v>Off</v>
      </c>
      <c r="Y4" s="8" t="str">
        <f>'[15]Reg Inputs'!AP76</f>
        <v>Off</v>
      </c>
      <c r="Z4" s="8" t="str">
        <f>'[15]Reg Inputs'!AU76</f>
        <v>Off</v>
      </c>
      <c r="AA4" s="7"/>
      <c r="AB4" s="7"/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60</v>
      </c>
      <c r="D5" s="3" t="s">
        <v>31</v>
      </c>
      <c r="E5" s="3" t="s">
        <v>32</v>
      </c>
      <c r="F5" s="3" t="s">
        <v>33</v>
      </c>
      <c r="G5" s="3" t="s">
        <v>34</v>
      </c>
      <c r="H5" s="3" t="s">
        <v>35</v>
      </c>
      <c r="I5" s="3" t="s">
        <v>36</v>
      </c>
      <c r="J5" s="3" t="s">
        <v>37</v>
      </c>
      <c r="K5" s="3" t="s">
        <v>38</v>
      </c>
      <c r="L5" s="3" t="s">
        <v>39</v>
      </c>
      <c r="M5" s="3" t="s">
        <v>40</v>
      </c>
      <c r="N5" s="6"/>
      <c r="O5" s="6"/>
      <c r="P5" s="3" t="str">
        <f>'Model names'!C3</f>
        <v>CA</v>
      </c>
      <c r="Q5" s="8" t="str">
        <f>'[17]Reg Inputs'!B76</f>
        <v>Off</v>
      </c>
      <c r="R5" s="8" t="str">
        <f>'[17]Reg Inputs'!G76</f>
        <v>On</v>
      </c>
      <c r="S5" s="8" t="str">
        <f>'[17]Reg Inputs'!L76</f>
        <v>On</v>
      </c>
      <c r="T5" s="8" t="str">
        <f>'[17]Reg Inputs'!Q76</f>
        <v>On</v>
      </c>
      <c r="U5" s="8" t="str">
        <f>'[17]Reg Inputs'!V76</f>
        <v>On</v>
      </c>
      <c r="V5" s="8" t="str">
        <f>'[17]Reg Inputs'!AA76</f>
        <v>On</v>
      </c>
      <c r="W5" s="8" t="str">
        <f>'[17]Reg Inputs'!AF76</f>
        <v>On</v>
      </c>
      <c r="X5" s="8" t="str">
        <f>'[17]Reg Inputs'!AK76</f>
        <v>On</v>
      </c>
      <c r="Y5" s="8" t="str">
        <f>'[17]Reg Inputs'!AP76</f>
        <v>On</v>
      </c>
      <c r="Z5" s="8" t="str">
        <f>'[17]Reg Inputs'!AU76</f>
        <v>On</v>
      </c>
      <c r="AA5" s="7"/>
      <c r="AB5" s="7"/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60</v>
      </c>
      <c r="D6" s="3" t="s">
        <v>31</v>
      </c>
      <c r="E6" s="3" t="s">
        <v>32</v>
      </c>
      <c r="F6" s="3" t="s">
        <v>33</v>
      </c>
      <c r="G6" s="3" t="s">
        <v>34</v>
      </c>
      <c r="H6" s="3" t="s">
        <v>35</v>
      </c>
      <c r="I6" s="3" t="s">
        <v>36</v>
      </c>
      <c r="J6" s="3" t="s">
        <v>37</v>
      </c>
      <c r="K6" s="3" t="s">
        <v>38</v>
      </c>
      <c r="L6" s="3" t="s">
        <v>39</v>
      </c>
      <c r="M6" s="3" t="s">
        <v>40</v>
      </c>
      <c r="N6" s="6"/>
      <c r="O6" s="6"/>
      <c r="P6" s="3" t="str">
        <f>'Model names'!C4</f>
        <v>ETS</v>
      </c>
      <c r="Q6" s="8" t="str">
        <f>'[19]Reg Inputs'!B76</f>
        <v>Off</v>
      </c>
      <c r="R6" s="8" t="str">
        <f>'[19]Reg Inputs'!G76</f>
        <v>Off</v>
      </c>
      <c r="S6" s="8" t="str">
        <f>'[19]Reg Inputs'!L76</f>
        <v>Off</v>
      </c>
      <c r="T6" s="8" t="str">
        <f>'[19]Reg Inputs'!Q76</f>
        <v>Off</v>
      </c>
      <c r="U6" s="8" t="str">
        <f>'[19]Reg Inputs'!V76</f>
        <v>Off</v>
      </c>
      <c r="V6" s="8" t="str">
        <f>'[19]Reg Inputs'!AA76</f>
        <v>On</v>
      </c>
      <c r="W6" s="8" t="str">
        <f>'[19]Reg Inputs'!AF76</f>
        <v>Off</v>
      </c>
      <c r="X6" s="8" t="str">
        <f>'[19]Reg Inputs'!AK76</f>
        <v>Off</v>
      </c>
      <c r="Y6" s="8" t="str">
        <f>'[19]Reg Inputs'!AP76</f>
        <v>Off</v>
      </c>
      <c r="Z6" s="8" t="str">
        <f>'[19]Reg Inputs'!AU76</f>
        <v>Off</v>
      </c>
      <c r="AA6" s="7"/>
      <c r="AB6" s="7"/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60</v>
      </c>
      <c r="D7" s="3" t="s">
        <v>31</v>
      </c>
      <c r="E7" s="3" t="s">
        <v>32</v>
      </c>
      <c r="F7" s="3" t="s">
        <v>33</v>
      </c>
      <c r="G7" s="3" t="s">
        <v>34</v>
      </c>
      <c r="H7" s="3" t="s">
        <v>35</v>
      </c>
      <c r="I7" s="3" t="s">
        <v>36</v>
      </c>
      <c r="J7" s="3" t="s">
        <v>37</v>
      </c>
      <c r="K7" s="3" t="s">
        <v>38</v>
      </c>
      <c r="L7" s="3" t="s">
        <v>39</v>
      </c>
      <c r="M7" s="3" t="s">
        <v>40</v>
      </c>
      <c r="N7" s="6"/>
      <c r="O7" s="6"/>
      <c r="P7" s="3" t="str">
        <f>'Model names'!C5</f>
        <v>HI</v>
      </c>
      <c r="Q7" s="8" t="str">
        <f>'[21]Reg Inputs'!B76</f>
        <v>Off</v>
      </c>
      <c r="R7" s="8" t="str">
        <f>'[21]Reg Inputs'!G76</f>
        <v>On</v>
      </c>
      <c r="S7" s="8" t="str">
        <f>'[21]Reg Inputs'!L76</f>
        <v>On</v>
      </c>
      <c r="T7" s="8" t="str">
        <f>'[21]Reg Inputs'!Q76</f>
        <v>On</v>
      </c>
      <c r="U7" s="8" t="str">
        <f>'[21]Reg Inputs'!V76</f>
        <v>Off</v>
      </c>
      <c r="V7" s="8" t="str">
        <f>'[21]Reg Inputs'!AA76</f>
        <v>Off</v>
      </c>
      <c r="W7" s="8" t="str">
        <f>'[21]Reg Inputs'!AF76</f>
        <v>Off</v>
      </c>
      <c r="X7" s="8" t="str">
        <f>'[21]Reg Inputs'!AK76</f>
        <v>Off</v>
      </c>
      <c r="Y7" s="8" t="str">
        <f>'[21]Reg Inputs'!AP76</f>
        <v>Off</v>
      </c>
      <c r="Z7" s="8" t="str">
        <f>'[21]Reg Inputs'!AU76</f>
        <v>On</v>
      </c>
      <c r="AA7" s="7"/>
      <c r="AB7" s="7"/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60</v>
      </c>
      <c r="D8" s="3" t="s">
        <v>31</v>
      </c>
      <c r="E8" s="3" t="s">
        <v>32</v>
      </c>
      <c r="F8" s="3" t="s">
        <v>33</v>
      </c>
      <c r="G8" s="3" t="s">
        <v>34</v>
      </c>
      <c r="H8" s="3" t="s">
        <v>35</v>
      </c>
      <c r="I8" s="3" t="s">
        <v>36</v>
      </c>
      <c r="J8" s="3" t="s">
        <v>37</v>
      </c>
      <c r="K8" s="3" t="s">
        <v>38</v>
      </c>
      <c r="L8" s="3" t="s">
        <v>39</v>
      </c>
      <c r="M8" s="3" t="s">
        <v>40</v>
      </c>
      <c r="N8" s="6"/>
      <c r="O8" s="6"/>
      <c r="P8" s="3" t="str">
        <f>'Model names'!C6</f>
        <v>IA</v>
      </c>
      <c r="Q8" s="8" t="str">
        <f>'[23]Reg Inputs'!B76</f>
        <v>On</v>
      </c>
      <c r="R8" s="8" t="str">
        <f>'[23]Reg Inputs'!G76</f>
        <v>On</v>
      </c>
      <c r="S8" s="8" t="str">
        <f>'[23]Reg Inputs'!L76</f>
        <v>Off</v>
      </c>
      <c r="T8" s="8" t="str">
        <f>'[23]Reg Inputs'!Q76</f>
        <v>Off</v>
      </c>
      <c r="U8" s="8" t="str">
        <f>'[23]Reg Inputs'!V76</f>
        <v>Off</v>
      </c>
      <c r="V8" s="8" t="str">
        <f>'[23]Reg Inputs'!AA76</f>
        <v>Off</v>
      </c>
      <c r="W8" s="8" t="str">
        <f>'[23]Reg Inputs'!AF76</f>
        <v>Off</v>
      </c>
      <c r="X8" s="8" t="str">
        <f>'[23]Reg Inputs'!AK76</f>
        <v>Off</v>
      </c>
      <c r="Y8" s="8" t="str">
        <f>'[23]Reg Inputs'!AP76</f>
        <v>Off</v>
      </c>
      <c r="Z8" s="8" t="str">
        <f>'[23]Reg Inputs'!AU76</f>
        <v>Off</v>
      </c>
      <c r="AA8" s="7"/>
      <c r="AB8" s="7"/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60</v>
      </c>
      <c r="D9" s="3" t="s">
        <v>31</v>
      </c>
      <c r="E9" s="3" t="s">
        <v>32</v>
      </c>
      <c r="F9" s="3" t="s">
        <v>33</v>
      </c>
      <c r="G9" s="3" t="s">
        <v>34</v>
      </c>
      <c r="H9" s="3" t="s">
        <v>35</v>
      </c>
      <c r="I9" s="3" t="s">
        <v>36</v>
      </c>
      <c r="J9" s="3" t="s">
        <v>37</v>
      </c>
      <c r="K9" s="3" t="s">
        <v>38</v>
      </c>
      <c r="L9" s="3" t="s">
        <v>39</v>
      </c>
      <c r="M9" s="3" t="s">
        <v>40</v>
      </c>
      <c r="N9" s="6"/>
      <c r="O9" s="6"/>
      <c r="P9" s="3" t="str">
        <f>'Model names'!C7</f>
        <v>IL</v>
      </c>
      <c r="Q9" s="8" t="str">
        <f>'[25]Reg Inputs'!B76</f>
        <v>Off</v>
      </c>
      <c r="R9" s="8" t="str">
        <f>'[25]Reg Inputs'!G76</f>
        <v>Off</v>
      </c>
      <c r="S9" s="8" t="str">
        <f>'[25]Reg Inputs'!L76</f>
        <v>Off</v>
      </c>
      <c r="T9" s="8" t="str">
        <f>'[25]Reg Inputs'!Q76</f>
        <v>On</v>
      </c>
      <c r="U9" s="8" t="str">
        <f>'[25]Reg Inputs'!V76</f>
        <v>Off</v>
      </c>
      <c r="V9" s="8" t="str">
        <f>'[25]Reg Inputs'!AA76</f>
        <v>Off</v>
      </c>
      <c r="W9" s="8" t="str">
        <f>'[25]Reg Inputs'!AF76</f>
        <v>Off</v>
      </c>
      <c r="X9" s="8" t="str">
        <f>'[25]Reg Inputs'!AK76</f>
        <v>On</v>
      </c>
      <c r="Y9" s="8" t="str">
        <f>'[25]Reg Inputs'!AP76</f>
        <v>Off</v>
      </c>
      <c r="Z9" s="8" t="str">
        <f>'[25]Reg Inputs'!AU76</f>
        <v>Off</v>
      </c>
      <c r="AA9" s="7"/>
      <c r="AB9" s="7"/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60</v>
      </c>
      <c r="D10" s="3" t="s">
        <v>31</v>
      </c>
      <c r="E10" s="3" t="s">
        <v>32</v>
      </c>
      <c r="F10" s="3" t="s">
        <v>33</v>
      </c>
      <c r="G10" s="3" t="s">
        <v>34</v>
      </c>
      <c r="H10" s="3" t="s">
        <v>35</v>
      </c>
      <c r="I10" s="3" t="s">
        <v>36</v>
      </c>
      <c r="J10" s="3" t="s">
        <v>37</v>
      </c>
      <c r="K10" s="3" t="s">
        <v>38</v>
      </c>
      <c r="L10" s="3" t="s">
        <v>39</v>
      </c>
      <c r="M10" s="3" t="s">
        <v>40</v>
      </c>
      <c r="N10" s="6"/>
      <c r="O10" s="6"/>
      <c r="P10" s="3" t="str">
        <f>'Model names'!C8</f>
        <v>IN</v>
      </c>
      <c r="Q10" s="8" t="str">
        <f>'[27]Reg Inputs'!B76</f>
        <v>On</v>
      </c>
      <c r="R10" s="8" t="str">
        <f>'[27]Reg Inputs'!G76</f>
        <v>On</v>
      </c>
      <c r="S10" s="8" t="str">
        <f>'[27]Reg Inputs'!L76</f>
        <v>Off</v>
      </c>
      <c r="T10" s="8" t="str">
        <f>'[27]Reg Inputs'!Q76</f>
        <v>Off</v>
      </c>
      <c r="U10" s="8" t="str">
        <f>'[27]Reg Inputs'!V76</f>
        <v>Off</v>
      </c>
      <c r="V10" s="8" t="str">
        <f>'[27]Reg Inputs'!AA76</f>
        <v>Off</v>
      </c>
      <c r="W10" s="8" t="str">
        <f>'[27]Reg Inputs'!AF76</f>
        <v>Off</v>
      </c>
      <c r="X10" s="8" t="str">
        <f>'[27]Reg Inputs'!AK76</f>
        <v>Off</v>
      </c>
      <c r="Y10" s="8" t="str">
        <f>'[27]Reg Inputs'!AP76</f>
        <v>Off</v>
      </c>
      <c r="Z10" s="8" t="str">
        <f>'[27]Reg Inputs'!AU76</f>
        <v>Off</v>
      </c>
      <c r="AA10" s="7"/>
      <c r="AB10" s="7"/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60</v>
      </c>
      <c r="D11" s="3" t="s">
        <v>31</v>
      </c>
      <c r="E11" s="3" t="s">
        <v>32</v>
      </c>
      <c r="F11" s="3" t="s">
        <v>33</v>
      </c>
      <c r="G11" s="3" t="s">
        <v>34</v>
      </c>
      <c r="H11" s="3" t="s">
        <v>35</v>
      </c>
      <c r="I11" s="3" t="s">
        <v>36</v>
      </c>
      <c r="J11" s="3" t="s">
        <v>37</v>
      </c>
      <c r="K11" s="3" t="s">
        <v>38</v>
      </c>
      <c r="L11" s="3" t="s">
        <v>39</v>
      </c>
      <c r="M11" s="3" t="s">
        <v>40</v>
      </c>
      <c r="N11" s="6"/>
      <c r="O11" s="6"/>
      <c r="P11" s="3" t="str">
        <f>'Model names'!C9</f>
        <v>KY</v>
      </c>
      <c r="Q11" s="8" t="str">
        <f>'[29]Reg Inputs'!B76</f>
        <v>On</v>
      </c>
      <c r="R11" s="8" t="str">
        <f>'[29]Reg Inputs'!G76</f>
        <v>Off</v>
      </c>
      <c r="S11" s="8" t="str">
        <f>'[29]Reg Inputs'!L76</f>
        <v>Off</v>
      </c>
      <c r="T11" s="8" t="str">
        <f>'[29]Reg Inputs'!Q76</f>
        <v>Off</v>
      </c>
      <c r="U11" s="8" t="str">
        <f>'[29]Reg Inputs'!V76</f>
        <v>Off</v>
      </c>
      <c r="V11" s="8" t="str">
        <f>'[29]Reg Inputs'!AA76</f>
        <v>Off</v>
      </c>
      <c r="W11" s="8" t="str">
        <f>'[29]Reg Inputs'!AF76</f>
        <v>Off</v>
      </c>
      <c r="X11" s="8" t="str">
        <f>'[29]Reg Inputs'!AK76</f>
        <v>Off</v>
      </c>
      <c r="Y11" s="8" t="str">
        <f>'[29]Reg Inputs'!AP76</f>
        <v>Off</v>
      </c>
      <c r="Z11" s="8" t="str">
        <f>'[29]Reg Inputs'!AU76</f>
        <v>Off</v>
      </c>
      <c r="AA11" s="7"/>
      <c r="AB11" s="7"/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60</v>
      </c>
      <c r="D12" s="3" t="s">
        <v>31</v>
      </c>
      <c r="E12" s="3" t="s">
        <v>32</v>
      </c>
      <c r="F12" s="3" t="s">
        <v>33</v>
      </c>
      <c r="G12" s="3" t="s">
        <v>34</v>
      </c>
      <c r="H12" s="3" t="s">
        <v>35</v>
      </c>
      <c r="I12" s="3" t="s">
        <v>36</v>
      </c>
      <c r="J12" s="3" t="s">
        <v>37</v>
      </c>
      <c r="K12" s="3" t="s">
        <v>38</v>
      </c>
      <c r="L12" s="3" t="s">
        <v>39</v>
      </c>
      <c r="M12" s="3" t="s">
        <v>40</v>
      </c>
      <c r="N12" s="6"/>
      <c r="O12" s="6"/>
      <c r="P12" s="3" t="str">
        <f>'Model names'!C10</f>
        <v>Liberty</v>
      </c>
      <c r="Q12" s="8" t="str">
        <f>'[31]Reg Inputs'!B76</f>
        <v>Off</v>
      </c>
      <c r="R12" s="8" t="str">
        <f>'[31]Reg Inputs'!G76</f>
        <v>Off</v>
      </c>
      <c r="S12" s="8" t="str">
        <f>'[31]Reg Inputs'!L76</f>
        <v>Off</v>
      </c>
      <c r="T12" s="8" t="str">
        <f>'[31]Reg Inputs'!Q76</f>
        <v>Off</v>
      </c>
      <c r="U12" s="8" t="str">
        <f>'[31]Reg Inputs'!V76</f>
        <v>Off</v>
      </c>
      <c r="V12" s="8" t="str">
        <f>'[31]Reg Inputs'!AA76</f>
        <v>Off</v>
      </c>
      <c r="W12" s="8" t="str">
        <f>'[31]Reg Inputs'!AF76</f>
        <v>Off</v>
      </c>
      <c r="X12" s="8" t="str">
        <f>'[31]Reg Inputs'!AK76</f>
        <v>Off</v>
      </c>
      <c r="Y12" s="8" t="str">
        <f>'[31]Reg Inputs'!AP76</f>
        <v>Off</v>
      </c>
      <c r="Z12" s="8" t="str">
        <f>'[31]Reg Inputs'!AU76</f>
        <v>Off</v>
      </c>
      <c r="AA12" s="7"/>
      <c r="AB12" s="7"/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60</v>
      </c>
      <c r="D13" s="3" t="s">
        <v>31</v>
      </c>
      <c r="E13" s="3" t="s">
        <v>32</v>
      </c>
      <c r="F13" s="3" t="s">
        <v>33</v>
      </c>
      <c r="G13" s="3" t="s">
        <v>34</v>
      </c>
      <c r="H13" s="3" t="s">
        <v>35</v>
      </c>
      <c r="I13" s="3" t="s">
        <v>36</v>
      </c>
      <c r="J13" s="3" t="s">
        <v>37</v>
      </c>
      <c r="K13" s="3" t="s">
        <v>38</v>
      </c>
      <c r="L13" s="3" t="s">
        <v>39</v>
      </c>
      <c r="M13" s="3" t="s">
        <v>40</v>
      </c>
      <c r="N13" s="6"/>
      <c r="O13" s="6"/>
      <c r="P13" s="3" t="str">
        <f>'Model names'!C11</f>
        <v>LW</v>
      </c>
      <c r="Q13" s="8" t="str">
        <f>'[33]Reg Inputs'!B76</f>
        <v>Off</v>
      </c>
      <c r="R13" s="8" t="str">
        <f>'[33]Reg Inputs'!G76</f>
        <v>Off</v>
      </c>
      <c r="S13" s="8" t="str">
        <f>'[33]Reg Inputs'!L76</f>
        <v>Off</v>
      </c>
      <c r="T13" s="8" t="str">
        <f>'[33]Reg Inputs'!Q76</f>
        <v>Off</v>
      </c>
      <c r="U13" s="8" t="str">
        <f>'[33]Reg Inputs'!V76</f>
        <v>Off</v>
      </c>
      <c r="V13" s="8" t="str">
        <f>'[33]Reg Inputs'!AA76</f>
        <v>Off</v>
      </c>
      <c r="W13" s="8" t="str">
        <f>'[33]Reg Inputs'!AF76</f>
        <v>Off</v>
      </c>
      <c r="X13" s="8" t="str">
        <f>'[33]Reg Inputs'!AK76</f>
        <v>Off</v>
      </c>
      <c r="Y13" s="8" t="str">
        <f>'[33]Reg Inputs'!AP76</f>
        <v>Off</v>
      </c>
      <c r="Z13" s="8" t="str">
        <f>'[33]Reg Inputs'!AU76</f>
        <v>Off</v>
      </c>
      <c r="AA13" s="7"/>
      <c r="AB13" s="7"/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60</v>
      </c>
      <c r="D14" s="3" t="s">
        <v>31</v>
      </c>
      <c r="E14" s="3" t="s">
        <v>32</v>
      </c>
      <c r="F14" s="3" t="s">
        <v>33</v>
      </c>
      <c r="G14" s="3" t="s">
        <v>34</v>
      </c>
      <c r="H14" s="3" t="s">
        <v>35</v>
      </c>
      <c r="I14" s="3" t="s">
        <v>36</v>
      </c>
      <c r="J14" s="3" t="s">
        <v>37</v>
      </c>
      <c r="K14" s="3" t="s">
        <v>38</v>
      </c>
      <c r="L14" s="3" t="s">
        <v>39</v>
      </c>
      <c r="M14" s="3" t="s">
        <v>40</v>
      </c>
      <c r="N14" s="6"/>
      <c r="O14" s="6"/>
      <c r="P14" s="3" t="str">
        <f>'Model names'!C12</f>
        <v>MD</v>
      </c>
      <c r="Q14" s="8" t="str">
        <f>'[35]Reg Inputs'!B76</f>
        <v>On</v>
      </c>
      <c r="R14" s="8" t="str">
        <f>'[35]Reg Inputs'!G76</f>
        <v>On</v>
      </c>
      <c r="S14" s="8" t="str">
        <f>'[35]Reg Inputs'!L76</f>
        <v>On</v>
      </c>
      <c r="T14" s="8" t="str">
        <f>'[35]Reg Inputs'!Q76</f>
        <v>On</v>
      </c>
      <c r="U14" s="8" t="str">
        <f>'[35]Reg Inputs'!V76</f>
        <v>On</v>
      </c>
      <c r="V14" s="8" t="str">
        <f>'[35]Reg Inputs'!AA76</f>
        <v>Off</v>
      </c>
      <c r="W14" s="8" t="str">
        <f>'[35]Reg Inputs'!AF76</f>
        <v>Off</v>
      </c>
      <c r="X14" s="8" t="str">
        <f>'[35]Reg Inputs'!AK76</f>
        <v>Off</v>
      </c>
      <c r="Y14" s="8" t="str">
        <f>'[35]Reg Inputs'!AP76</f>
        <v>Off</v>
      </c>
      <c r="Z14" s="8" t="str">
        <f>'[35]Reg Inputs'!AU76</f>
        <v>Off</v>
      </c>
      <c r="AA14" s="7"/>
      <c r="AB14" s="7"/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60</v>
      </c>
      <c r="D15" s="3" t="s">
        <v>31</v>
      </c>
      <c r="E15" s="3" t="s">
        <v>32</v>
      </c>
      <c r="F15" s="3" t="s">
        <v>33</v>
      </c>
      <c r="G15" s="3" t="s">
        <v>34</v>
      </c>
      <c r="H15" s="3" t="s">
        <v>35</v>
      </c>
      <c r="I15" s="3" t="s">
        <v>36</v>
      </c>
      <c r="J15" s="3" t="s">
        <v>37</v>
      </c>
      <c r="K15" s="3" t="s">
        <v>38</v>
      </c>
      <c r="L15" s="3" t="s">
        <v>39</v>
      </c>
      <c r="M15" s="3" t="s">
        <v>40</v>
      </c>
      <c r="N15" s="6"/>
      <c r="O15" s="6"/>
      <c r="P15" s="3" t="str">
        <f>'Model names'!C13</f>
        <v>MI</v>
      </c>
      <c r="Q15" s="8" t="str">
        <f>'[37]Reg Inputs'!B76</f>
        <v>On</v>
      </c>
      <c r="R15" s="8" t="str">
        <f>'[37]Reg Inputs'!G76</f>
        <v>On</v>
      </c>
      <c r="S15" s="8" t="str">
        <f>'[37]Reg Inputs'!L76</f>
        <v>On</v>
      </c>
      <c r="T15" s="8" t="str">
        <f>'[37]Reg Inputs'!Q76</f>
        <v>On</v>
      </c>
      <c r="U15" s="8" t="str">
        <f>'[37]Reg Inputs'!V76</f>
        <v>On</v>
      </c>
      <c r="V15" s="8" t="str">
        <f>'[37]Reg Inputs'!AA76</f>
        <v>Off</v>
      </c>
      <c r="W15" s="8" t="str">
        <f>'[37]Reg Inputs'!AF76</f>
        <v>Off</v>
      </c>
      <c r="X15" s="8" t="str">
        <f>'[37]Reg Inputs'!AK76</f>
        <v>Off</v>
      </c>
      <c r="Y15" s="8" t="str">
        <f>'[37]Reg Inputs'!AP76</f>
        <v>Off</v>
      </c>
      <c r="Z15" s="8" t="str">
        <f>'[37]Reg Inputs'!AU76</f>
        <v>Off</v>
      </c>
      <c r="AA15" s="7"/>
      <c r="AB15" s="7"/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60</v>
      </c>
      <c r="D16" s="3" t="s">
        <v>31</v>
      </c>
      <c r="E16" s="3" t="s">
        <v>32</v>
      </c>
      <c r="F16" s="3" t="s">
        <v>33</v>
      </c>
      <c r="G16" s="3" t="s">
        <v>34</v>
      </c>
      <c r="H16" s="3" t="s">
        <v>35</v>
      </c>
      <c r="I16" s="3" t="s">
        <v>36</v>
      </c>
      <c r="J16" s="3" t="s">
        <v>37</v>
      </c>
      <c r="K16" s="3" t="s">
        <v>38</v>
      </c>
      <c r="L16" s="3" t="s">
        <v>39</v>
      </c>
      <c r="M16" s="3" t="s">
        <v>40</v>
      </c>
      <c r="N16" s="6"/>
      <c r="O16" s="6"/>
      <c r="P16" s="3" t="str">
        <f>'Model names'!C14</f>
        <v>MO</v>
      </c>
      <c r="Q16" s="8" t="str">
        <f>'[39]Reg Inputs'!B76</f>
        <v>On</v>
      </c>
      <c r="R16" s="8" t="str">
        <f>'[39]Reg Inputs'!G76</f>
        <v>On</v>
      </c>
      <c r="S16" s="8" t="str">
        <f>'[39]Reg Inputs'!L76</f>
        <v>On</v>
      </c>
      <c r="T16" s="8" t="str">
        <f>'[39]Reg Inputs'!Q76</f>
        <v>On</v>
      </c>
      <c r="U16" s="8" t="str">
        <f>'[39]Reg Inputs'!V76</f>
        <v>Off</v>
      </c>
      <c r="V16" s="8" t="str">
        <f>'[39]Reg Inputs'!AA76</f>
        <v>Off</v>
      </c>
      <c r="W16" s="8" t="str">
        <f>'[39]Reg Inputs'!AF76</f>
        <v>Off</v>
      </c>
      <c r="X16" s="8" t="str">
        <f>'[39]Reg Inputs'!AK76</f>
        <v>Off</v>
      </c>
      <c r="Y16" s="8" t="str">
        <f>'[39]Reg Inputs'!AP76</f>
        <v>Off</v>
      </c>
      <c r="Z16" s="8" t="str">
        <f>'[39]Reg Inputs'!AU76</f>
        <v>Off</v>
      </c>
      <c r="AA16" s="7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60</v>
      </c>
      <c r="D17" s="3" t="s">
        <v>31</v>
      </c>
      <c r="E17" s="3" t="s">
        <v>32</v>
      </c>
      <c r="F17" s="3" t="s">
        <v>33</v>
      </c>
      <c r="G17" s="3" t="s">
        <v>34</v>
      </c>
      <c r="H17" s="3" t="s">
        <v>35</v>
      </c>
      <c r="I17" s="3" t="s">
        <v>36</v>
      </c>
      <c r="J17" s="3" t="s">
        <v>37</v>
      </c>
      <c r="K17" s="3" t="s">
        <v>38</v>
      </c>
      <c r="L17" s="3" t="s">
        <v>39</v>
      </c>
      <c r="M17" s="3" t="s">
        <v>40</v>
      </c>
      <c r="N17" s="6"/>
      <c r="O17" s="6"/>
      <c r="P17" s="3" t="str">
        <f>'Model names'!C15</f>
        <v>NJ</v>
      </c>
      <c r="Q17" s="8" t="str">
        <f>'[41]Reg Inputs'!B76</f>
        <v>On</v>
      </c>
      <c r="R17" s="8" t="str">
        <f>'[41]Reg Inputs'!G76</f>
        <v>On</v>
      </c>
      <c r="S17" s="8" t="str">
        <f>'[41]Reg Inputs'!L76</f>
        <v>On</v>
      </c>
      <c r="T17" s="8" t="str">
        <f>'[41]Reg Inputs'!Q76</f>
        <v>Off</v>
      </c>
      <c r="U17" s="8" t="str">
        <f>'[41]Reg Inputs'!V76</f>
        <v>Off</v>
      </c>
      <c r="V17" s="8" t="str">
        <f>'[41]Reg Inputs'!AA76</f>
        <v>Off</v>
      </c>
      <c r="W17" s="8" t="str">
        <f>'[41]Reg Inputs'!AF76</f>
        <v>Off</v>
      </c>
      <c r="X17" s="8" t="str">
        <f>'[41]Reg Inputs'!AK76</f>
        <v>Off</v>
      </c>
      <c r="Y17" s="8" t="str">
        <f>'[41]Reg Inputs'!AP76</f>
        <v>Off</v>
      </c>
      <c r="Z17" s="8" t="str">
        <f>'[41]Reg Inputs'!AU76</f>
        <v>Off</v>
      </c>
      <c r="AA17" s="7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60</v>
      </c>
      <c r="D18" s="3" t="s">
        <v>31</v>
      </c>
      <c r="E18" s="3" t="s">
        <v>32</v>
      </c>
      <c r="F18" s="3" t="s">
        <v>33</v>
      </c>
      <c r="G18" s="3" t="s">
        <v>34</v>
      </c>
      <c r="H18" s="3" t="s">
        <v>35</v>
      </c>
      <c r="I18" s="3" t="s">
        <v>36</v>
      </c>
      <c r="J18" s="3" t="s">
        <v>37</v>
      </c>
      <c r="K18" s="3" t="s">
        <v>38</v>
      </c>
      <c r="L18" s="3" t="s">
        <v>39</v>
      </c>
      <c r="M18" s="3" t="s">
        <v>40</v>
      </c>
      <c r="N18" s="6"/>
      <c r="O18" s="6"/>
      <c r="P18" s="3" t="str">
        <f>'Model names'!C16</f>
        <v>NY</v>
      </c>
      <c r="Q18" s="8" t="str">
        <f>'[43]Reg Inputs'!B76</f>
        <v>On</v>
      </c>
      <c r="R18" s="8" t="str">
        <f>'[43]Reg Inputs'!G76</f>
        <v>On</v>
      </c>
      <c r="S18" s="8" t="str">
        <f>'[43]Reg Inputs'!L76</f>
        <v>Off</v>
      </c>
      <c r="T18" s="8" t="str">
        <f>'[43]Reg Inputs'!Q76</f>
        <v>Off</v>
      </c>
      <c r="U18" s="8" t="str">
        <f>'[43]Reg Inputs'!V76</f>
        <v>Off</v>
      </c>
      <c r="V18" s="8" t="str">
        <f>'[43]Reg Inputs'!AA76</f>
        <v>Off</v>
      </c>
      <c r="W18" s="8" t="str">
        <f>'[43]Reg Inputs'!AF76</f>
        <v>Off</v>
      </c>
      <c r="X18" s="8" t="str">
        <f>'[43]Reg Inputs'!AK76</f>
        <v>Off</v>
      </c>
      <c r="Y18" s="8" t="str">
        <f>'[43]Reg Inputs'!AP76</f>
        <v>Off</v>
      </c>
      <c r="Z18" s="8" t="str">
        <f>'[43]Reg Inputs'!AU76</f>
        <v>Off</v>
      </c>
      <c r="AA18" s="7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60</v>
      </c>
      <c r="D19" s="3" t="s">
        <v>31</v>
      </c>
      <c r="E19" s="3" t="s">
        <v>32</v>
      </c>
      <c r="F19" s="3" t="s">
        <v>33</v>
      </c>
      <c r="G19" s="3" t="s">
        <v>34</v>
      </c>
      <c r="H19" s="3" t="s">
        <v>35</v>
      </c>
      <c r="I19" s="3" t="s">
        <v>36</v>
      </c>
      <c r="J19" s="3" t="s">
        <v>37</v>
      </c>
      <c r="K19" s="3" t="s">
        <v>38</v>
      </c>
      <c r="L19" s="3" t="s">
        <v>39</v>
      </c>
      <c r="M19" s="3" t="s">
        <v>40</v>
      </c>
      <c r="N19" s="6"/>
      <c r="O19" s="6"/>
      <c r="P19" s="3" t="str">
        <f>'Model names'!C17</f>
        <v>PA</v>
      </c>
      <c r="Q19" s="8" t="str">
        <f>'[45]Reg Inputs'!B76</f>
        <v>Off</v>
      </c>
      <c r="R19" s="8" t="str">
        <f>'[45]Reg Inputs'!G76</f>
        <v>Off</v>
      </c>
      <c r="S19" s="8" t="str">
        <f>'[45]Reg Inputs'!L76</f>
        <v>Off</v>
      </c>
      <c r="T19" s="8" t="str">
        <f>'[45]Reg Inputs'!Q76</f>
        <v>On</v>
      </c>
      <c r="U19" s="8" t="str">
        <f>'[45]Reg Inputs'!V76</f>
        <v>Off</v>
      </c>
      <c r="V19" s="8" t="str">
        <f>'[45]Reg Inputs'!AA76</f>
        <v>Off</v>
      </c>
      <c r="W19" s="8" t="str">
        <f>'[45]Reg Inputs'!AF76</f>
        <v>On</v>
      </c>
      <c r="X19" s="8" t="str">
        <f>'[45]Reg Inputs'!AK76</f>
        <v>Off</v>
      </c>
      <c r="Y19" s="8" t="str">
        <f>'[45]Reg Inputs'!AP76</f>
        <v>Off</v>
      </c>
      <c r="Z19" s="8" t="str">
        <f>'[45]Reg Inputs'!AU76</f>
        <v>On</v>
      </c>
      <c r="AA19" s="7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60</v>
      </c>
      <c r="D20" s="3" t="s">
        <v>31</v>
      </c>
      <c r="E20" s="3" t="s">
        <v>32</v>
      </c>
      <c r="F20" s="3" t="s">
        <v>33</v>
      </c>
      <c r="G20" s="3" t="s">
        <v>34</v>
      </c>
      <c r="H20" s="3" t="s">
        <v>35</v>
      </c>
      <c r="I20" s="3" t="s">
        <v>36</v>
      </c>
      <c r="J20" s="3" t="s">
        <v>37</v>
      </c>
      <c r="K20" s="3" t="s">
        <v>38</v>
      </c>
      <c r="L20" s="3" t="s">
        <v>39</v>
      </c>
      <c r="M20" s="3" t="s">
        <v>40</v>
      </c>
      <c r="N20" s="6"/>
      <c r="O20" s="6"/>
      <c r="P20" s="3" t="str">
        <f>'Model names'!C18</f>
        <v>TN</v>
      </c>
      <c r="Q20" s="8" t="str">
        <f>'[47]Reg Inputs'!B76</f>
        <v>Off</v>
      </c>
      <c r="R20" s="8" t="str">
        <f>'[47]Reg Inputs'!G76</f>
        <v>Off</v>
      </c>
      <c r="S20" s="8" t="str">
        <f>'[47]Reg Inputs'!L76</f>
        <v>Off</v>
      </c>
      <c r="T20" s="8" t="str">
        <f>'[47]Reg Inputs'!Q76</f>
        <v>Off</v>
      </c>
      <c r="U20" s="8" t="str">
        <f>'[47]Reg Inputs'!V76</f>
        <v>Off</v>
      </c>
      <c r="V20" s="8" t="str">
        <f>'[47]Reg Inputs'!AA76</f>
        <v>Off</v>
      </c>
      <c r="W20" s="8" t="str">
        <f>'[47]Reg Inputs'!AF76</f>
        <v>Off</v>
      </c>
      <c r="X20" s="8" t="str">
        <f>'[47]Reg Inputs'!AK76</f>
        <v>Off</v>
      </c>
      <c r="Y20" s="8" t="str">
        <f>'[47]Reg Inputs'!AP76</f>
        <v>Off</v>
      </c>
      <c r="Z20" s="8" t="str">
        <f>'[47]Reg Inputs'!AU76</f>
        <v>Off</v>
      </c>
      <c r="AA20" s="7"/>
      <c r="AB20" s="7"/>
      <c r="AC20" s="8"/>
      <c r="AG20" s="5"/>
      <c r="AH20" s="5"/>
    </row>
    <row r="21" spans="1:34" hidden="1" outlineLevel="1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60</v>
      </c>
      <c r="D21" s="3" t="s">
        <v>31</v>
      </c>
      <c r="E21" s="3" t="s">
        <v>32</v>
      </c>
      <c r="F21" s="3" t="s">
        <v>33</v>
      </c>
      <c r="G21" s="3" t="s">
        <v>34</v>
      </c>
      <c r="H21" s="3" t="s">
        <v>35</v>
      </c>
      <c r="I21" s="3" t="s">
        <v>36</v>
      </c>
      <c r="J21" s="3" t="s">
        <v>37</v>
      </c>
      <c r="K21" s="3" t="s">
        <v>38</v>
      </c>
      <c r="L21" s="3" t="s">
        <v>39</v>
      </c>
      <c r="M21" s="3" t="s">
        <v>40</v>
      </c>
      <c r="N21" s="6"/>
      <c r="O21" s="6"/>
      <c r="P21" s="3" t="str">
        <f>'Model names'!C19</f>
        <v>VA</v>
      </c>
      <c r="Q21" s="8" t="str">
        <f>'[49]Reg Inputs'!B76</f>
        <v>On</v>
      </c>
      <c r="R21" s="8" t="str">
        <f>'[49]Reg Inputs'!G76</f>
        <v>On</v>
      </c>
      <c r="S21" s="8" t="str">
        <f>'[49]Reg Inputs'!L76</f>
        <v>On</v>
      </c>
      <c r="T21" s="8" t="str">
        <f>'[49]Reg Inputs'!Q76</f>
        <v>Off</v>
      </c>
      <c r="U21" s="8" t="str">
        <f>'[49]Reg Inputs'!V76</f>
        <v>Off</v>
      </c>
      <c r="V21" s="8" t="str">
        <f>'[49]Reg Inputs'!AA76</f>
        <v>Off</v>
      </c>
      <c r="W21" s="8" t="str">
        <f>'[49]Reg Inputs'!AF76</f>
        <v>Off</v>
      </c>
      <c r="X21" s="8" t="str">
        <f>'[49]Reg Inputs'!AK76</f>
        <v>Off</v>
      </c>
      <c r="Y21" s="8" t="str">
        <f>'[49]Reg Inputs'!AP76</f>
        <v>Off</v>
      </c>
      <c r="Z21" s="8" t="str">
        <f>'[49]Reg Inputs'!AU76</f>
        <v>Off</v>
      </c>
      <c r="AA21" s="7"/>
      <c r="AB21" s="7"/>
      <c r="AC21" s="8"/>
    </row>
    <row r="22" spans="1:34" hidden="1" outlineLevel="1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60</v>
      </c>
      <c r="D22" s="3" t="s">
        <v>31</v>
      </c>
      <c r="E22" s="3" t="s">
        <v>32</v>
      </c>
      <c r="F22" s="3" t="s">
        <v>33</v>
      </c>
      <c r="G22" s="3" t="s">
        <v>34</v>
      </c>
      <c r="H22" s="3" t="s">
        <v>35</v>
      </c>
      <c r="I22" s="3" t="s">
        <v>36</v>
      </c>
      <c r="J22" s="3" t="s">
        <v>37</v>
      </c>
      <c r="K22" s="3" t="s">
        <v>38</v>
      </c>
      <c r="L22" s="3" t="s">
        <v>39</v>
      </c>
      <c r="M22" s="3" t="s">
        <v>40</v>
      </c>
      <c r="N22" s="6"/>
      <c r="O22" s="6"/>
      <c r="P22" s="3" t="str">
        <f>'Model names'!C20</f>
        <v>WV</v>
      </c>
      <c r="Q22" s="8" t="str">
        <f>'[51]Reg Inputs'!B76</f>
        <v>On</v>
      </c>
      <c r="R22" s="8" t="str">
        <f>'[51]Reg Inputs'!G76</f>
        <v>On</v>
      </c>
      <c r="S22" s="8" t="str">
        <f>'[51]Reg Inputs'!L76</f>
        <v>On</v>
      </c>
      <c r="T22" s="8" t="str">
        <f>'[51]Reg Inputs'!Q76</f>
        <v>Off</v>
      </c>
      <c r="U22" s="8" t="str">
        <f>'[51]Reg Inputs'!V76</f>
        <v>Off</v>
      </c>
      <c r="V22" s="8" t="str">
        <f>'[51]Reg Inputs'!AA76</f>
        <v>Off</v>
      </c>
      <c r="W22" s="8" t="str">
        <f>'[51]Reg Inputs'!AF76</f>
        <v>Off</v>
      </c>
      <c r="X22" s="8" t="str">
        <f>'[51]Reg Inputs'!AK76</f>
        <v>Off</v>
      </c>
      <c r="Y22" s="8" t="str">
        <f>'[51]Reg Inputs'!AP76</f>
        <v>Off</v>
      </c>
      <c r="Z22" s="8" t="str">
        <f>'[51]Reg Inputs'!AU76</f>
        <v>Off</v>
      </c>
      <c r="AA22" s="7"/>
      <c r="AB22" s="7"/>
      <c r="AC22" s="8"/>
    </row>
    <row r="23" spans="1:34" hidden="1" outlineLevel="1" x14ac:dyDescent="0.3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6"/>
      <c r="O23" s="6"/>
      <c r="P23" s="3"/>
      <c r="Q23" s="8"/>
      <c r="R23" s="8"/>
      <c r="S23" s="8"/>
      <c r="T23" s="8"/>
      <c r="U23" s="8"/>
      <c r="V23" s="8"/>
      <c r="W23" s="8"/>
      <c r="X23" s="8"/>
      <c r="Y23" s="8"/>
      <c r="Z23" s="8"/>
      <c r="AA23" s="7"/>
      <c r="AB23" s="7"/>
      <c r="AC23" s="8"/>
    </row>
    <row r="24" spans="1:34" hidden="1" outlineLevel="1" x14ac:dyDescent="0.3">
      <c r="A24" s="2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6"/>
      <c r="O24" s="6"/>
      <c r="P24" s="3"/>
      <c r="Q24" s="8"/>
      <c r="R24" s="8"/>
      <c r="S24" s="8"/>
      <c r="T24" s="8"/>
      <c r="U24" s="8"/>
      <c r="V24" s="8"/>
      <c r="W24" s="8"/>
      <c r="X24" s="8"/>
      <c r="Y24" s="8"/>
      <c r="Z24" s="8"/>
      <c r="AA24" s="7"/>
      <c r="AB24" s="7"/>
      <c r="AC24" s="8"/>
    </row>
    <row r="25" spans="1:34" hidden="1" outlineLevel="1" x14ac:dyDescent="0.3">
      <c r="A25" s="2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6"/>
      <c r="O25" s="6"/>
      <c r="P25" s="3"/>
      <c r="Q25" s="8"/>
      <c r="R25" s="8"/>
      <c r="S25" s="8"/>
      <c r="T25" s="8"/>
      <c r="U25" s="8"/>
      <c r="V25" s="8"/>
      <c r="W25" s="8"/>
      <c r="X25" s="8"/>
      <c r="Y25" s="8"/>
      <c r="Z25" s="8"/>
      <c r="AA25" s="7"/>
      <c r="AB25" s="7"/>
      <c r="AC25" s="8"/>
    </row>
    <row r="26" spans="1:34" hidden="1" outlineLevel="1" x14ac:dyDescent="0.3">
      <c r="A26" s="2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6"/>
      <c r="O26" s="6"/>
      <c r="P26" s="3"/>
      <c r="Q26" s="8"/>
      <c r="R26" s="8"/>
      <c r="S26" s="8"/>
      <c r="T26" s="8"/>
      <c r="U26" s="8"/>
      <c r="V26" s="8"/>
      <c r="W26" s="8"/>
      <c r="X26" s="8"/>
      <c r="Y26" s="8"/>
      <c r="Z26" s="8"/>
      <c r="AA26" s="7"/>
      <c r="AB26" s="7"/>
      <c r="AC26" s="8"/>
    </row>
    <row r="27" spans="1:34" hidden="1" outlineLevel="1" x14ac:dyDescent="0.3">
      <c r="A27" s="2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6"/>
      <c r="O27" s="6"/>
      <c r="P27" s="3"/>
      <c r="Q27" s="8"/>
      <c r="R27" s="8"/>
      <c r="S27" s="8"/>
      <c r="T27" s="8"/>
      <c r="U27" s="8"/>
      <c r="V27" s="8"/>
      <c r="W27" s="8"/>
      <c r="X27" s="8"/>
      <c r="Y27" s="8"/>
      <c r="Z27" s="8"/>
      <c r="AA27" s="7"/>
      <c r="AB27" s="7"/>
      <c r="AC27" s="8"/>
    </row>
    <row r="28" spans="1:34" hidden="1" outlineLevel="1" x14ac:dyDescent="0.3">
      <c r="A28" s="2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6"/>
      <c r="O28" s="6"/>
      <c r="P28" s="3"/>
      <c r="Q28" s="8"/>
      <c r="R28" s="8"/>
      <c r="S28" s="8"/>
      <c r="T28" s="8"/>
      <c r="U28" s="8"/>
      <c r="V28" s="8"/>
      <c r="W28" s="8"/>
      <c r="X28" s="8"/>
      <c r="Y28" s="8"/>
      <c r="Z28" s="8"/>
      <c r="AA28" s="7"/>
      <c r="AB28" s="7"/>
      <c r="AC28" s="8"/>
    </row>
    <row r="29" spans="1:34" hidden="1" outlineLevel="1" x14ac:dyDescent="0.3">
      <c r="A29" s="2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6"/>
      <c r="O29" s="6"/>
      <c r="P29" s="3"/>
      <c r="Q29" s="8"/>
      <c r="R29" s="8"/>
      <c r="S29" s="8"/>
      <c r="T29" s="8"/>
      <c r="U29" s="8"/>
      <c r="V29" s="8"/>
      <c r="W29" s="8"/>
      <c r="X29" s="8"/>
      <c r="Y29" s="8"/>
      <c r="Z29" s="8"/>
      <c r="AA29" s="7"/>
      <c r="AB29" s="7"/>
      <c r="AC29" s="8"/>
    </row>
    <row r="30" spans="1:34" hidden="1" outlineLevel="1" x14ac:dyDescent="0.3">
      <c r="A30" s="2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6"/>
      <c r="O30" s="6"/>
      <c r="P30" s="3"/>
      <c r="Q30" s="8"/>
      <c r="R30" s="8"/>
      <c r="S30" s="8"/>
      <c r="T30" s="8"/>
      <c r="U30" s="8"/>
      <c r="V30" s="8"/>
      <c r="W30" s="8"/>
      <c r="X30" s="8"/>
      <c r="Y30" s="8"/>
      <c r="Z30" s="8"/>
      <c r="AA30" s="7"/>
      <c r="AB30" s="7"/>
      <c r="AC30" s="8"/>
    </row>
    <row r="31" spans="1:34" hidden="1" outlineLevel="1" x14ac:dyDescent="0.3">
      <c r="A31" s="2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6"/>
      <c r="O31" s="6"/>
      <c r="P31" s="3"/>
      <c r="Q31" s="8"/>
      <c r="R31" s="8"/>
      <c r="S31" s="8"/>
      <c r="T31" s="8"/>
      <c r="U31" s="8"/>
      <c r="V31" s="8"/>
      <c r="W31" s="8"/>
      <c r="X31" s="8"/>
      <c r="Y31" s="8"/>
      <c r="Z31" s="8"/>
      <c r="AA31" s="7"/>
      <c r="AB31" s="7"/>
      <c r="AC31" s="8"/>
    </row>
    <row r="32" spans="1:34" hidden="1" outlineLevel="1" x14ac:dyDescent="0.3">
      <c r="A32" s="2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6"/>
      <c r="O32" s="6"/>
      <c r="P32" s="3"/>
      <c r="Q32" s="8"/>
      <c r="R32" s="8"/>
      <c r="S32" s="8"/>
      <c r="T32" s="8"/>
      <c r="U32" s="8"/>
      <c r="V32" s="8"/>
      <c r="W32" s="8"/>
      <c r="X32" s="8"/>
      <c r="Y32" s="8"/>
      <c r="Z32" s="8"/>
      <c r="AA32" s="7"/>
      <c r="AB32" s="7"/>
      <c r="AC32" s="8"/>
    </row>
    <row r="33" spans="1:29" hidden="1" outlineLevel="1" x14ac:dyDescent="0.3">
      <c r="A33" s="2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6"/>
      <c r="O33" s="6"/>
      <c r="P33" s="3"/>
      <c r="Q33" s="8"/>
      <c r="R33" s="8"/>
      <c r="S33" s="8"/>
      <c r="T33" s="8"/>
      <c r="U33" s="8"/>
      <c r="V33" s="8"/>
      <c r="W33" s="8"/>
      <c r="X33" s="8"/>
      <c r="Y33" s="8"/>
      <c r="Z33" s="8"/>
      <c r="AA33" s="7"/>
      <c r="AB33" s="7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AA21:AA23">
    <cfRule type="cellIs" dxfId="66" priority="5" operator="equal">
      <formula>"On"</formula>
    </cfRule>
  </conditionalFormatting>
  <conditionalFormatting sqref="Q4:Z13">
    <cfRule type="containsText" dxfId="65" priority="3" operator="containsText" text="On">
      <formula>NOT(ISERROR(SEARCH("On",Q4)))</formula>
    </cfRule>
  </conditionalFormatting>
  <conditionalFormatting sqref="Q14:Z14">
    <cfRule type="containsText" dxfId="64" priority="2" operator="containsText" text="On">
      <formula>NOT(ISERROR(SEARCH("On",Q14)))</formula>
    </cfRule>
  </conditionalFormatting>
  <conditionalFormatting sqref="Q15:Z33">
    <cfRule type="containsText" dxfId="63" priority="1" operator="containsText" text="On">
      <formula>NOT(ISERROR(SEARCH("On",Q15)))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pageSetup orientation="portrait" verticalDpi="0" r:id="rId1"/>
  <customProperties>
    <customPr name="_pios_id" r:id="rId2"/>
  </customProperties>
  <drawing r:id="rId3"/>
  <legacyDrawing r:id="rId4"/>
  <controls>
    <mc:AlternateContent xmlns:mc="http://schemas.openxmlformats.org/markup-compatibility/2006">
      <mc:Choice Requires="x14">
        <control shapeId="9217" r:id="rId5" name="CommandButton21">
          <controlPr autoLine="0" r:id="rId6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685800</xdr:colOff>
                <xdr:row>0</xdr:row>
                <xdr:rowOff>403860</xdr:rowOff>
              </to>
            </anchor>
          </controlPr>
        </control>
      </mc:Choice>
      <mc:Fallback>
        <control shapeId="9217" r:id="rId5" name="CommandButton2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C00000"/>
  </sheetPr>
  <dimension ref="A1:AH40"/>
  <sheetViews>
    <sheetView zoomScaleNormal="100" workbookViewId="0">
      <selection activeCell="S15" sqref="S15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5" width="5.33203125" customWidth="1" outlineLevel="1"/>
    <col min="6" max="7" width="5.6640625" customWidth="1" outlineLevel="1"/>
    <col min="8" max="9" width="5.33203125" customWidth="1" outlineLevel="1"/>
    <col min="10" max="11" width="5.664062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14.33203125" customWidth="1"/>
    <col min="18" max="18" width="15.44140625" customWidth="1"/>
    <col min="19" max="19" width="10" customWidth="1"/>
    <col min="20" max="20" width="16" customWidth="1"/>
    <col min="21" max="21" width="10" customWidth="1"/>
    <col min="22" max="22" width="16.6640625" customWidth="1" outlineLevel="1"/>
    <col min="23" max="23" width="11" customWidth="1" outlineLevel="1"/>
    <col min="24" max="24" width="16.33203125" customWidth="1" outlineLevel="1"/>
    <col min="25" max="25" width="10" customWidth="1" outlineLevel="1"/>
    <col min="26" max="26" width="15.33203125" customWidth="1" outlineLevel="1"/>
    <col min="27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thickBot="1" x14ac:dyDescent="0.35"/>
    <row r="2" spans="1:34" ht="15" thickBot="1" x14ac:dyDescent="0.35">
      <c r="A2">
        <f>COUNTIF(A4:A33,"&gt;""")</f>
        <v>19</v>
      </c>
      <c r="B2">
        <f>P2</f>
        <v>10</v>
      </c>
      <c r="P2" s="1">
        <v>10</v>
      </c>
      <c r="Q2" s="88" t="s">
        <v>251</v>
      </c>
      <c r="R2" s="89"/>
      <c r="S2" s="89"/>
      <c r="T2" s="90"/>
      <c r="U2" s="88" t="s">
        <v>252</v>
      </c>
      <c r="V2" s="89"/>
      <c r="W2" s="89"/>
      <c r="X2" s="90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12">
        <v>2018</v>
      </c>
      <c r="R3" s="12">
        <v>2019</v>
      </c>
      <c r="S3" s="12">
        <f>'Model names'!M1</f>
        <v>2021</v>
      </c>
      <c r="T3" s="12">
        <f>'Model names'!N1</f>
        <v>2022</v>
      </c>
      <c r="U3" s="12">
        <f>'Model names'!K1</f>
        <v>2019</v>
      </c>
      <c r="V3" s="12">
        <f>'Model names'!L1</f>
        <v>2020</v>
      </c>
      <c r="W3" s="12">
        <f>'Model names'!M1</f>
        <v>2021</v>
      </c>
      <c r="X3" s="12">
        <f>'Model names'!N1</f>
        <v>2022</v>
      </c>
      <c r="Y3" s="12"/>
      <c r="Z3" s="12"/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51</v>
      </c>
      <c r="D4" s="3" t="s">
        <v>76</v>
      </c>
      <c r="E4" s="3" t="s">
        <v>75</v>
      </c>
      <c r="F4" s="3" t="s">
        <v>77</v>
      </c>
      <c r="G4" s="3" t="s">
        <v>78</v>
      </c>
      <c r="H4" s="3" t="s">
        <v>79</v>
      </c>
      <c r="I4" s="3" t="s">
        <v>80</v>
      </c>
      <c r="J4" s="3" t="s">
        <v>81</v>
      </c>
      <c r="K4" s="3" t="s">
        <v>82</v>
      </c>
      <c r="L4" s="6" t="s">
        <v>83</v>
      </c>
      <c r="M4" s="6" t="s">
        <v>313</v>
      </c>
      <c r="N4" s="6" t="s">
        <v>314</v>
      </c>
      <c r="O4" s="6" t="s">
        <v>315</v>
      </c>
      <c r="P4" s="3" t="str">
        <f>'Model names'!C2</f>
        <v>BFW</v>
      </c>
      <c r="Q4" s="8">
        <f>[15]Growth_Inputs!D372</f>
        <v>0</v>
      </c>
      <c r="R4" s="8">
        <f>[15]Growth_Inputs!E372</f>
        <v>0</v>
      </c>
      <c r="S4" s="8">
        <f>[15]Growth_Inputs!F372</f>
        <v>0</v>
      </c>
      <c r="T4" s="8">
        <f>[15]Growth_Inputs!G372</f>
        <v>0</v>
      </c>
      <c r="U4" s="8">
        <f>[15]Growth_Inputs!H372</f>
        <v>0</v>
      </c>
      <c r="V4" s="8">
        <f>[15]Growth_Inputs!I372</f>
        <v>0</v>
      </c>
      <c r="W4" s="8">
        <f>[15]Growth_Inputs!J372</f>
        <v>0</v>
      </c>
      <c r="X4" s="8">
        <f>[15]Growth_Inputs!K372</f>
        <v>0</v>
      </c>
      <c r="Y4" s="7">
        <f>[15]Growth_Inputs!L372</f>
        <v>0</v>
      </c>
      <c r="Z4" s="7">
        <f>[15]Growth_Inputs!N370</f>
        <v>0</v>
      </c>
      <c r="AA4" s="7"/>
      <c r="AB4" s="7"/>
      <c r="AC4" s="8"/>
      <c r="AD4" s="10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51</v>
      </c>
      <c r="D5" s="3" t="s">
        <v>76</v>
      </c>
      <c r="E5" s="3" t="s">
        <v>75</v>
      </c>
      <c r="F5" s="3" t="s">
        <v>77</v>
      </c>
      <c r="G5" s="3" t="s">
        <v>78</v>
      </c>
      <c r="H5" s="3" t="s">
        <v>79</v>
      </c>
      <c r="I5" s="3" t="s">
        <v>80</v>
      </c>
      <c r="J5" s="3" t="s">
        <v>81</v>
      </c>
      <c r="K5" s="3" t="s">
        <v>82</v>
      </c>
      <c r="L5" s="6" t="s">
        <v>312</v>
      </c>
      <c r="M5" s="6" t="s">
        <v>313</v>
      </c>
      <c r="N5" s="6" t="s">
        <v>314</v>
      </c>
      <c r="O5" s="6" t="s">
        <v>315</v>
      </c>
      <c r="P5" s="3" t="str">
        <f>'Model names'!C3</f>
        <v>CA</v>
      </c>
      <c r="Q5" s="8">
        <f>[17]Growth_Inputs!D372</f>
        <v>90.362763994464899</v>
      </c>
      <c r="R5" s="8">
        <f>[17]Growth_Inputs!E372</f>
        <v>212</v>
      </c>
      <c r="S5" s="8">
        <f>[17]Growth_Inputs!F372</f>
        <v>758</v>
      </c>
      <c r="T5" s="8">
        <f>[17]Growth_Inputs!G372</f>
        <v>2772.489</v>
      </c>
      <c r="U5" s="8">
        <f>[17]Growth_Inputs!H372</f>
        <v>3424.0839999999998</v>
      </c>
      <c r="V5" s="8">
        <f>[17]Growth_Inputs!I372</f>
        <v>3874.0839999999998</v>
      </c>
      <c r="W5" s="8">
        <f>[17]Growth_Inputs!J372</f>
        <v>4324.0839999999998</v>
      </c>
      <c r="X5" s="8">
        <f>[17]Growth_Inputs!K372</f>
        <v>4774.0839999999998</v>
      </c>
      <c r="Y5" s="7">
        <f>[17]Growth_Inputs!M370</f>
        <v>5540.0839999999998</v>
      </c>
      <c r="Z5" s="7">
        <f>[17]Growth_Inputs!N370</f>
        <v>0</v>
      </c>
      <c r="AA5" s="7"/>
      <c r="AB5" s="7"/>
      <c r="AC5" s="8"/>
      <c r="AD5" s="10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51</v>
      </c>
      <c r="D6" s="3" t="s">
        <v>76</v>
      </c>
      <c r="E6" s="3" t="s">
        <v>75</v>
      </c>
      <c r="F6" s="3" t="s">
        <v>77</v>
      </c>
      <c r="G6" s="3" t="s">
        <v>78</v>
      </c>
      <c r="H6" s="3" t="s">
        <v>79</v>
      </c>
      <c r="I6" s="3" t="s">
        <v>80</v>
      </c>
      <c r="J6" s="3" t="s">
        <v>81</v>
      </c>
      <c r="K6" s="3" t="s">
        <v>82</v>
      </c>
      <c r="L6" s="6" t="s">
        <v>312</v>
      </c>
      <c r="M6" s="6" t="s">
        <v>313</v>
      </c>
      <c r="N6" s="6" t="s">
        <v>314</v>
      </c>
      <c r="O6" s="6" t="s">
        <v>315</v>
      </c>
      <c r="P6" s="3" t="str">
        <f>'Model names'!C4</f>
        <v>ETS</v>
      </c>
      <c r="Q6" s="8">
        <f>[19]Growth_Inputs!D372</f>
        <v>0</v>
      </c>
      <c r="R6" s="8">
        <f>[19]Growth_Inputs!E372</f>
        <v>0</v>
      </c>
      <c r="S6" s="8">
        <f>[19]Growth_Inputs!F372</f>
        <v>0</v>
      </c>
      <c r="T6" s="8">
        <f>[19]Growth_Inputs!G372</f>
        <v>0</v>
      </c>
      <c r="U6" s="8">
        <f>[19]Growth_Inputs!H372</f>
        <v>0</v>
      </c>
      <c r="V6" s="8">
        <f>[19]Growth_Inputs!I372</f>
        <v>0</v>
      </c>
      <c r="W6" s="8">
        <f>[19]Growth_Inputs!J372</f>
        <v>0</v>
      </c>
      <c r="X6" s="8">
        <f>[19]Growth_Inputs!K372</f>
        <v>0</v>
      </c>
      <c r="Y6" s="7">
        <f>[19]Growth_Inputs!M370</f>
        <v>0</v>
      </c>
      <c r="Z6" s="7">
        <f>[19]Growth_Inputs!N370</f>
        <v>0</v>
      </c>
      <c r="AA6" s="7"/>
      <c r="AB6" s="7"/>
      <c r="AC6" s="8"/>
      <c r="AD6" s="10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51</v>
      </c>
      <c r="D7" s="3" t="s">
        <v>76</v>
      </c>
      <c r="E7" s="3" t="s">
        <v>75</v>
      </c>
      <c r="F7" s="3" t="s">
        <v>77</v>
      </c>
      <c r="G7" s="3" t="s">
        <v>78</v>
      </c>
      <c r="H7" s="3" t="s">
        <v>79</v>
      </c>
      <c r="I7" s="3" t="s">
        <v>80</v>
      </c>
      <c r="J7" s="3" t="s">
        <v>81</v>
      </c>
      <c r="K7" s="3" t="s">
        <v>82</v>
      </c>
      <c r="L7" s="6" t="s">
        <v>312</v>
      </c>
      <c r="M7" s="6" t="s">
        <v>313</v>
      </c>
      <c r="N7" s="6" t="s">
        <v>314</v>
      </c>
      <c r="O7" s="6" t="s">
        <v>315</v>
      </c>
      <c r="P7" s="3" t="str">
        <f>'Model names'!C5</f>
        <v>HI</v>
      </c>
      <c r="Q7" s="8">
        <f>[21]Growth_Inputs!D372</f>
        <v>1.5623333333332985</v>
      </c>
      <c r="R7" s="8">
        <f>[21]Growth_Inputs!E372</f>
        <v>25</v>
      </c>
      <c r="S7" s="8">
        <f>[21]Growth_Inputs!F372</f>
        <v>26</v>
      </c>
      <c r="T7" s="8">
        <f>[21]Growth_Inputs!G372</f>
        <v>27</v>
      </c>
      <c r="U7" s="8">
        <f>[21]Growth_Inputs!H372</f>
        <v>53</v>
      </c>
      <c r="V7" s="8">
        <f>[21]Growth_Inputs!I372</f>
        <v>55</v>
      </c>
      <c r="W7" s="8">
        <f>[21]Growth_Inputs!J372</f>
        <v>57</v>
      </c>
      <c r="X7" s="8">
        <f>[21]Growth_Inputs!K372</f>
        <v>59</v>
      </c>
      <c r="Y7" s="7">
        <f>[21]Growth_Inputs!M370</f>
        <v>55</v>
      </c>
      <c r="Z7" s="7">
        <f>[21]Growth_Inputs!N370</f>
        <v>0</v>
      </c>
      <c r="AA7" s="7"/>
      <c r="AB7" s="7"/>
      <c r="AC7" s="8"/>
      <c r="AD7" s="10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51</v>
      </c>
      <c r="D8" s="3" t="s">
        <v>76</v>
      </c>
      <c r="E8" s="3" t="s">
        <v>75</v>
      </c>
      <c r="F8" s="3" t="s">
        <v>77</v>
      </c>
      <c r="G8" s="3" t="s">
        <v>78</v>
      </c>
      <c r="H8" s="3" t="s">
        <v>79</v>
      </c>
      <c r="I8" s="3" t="s">
        <v>80</v>
      </c>
      <c r="J8" s="3" t="s">
        <v>81</v>
      </c>
      <c r="K8" s="3" t="s">
        <v>82</v>
      </c>
      <c r="L8" s="6" t="s">
        <v>312</v>
      </c>
      <c r="M8" s="6" t="s">
        <v>313</v>
      </c>
      <c r="N8" s="6" t="s">
        <v>314</v>
      </c>
      <c r="O8" s="6" t="s">
        <v>315</v>
      </c>
      <c r="P8" s="3" t="str">
        <f>'Model names'!C6</f>
        <v>IA</v>
      </c>
      <c r="Q8" s="8">
        <f>[23]Growth_Inputs!D372</f>
        <v>-17.588476425113384</v>
      </c>
      <c r="R8" s="8">
        <f>[23]Growth_Inputs!E372</f>
        <v>54</v>
      </c>
      <c r="S8" s="8">
        <f>[23]Growth_Inputs!F372</f>
        <v>171</v>
      </c>
      <c r="T8" s="8">
        <f>[23]Growth_Inputs!G372</f>
        <v>238</v>
      </c>
      <c r="U8" s="8">
        <f>[23]Growth_Inputs!H372</f>
        <v>383</v>
      </c>
      <c r="V8" s="8">
        <f>[23]Growth_Inputs!I372</f>
        <v>528</v>
      </c>
      <c r="W8" s="8">
        <f>[23]Growth_Inputs!J372</f>
        <v>673</v>
      </c>
      <c r="X8" s="8">
        <f>[23]Growth_Inputs!K372</f>
        <v>818</v>
      </c>
      <c r="Y8" s="7">
        <f>[23]Growth_Inputs!M370</f>
        <v>1108</v>
      </c>
      <c r="Z8" s="7">
        <f>[23]Growth_Inputs!N370</f>
        <v>0</v>
      </c>
      <c r="AA8" s="7"/>
      <c r="AB8" s="7"/>
      <c r="AC8" s="8"/>
      <c r="AD8" s="10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51</v>
      </c>
      <c r="D9" s="3" t="s">
        <v>76</v>
      </c>
      <c r="E9" s="3" t="s">
        <v>75</v>
      </c>
      <c r="F9" s="3" t="s">
        <v>77</v>
      </c>
      <c r="G9" s="3" t="s">
        <v>78</v>
      </c>
      <c r="H9" s="3" t="s">
        <v>79</v>
      </c>
      <c r="I9" s="3" t="s">
        <v>80</v>
      </c>
      <c r="J9" s="3" t="s">
        <v>81</v>
      </c>
      <c r="K9" s="3" t="s">
        <v>82</v>
      </c>
      <c r="L9" s="6" t="s">
        <v>312</v>
      </c>
      <c r="M9" s="6" t="s">
        <v>313</v>
      </c>
      <c r="N9" s="6" t="s">
        <v>314</v>
      </c>
      <c r="O9" s="6" t="s">
        <v>315</v>
      </c>
      <c r="P9" s="3" t="str">
        <f>'Model names'!C7</f>
        <v>IL</v>
      </c>
      <c r="Q9" s="8">
        <f>[25]Growth_Inputs!D372</f>
        <v>-10.336448003814155</v>
      </c>
      <c r="R9" s="8">
        <f>[25]Growth_Inputs!E372</f>
        <v>760</v>
      </c>
      <c r="S9" s="8">
        <f>[25]Growth_Inputs!F372</f>
        <v>1500</v>
      </c>
      <c r="T9" s="8">
        <f>[25]Growth_Inputs!G372</f>
        <v>2650</v>
      </c>
      <c r="U9" s="8">
        <f>[25]Growth_Inputs!H372</f>
        <v>3880</v>
      </c>
      <c r="V9" s="8">
        <f>[25]Growth_Inputs!I372</f>
        <v>4850</v>
      </c>
      <c r="W9" s="8">
        <f>[25]Growth_Inputs!J372</f>
        <v>5866</v>
      </c>
      <c r="X9" s="8">
        <f>[25]Growth_Inputs!K372</f>
        <v>6569</v>
      </c>
      <c r="Y9" s="7">
        <f>[25]Growth_Inputs!M370</f>
        <v>9635</v>
      </c>
      <c r="Z9" s="7">
        <f>[25]Growth_Inputs!N370</f>
        <v>0</v>
      </c>
      <c r="AA9" s="7"/>
      <c r="AB9" s="7"/>
      <c r="AC9" s="8"/>
      <c r="AD9" s="10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51</v>
      </c>
      <c r="D10" s="3" t="s">
        <v>76</v>
      </c>
      <c r="E10" s="3" t="s">
        <v>75</v>
      </c>
      <c r="F10" s="3" t="s">
        <v>77</v>
      </c>
      <c r="G10" s="3" t="s">
        <v>78</v>
      </c>
      <c r="H10" s="3" t="s">
        <v>79</v>
      </c>
      <c r="I10" s="3" t="s">
        <v>80</v>
      </c>
      <c r="J10" s="3" t="s">
        <v>81</v>
      </c>
      <c r="K10" s="3" t="s">
        <v>82</v>
      </c>
      <c r="L10" s="6" t="s">
        <v>312</v>
      </c>
      <c r="M10" s="6" t="s">
        <v>313</v>
      </c>
      <c r="N10" s="6" t="s">
        <v>314</v>
      </c>
      <c r="O10" s="6" t="s">
        <v>315</v>
      </c>
      <c r="P10" s="3" t="str">
        <f>'Model names'!C8</f>
        <v>IN</v>
      </c>
      <c r="Q10" s="8">
        <f>[27]Growth_Inputs!D372</f>
        <v>429.29587891728374</v>
      </c>
      <c r="R10" s="8">
        <f>[27]Growth_Inputs!E372</f>
        <v>1570.1424999999999</v>
      </c>
      <c r="S10" s="8">
        <f>[27]Growth_Inputs!F372</f>
        <v>4640.2849999999999</v>
      </c>
      <c r="T10" s="8">
        <f>[27]Growth_Inputs!G372</f>
        <v>5140.2849999999999</v>
      </c>
      <c r="U10" s="8">
        <f>[27]Growth_Inputs!H372</f>
        <v>6140.2849999999999</v>
      </c>
      <c r="V10" s="8">
        <f>[27]Growth_Inputs!I372</f>
        <v>6640.2849999999999</v>
      </c>
      <c r="W10" s="8">
        <f>[27]Growth_Inputs!J372</f>
        <v>9640.2849999999999</v>
      </c>
      <c r="X10" s="8">
        <f>[27]Growth_Inputs!K372</f>
        <v>10340.285</v>
      </c>
      <c r="Y10" s="7">
        <f>[27]Growth_Inputs!M370</f>
        <v>9600</v>
      </c>
      <c r="Z10" s="7">
        <f>[27]Growth_Inputs!N370</f>
        <v>0</v>
      </c>
      <c r="AA10" s="7"/>
      <c r="AB10" s="7"/>
      <c r="AC10" s="8"/>
      <c r="AD10" s="10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51</v>
      </c>
      <c r="D11" s="3" t="s">
        <v>76</v>
      </c>
      <c r="E11" s="3" t="s">
        <v>75</v>
      </c>
      <c r="F11" s="3" t="s">
        <v>77</v>
      </c>
      <c r="G11" s="3" t="s">
        <v>78</v>
      </c>
      <c r="H11" s="3" t="s">
        <v>79</v>
      </c>
      <c r="I11" s="3" t="s">
        <v>80</v>
      </c>
      <c r="J11" s="3" t="s">
        <v>81</v>
      </c>
      <c r="K11" s="3" t="s">
        <v>82</v>
      </c>
      <c r="L11" s="6" t="s">
        <v>312</v>
      </c>
      <c r="M11" s="6" t="s">
        <v>313</v>
      </c>
      <c r="N11" s="6" t="s">
        <v>314</v>
      </c>
      <c r="O11" s="6" t="s">
        <v>315</v>
      </c>
      <c r="P11" s="3" t="str">
        <f>'Model names'!C9</f>
        <v>KY</v>
      </c>
      <c r="Q11" s="8">
        <f>[29]Growth_Inputs!D372</f>
        <v>149.05071841580832</v>
      </c>
      <c r="R11" s="8">
        <f>[29]Growth_Inputs!E372</f>
        <v>479.80071841580832</v>
      </c>
      <c r="S11" s="8">
        <f>[29]Growth_Inputs!F372</f>
        <v>878.71738508247495</v>
      </c>
      <c r="T11" s="8">
        <f>[29]Growth_Inputs!G372</f>
        <v>1140.1392628844865</v>
      </c>
      <c r="U11" s="8">
        <f>[29]Growth_Inputs!H372</f>
        <v>1367.6444001236805</v>
      </c>
      <c r="V11" s="8">
        <f>[29]Growth_Inputs!I372</f>
        <v>1918.2106632011469</v>
      </c>
      <c r="W11" s="8">
        <f>[29]Growth_Inputs!J372</f>
        <v>2418.9574770727577</v>
      </c>
      <c r="X11" s="8">
        <f>[29]Growth_Inputs!K372</f>
        <v>3679.2889147855649</v>
      </c>
      <c r="Y11" s="7">
        <f>[29]Growth_Inputs!M370</f>
        <v>899.38628643020354</v>
      </c>
      <c r="Z11" s="7">
        <f>[29]Growth_Inputs!N370</f>
        <v>0</v>
      </c>
      <c r="AA11" s="7"/>
      <c r="AB11" s="7"/>
      <c r="AC11" s="8"/>
      <c r="AD11" s="10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51</v>
      </c>
      <c r="D12" s="3" t="s">
        <v>76</v>
      </c>
      <c r="E12" s="3" t="s">
        <v>75</v>
      </c>
      <c r="F12" s="3" t="s">
        <v>77</v>
      </c>
      <c r="G12" s="3" t="s">
        <v>78</v>
      </c>
      <c r="H12" s="3" t="s">
        <v>79</v>
      </c>
      <c r="I12" s="3" t="s">
        <v>80</v>
      </c>
      <c r="J12" s="3" t="s">
        <v>81</v>
      </c>
      <c r="K12" s="3" t="s">
        <v>82</v>
      </c>
      <c r="L12" s="6" t="s">
        <v>312</v>
      </c>
      <c r="M12" s="6" t="s">
        <v>313</v>
      </c>
      <c r="N12" s="6" t="s">
        <v>314</v>
      </c>
      <c r="O12" s="6" t="s">
        <v>315</v>
      </c>
      <c r="P12" s="3" t="str">
        <f>'Model names'!C10</f>
        <v>Liberty</v>
      </c>
      <c r="Q12" s="8">
        <f>[31]Growth_Inputs!D372</f>
        <v>0</v>
      </c>
      <c r="R12" s="8">
        <f>[31]Growth_Inputs!E372</f>
        <v>0</v>
      </c>
      <c r="S12" s="8">
        <f>[31]Growth_Inputs!F372</f>
        <v>0</v>
      </c>
      <c r="T12" s="8">
        <f>[31]Growth_Inputs!G372</f>
        <v>0</v>
      </c>
      <c r="U12" s="8">
        <f>[31]Growth_Inputs!H372</f>
        <v>0</v>
      </c>
      <c r="V12" s="8">
        <f>[31]Growth_Inputs!I372</f>
        <v>0</v>
      </c>
      <c r="W12" s="8">
        <f>[31]Growth_Inputs!J372</f>
        <v>0</v>
      </c>
      <c r="X12" s="8">
        <f>[31]Growth_Inputs!K372</f>
        <v>0</v>
      </c>
      <c r="Y12" s="7">
        <f>[31]Growth_Inputs!M370</f>
        <v>0</v>
      </c>
      <c r="Z12" s="7">
        <f>[31]Growth_Inputs!N370</f>
        <v>0</v>
      </c>
      <c r="AA12" s="7"/>
      <c r="AB12" s="7"/>
      <c r="AC12" s="8"/>
      <c r="AD12" s="10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51</v>
      </c>
      <c r="D13" s="3" t="s">
        <v>76</v>
      </c>
      <c r="E13" s="3" t="s">
        <v>75</v>
      </c>
      <c r="F13" s="3" t="s">
        <v>77</v>
      </c>
      <c r="G13" s="3" t="s">
        <v>78</v>
      </c>
      <c r="H13" s="3" t="s">
        <v>79</v>
      </c>
      <c r="I13" s="3" t="s">
        <v>80</v>
      </c>
      <c r="J13" s="3" t="s">
        <v>81</v>
      </c>
      <c r="K13" s="3" t="s">
        <v>82</v>
      </c>
      <c r="L13" s="6" t="s">
        <v>312</v>
      </c>
      <c r="M13" s="6" t="s">
        <v>313</v>
      </c>
      <c r="N13" s="6" t="s">
        <v>314</v>
      </c>
      <c r="O13" s="6" t="s">
        <v>315</v>
      </c>
      <c r="P13" s="3" t="str">
        <f>'Model names'!C11</f>
        <v>LW</v>
      </c>
      <c r="Q13" s="8">
        <f>[33]Growth_Inputs!D372</f>
        <v>0</v>
      </c>
      <c r="R13" s="8">
        <f>[33]Growth_Inputs!E372</f>
        <v>0</v>
      </c>
      <c r="S13" s="8">
        <f>[33]Growth_Inputs!F372</f>
        <v>0</v>
      </c>
      <c r="T13" s="8">
        <f>[33]Growth_Inputs!G372</f>
        <v>0</v>
      </c>
      <c r="U13" s="8">
        <f>[33]Growth_Inputs!H372</f>
        <v>0</v>
      </c>
      <c r="V13" s="8">
        <f>[33]Growth_Inputs!I372</f>
        <v>0</v>
      </c>
      <c r="W13" s="8">
        <f>[33]Growth_Inputs!J372</f>
        <v>0</v>
      </c>
      <c r="X13" s="8">
        <f>[33]Growth_Inputs!K372</f>
        <v>0</v>
      </c>
      <c r="Y13" s="7">
        <f>[33]Growth_Inputs!M370</f>
        <v>0</v>
      </c>
      <c r="Z13" s="7">
        <f>[33]Growth_Inputs!N370</f>
        <v>0</v>
      </c>
      <c r="AA13" s="7"/>
      <c r="AB13" s="7"/>
      <c r="AC13" s="8"/>
      <c r="AD13" s="10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51</v>
      </c>
      <c r="D14" s="3" t="s">
        <v>76</v>
      </c>
      <c r="E14" s="3" t="s">
        <v>75</v>
      </c>
      <c r="F14" s="3" t="s">
        <v>77</v>
      </c>
      <c r="G14" s="3" t="s">
        <v>78</v>
      </c>
      <c r="H14" s="3" t="s">
        <v>79</v>
      </c>
      <c r="I14" s="3" t="s">
        <v>80</v>
      </c>
      <c r="J14" s="3" t="s">
        <v>81</v>
      </c>
      <c r="K14" s="3" t="s">
        <v>82</v>
      </c>
      <c r="L14" s="6" t="s">
        <v>312</v>
      </c>
      <c r="M14" s="6" t="s">
        <v>313</v>
      </c>
      <c r="N14" s="6" t="s">
        <v>314</v>
      </c>
      <c r="O14" s="6" t="s">
        <v>315</v>
      </c>
      <c r="P14" s="3" t="str">
        <f>'Model names'!C12</f>
        <v>MD</v>
      </c>
      <c r="Q14" s="8">
        <f>[35]Growth_Inputs!D372</f>
        <v>5.7574290005984032</v>
      </c>
      <c r="R14" s="8">
        <f>[35]Growth_Inputs!E372</f>
        <v>85.168999999999997</v>
      </c>
      <c r="S14" s="8">
        <f>[35]Growth_Inputs!F372</f>
        <v>114.169</v>
      </c>
      <c r="T14" s="8">
        <f>[35]Growth_Inputs!G372</f>
        <v>122.169</v>
      </c>
      <c r="U14" s="8">
        <f>[35]Growth_Inputs!H372</f>
        <v>124.169</v>
      </c>
      <c r="V14" s="8">
        <f>[35]Growth_Inputs!I372</f>
        <v>135.16899999999998</v>
      </c>
      <c r="W14" s="8">
        <f>[35]Growth_Inputs!J372</f>
        <v>146.16899999999998</v>
      </c>
      <c r="X14" s="8">
        <f>[35]Growth_Inputs!K372</f>
        <v>157.16899999999998</v>
      </c>
      <c r="Y14" s="7">
        <f>[35]Growth_Inputs!M370</f>
        <v>99.168999999999997</v>
      </c>
      <c r="Z14" s="7">
        <f>[35]Growth_Inputs!N370</f>
        <v>0</v>
      </c>
      <c r="AA14" s="7"/>
      <c r="AB14" s="7"/>
      <c r="AC14" s="8"/>
      <c r="AD14" s="10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51</v>
      </c>
      <c r="D15" s="3" t="s">
        <v>76</v>
      </c>
      <c r="E15" s="3" t="s">
        <v>75</v>
      </c>
      <c r="F15" s="3" t="s">
        <v>77</v>
      </c>
      <c r="G15" s="3" t="s">
        <v>78</v>
      </c>
      <c r="H15" s="3" t="s">
        <v>79</v>
      </c>
      <c r="I15" s="3" t="s">
        <v>80</v>
      </c>
      <c r="J15" s="3" t="s">
        <v>81</v>
      </c>
      <c r="K15" s="3" t="s">
        <v>82</v>
      </c>
      <c r="L15" s="6" t="s">
        <v>312</v>
      </c>
      <c r="M15" s="6" t="s">
        <v>313</v>
      </c>
      <c r="N15" s="6" t="s">
        <v>314</v>
      </c>
      <c r="O15" s="6" t="s">
        <v>315</v>
      </c>
      <c r="P15" s="3" t="str">
        <f>'Model names'!C13</f>
        <v>MI</v>
      </c>
      <c r="Q15" s="8">
        <f>[37]Growth_Inputs!D372</f>
        <v>0</v>
      </c>
      <c r="R15" s="8">
        <f>[37]Growth_Inputs!E372</f>
        <v>0</v>
      </c>
      <c r="S15" s="8">
        <f>[37]Growth_Inputs!F372</f>
        <v>0</v>
      </c>
      <c r="T15" s="8">
        <f>[37]Growth_Inputs!G372</f>
        <v>0</v>
      </c>
      <c r="U15" s="8">
        <f>[37]Growth_Inputs!H372</f>
        <v>0</v>
      </c>
      <c r="V15" s="8">
        <f>[37]Growth_Inputs!I372</f>
        <v>0</v>
      </c>
      <c r="W15" s="8">
        <f>[37]Growth_Inputs!J372</f>
        <v>0</v>
      </c>
      <c r="X15" s="8">
        <f>[37]Growth_Inputs!K372</f>
        <v>0</v>
      </c>
      <c r="Y15" s="7">
        <f>[37]Growth_Inputs!M370</f>
        <v>0</v>
      </c>
      <c r="Z15" s="7">
        <f>[37]Growth_Inputs!N370</f>
        <v>0</v>
      </c>
      <c r="AA15" s="7"/>
      <c r="AB15" s="7"/>
      <c r="AC15" s="8"/>
      <c r="AD15" s="10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51</v>
      </c>
      <c r="D16" s="3" t="s">
        <v>76</v>
      </c>
      <c r="E16" s="3" t="s">
        <v>75</v>
      </c>
      <c r="F16" s="3" t="s">
        <v>77</v>
      </c>
      <c r="G16" s="3" t="s">
        <v>78</v>
      </c>
      <c r="H16" s="3" t="s">
        <v>79</v>
      </c>
      <c r="I16" s="3" t="s">
        <v>80</v>
      </c>
      <c r="J16" s="3" t="s">
        <v>81</v>
      </c>
      <c r="K16" s="3" t="s">
        <v>82</v>
      </c>
      <c r="L16" s="6" t="s">
        <v>312</v>
      </c>
      <c r="M16" s="6" t="s">
        <v>313</v>
      </c>
      <c r="N16" s="6" t="s">
        <v>314</v>
      </c>
      <c r="O16" s="6" t="s">
        <v>315</v>
      </c>
      <c r="P16" s="3" t="str">
        <f>'Model names'!C14</f>
        <v>MO</v>
      </c>
      <c r="Q16" s="8">
        <f>[39]Growth_Inputs!D372</f>
        <v>470.10299634262674</v>
      </c>
      <c r="R16" s="8">
        <f>[39]Growth_Inputs!E372</f>
        <v>1071.1544349338506</v>
      </c>
      <c r="S16" s="8">
        <f>[39]Growth_Inputs!F372</f>
        <v>1887.7418319837309</v>
      </c>
      <c r="T16" s="8">
        <f>[39]Growth_Inputs!G372</f>
        <v>2824.6911352602206</v>
      </c>
      <c r="U16" s="8">
        <f>[39]Growth_Inputs!H372</f>
        <v>3856.6903475336649</v>
      </c>
      <c r="V16" s="8">
        <f>[39]Growth_Inputs!I372</f>
        <v>5007.310949340138</v>
      </c>
      <c r="W16" s="8">
        <f>[39]Growth_Inputs!J372</f>
        <v>6269.7994388537154</v>
      </c>
      <c r="X16" s="8">
        <f>[39]Growth_Inputs!K372</f>
        <v>7632.9946418326899</v>
      </c>
      <c r="Y16" s="7">
        <f>[39]Growth_Inputs!M370</f>
        <v>10057.770683590637</v>
      </c>
      <c r="Z16" s="7">
        <f>[39]Growth_Inputs!N370</f>
        <v>0</v>
      </c>
      <c r="AA16" s="7"/>
      <c r="AB16" s="7"/>
      <c r="AC16" s="8"/>
      <c r="AD16" s="10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51</v>
      </c>
      <c r="D17" s="3" t="s">
        <v>76</v>
      </c>
      <c r="E17" s="3" t="s">
        <v>75</v>
      </c>
      <c r="F17" s="3" t="s">
        <v>77</v>
      </c>
      <c r="G17" s="3" t="s">
        <v>78</v>
      </c>
      <c r="H17" s="3" t="s">
        <v>79</v>
      </c>
      <c r="I17" s="3" t="s">
        <v>80</v>
      </c>
      <c r="J17" s="3" t="s">
        <v>81</v>
      </c>
      <c r="K17" s="3" t="s">
        <v>82</v>
      </c>
      <c r="L17" s="6" t="s">
        <v>312</v>
      </c>
      <c r="M17" s="6" t="s">
        <v>313</v>
      </c>
      <c r="N17" s="6" t="s">
        <v>314</v>
      </c>
      <c r="O17" s="6" t="s">
        <v>315</v>
      </c>
      <c r="P17" s="3" t="str">
        <f>'Model names'!C15</f>
        <v>NJ</v>
      </c>
      <c r="Q17" s="8">
        <f>[41]Growth_Inputs!D372</f>
        <v>0.61427028808930118</v>
      </c>
      <c r="R17" s="8">
        <f>[41]Growth_Inputs!E372</f>
        <v>1000.6142702880893</v>
      </c>
      <c r="S17" s="8">
        <f>[41]Growth_Inputs!F372</f>
        <v>2400</v>
      </c>
      <c r="T17" s="8">
        <f>[41]Growth_Inputs!G372</f>
        <v>4400</v>
      </c>
      <c r="U17" s="8">
        <f>[41]Growth_Inputs!H372</f>
        <v>10250</v>
      </c>
      <c r="V17" s="8">
        <f>[41]Growth_Inputs!I372</f>
        <v>10250</v>
      </c>
      <c r="W17" s="8">
        <f>[41]Growth_Inputs!J372</f>
        <v>10250</v>
      </c>
      <c r="X17" s="8">
        <f>[41]Growth_Inputs!K372</f>
        <v>12250</v>
      </c>
      <c r="Y17" s="7">
        <f>[41]Growth_Inputs!M370</f>
        <v>11250</v>
      </c>
      <c r="Z17" s="7">
        <f>[41]Growth_Inputs!N370</f>
        <v>0</v>
      </c>
      <c r="AA17" s="7"/>
      <c r="AB17" s="7"/>
      <c r="AC17" s="8"/>
      <c r="AD17" s="10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51</v>
      </c>
      <c r="D18" s="3" t="s">
        <v>76</v>
      </c>
      <c r="E18" s="3" t="s">
        <v>75</v>
      </c>
      <c r="F18" s="3" t="s">
        <v>77</v>
      </c>
      <c r="G18" s="3" t="s">
        <v>78</v>
      </c>
      <c r="H18" s="3" t="s">
        <v>79</v>
      </c>
      <c r="I18" s="3" t="s">
        <v>80</v>
      </c>
      <c r="J18" s="3" t="s">
        <v>81</v>
      </c>
      <c r="K18" s="3" t="s">
        <v>82</v>
      </c>
      <c r="L18" s="6" t="s">
        <v>312</v>
      </c>
      <c r="M18" s="6" t="s">
        <v>313</v>
      </c>
      <c r="N18" s="6" t="s">
        <v>314</v>
      </c>
      <c r="O18" s="6" t="s">
        <v>315</v>
      </c>
      <c r="P18" s="3" t="str">
        <f>'Model names'!C16</f>
        <v>NY</v>
      </c>
      <c r="Q18" s="8">
        <f>[43]Growth_Inputs!D372</f>
        <v>10.032629097639173</v>
      </c>
      <c r="R18" s="8">
        <f>[43]Growth_Inputs!E372</f>
        <v>111.07203999999999</v>
      </c>
      <c r="S18" s="8">
        <f>[43]Growth_Inputs!F372</f>
        <v>166.79768199999998</v>
      </c>
      <c r="T18" s="8">
        <f>[43]Growth_Inputs!G372</f>
        <v>348.32838343749995</v>
      </c>
      <c r="U18" s="8">
        <f>[43]Growth_Inputs!H372</f>
        <v>477.96762139562486</v>
      </c>
      <c r="V18" s="8">
        <f>[43]Growth_Inputs!I372</f>
        <v>613.94361601200762</v>
      </c>
      <c r="W18" s="8">
        <f>[43]Growth_Inputs!J372</f>
        <v>756.49218059583723</v>
      </c>
      <c r="X18" s="8">
        <f>[43]Growth_Inputs!K372</f>
        <v>905.85695864885076</v>
      </c>
      <c r="Y18" s="7">
        <f>[43]Growth_Inputs!M370</f>
        <v>1110.0503522024183</v>
      </c>
      <c r="Z18" s="7">
        <f>[43]Growth_Inputs!N370</f>
        <v>0</v>
      </c>
      <c r="AA18" s="7"/>
      <c r="AB18" s="7"/>
      <c r="AC18" s="8"/>
      <c r="AD18" s="10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51</v>
      </c>
      <c r="D19" s="3" t="s">
        <v>76</v>
      </c>
      <c r="E19" s="3" t="s">
        <v>75</v>
      </c>
      <c r="F19" s="3" t="s">
        <v>77</v>
      </c>
      <c r="G19" s="3" t="s">
        <v>78</v>
      </c>
      <c r="H19" s="3" t="s">
        <v>79</v>
      </c>
      <c r="I19" s="3" t="s">
        <v>80</v>
      </c>
      <c r="J19" s="3" t="s">
        <v>81</v>
      </c>
      <c r="K19" s="3" t="s">
        <v>82</v>
      </c>
      <c r="L19" s="6" t="s">
        <v>312</v>
      </c>
      <c r="M19" s="6" t="s">
        <v>313</v>
      </c>
      <c r="N19" s="6" t="s">
        <v>314</v>
      </c>
      <c r="O19" s="6" t="s">
        <v>315</v>
      </c>
      <c r="P19" s="3" t="str">
        <f>'Model names'!C17</f>
        <v>PA</v>
      </c>
      <c r="Q19" s="8">
        <f>[45]Growth_Inputs!D372</f>
        <v>1179.0853555746285</v>
      </c>
      <c r="R19" s="8">
        <f>[45]Growth_Inputs!E372</f>
        <v>3760.4388363244061</v>
      </c>
      <c r="S19" s="8">
        <f>[45]Growth_Inputs!F372</f>
        <v>6481.4920179906348</v>
      </c>
      <c r="T19" s="8">
        <f>[45]Growth_Inputs!G372</f>
        <v>15007.183273789136</v>
      </c>
      <c r="U19" s="8">
        <f>[45]Growth_Inputs!H372</f>
        <v>18275.992044439259</v>
      </c>
      <c r="V19" s="8">
        <f>[45]Growth_Inputs!I372</f>
        <v>21555.755931192136</v>
      </c>
      <c r="W19" s="8">
        <f>[45]Growth_Inputs!J372</f>
        <v>31795.955449660425</v>
      </c>
      <c r="X19" s="8">
        <f>[45]Growth_Inputs!K372</f>
        <v>35630.531776873853</v>
      </c>
      <c r="Y19" s="7">
        <f>[45]Growth_Inputs!M370</f>
        <v>51736.553827137461</v>
      </c>
      <c r="Z19" s="7">
        <f>[45]Growth_Inputs!N370</f>
        <v>0</v>
      </c>
      <c r="AA19" s="7"/>
      <c r="AB19" s="7"/>
      <c r="AD19" s="10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51</v>
      </c>
      <c r="D20" s="3" t="s">
        <v>76</v>
      </c>
      <c r="E20" s="3" t="s">
        <v>75</v>
      </c>
      <c r="F20" s="3" t="s">
        <v>77</v>
      </c>
      <c r="G20" s="3" t="s">
        <v>78</v>
      </c>
      <c r="H20" s="3" t="s">
        <v>79</v>
      </c>
      <c r="I20" s="3" t="s">
        <v>80</v>
      </c>
      <c r="J20" s="3" t="s">
        <v>81</v>
      </c>
      <c r="K20" s="3" t="s">
        <v>82</v>
      </c>
      <c r="L20" s="6" t="s">
        <v>312</v>
      </c>
      <c r="M20" s="6" t="s">
        <v>313</v>
      </c>
      <c r="N20" s="6" t="s">
        <v>314</v>
      </c>
      <c r="O20" s="6" t="s">
        <v>315</v>
      </c>
      <c r="P20" s="3" t="str">
        <f>'Model names'!C18</f>
        <v>TN</v>
      </c>
      <c r="Q20" s="8">
        <f>[47]Growth_Inputs!D372</f>
        <v>91.075407183036702</v>
      </c>
      <c r="R20" s="8">
        <f>[47]Growth_Inputs!E372</f>
        <v>232.96300833333333</v>
      </c>
      <c r="S20" s="8">
        <f>[47]Growth_Inputs!F372</f>
        <v>673.67709166666668</v>
      </c>
      <c r="T20" s="8">
        <f>[47]Growth_Inputs!G372</f>
        <v>1268.2550916666667</v>
      </c>
      <c r="U20" s="8">
        <f>[47]Growth_Inputs!H372</f>
        <v>1645.527425</v>
      </c>
      <c r="V20" s="8">
        <f>[47]Growth_Inputs!I372</f>
        <v>3193.544425</v>
      </c>
      <c r="W20" s="8">
        <f>[47]Growth_Inputs!J372</f>
        <v>3758.5888416666667</v>
      </c>
      <c r="X20" s="8">
        <f>[47]Growth_Inputs!K372</f>
        <v>5574.7310083333332</v>
      </c>
      <c r="Y20" s="7">
        <f>[47]Growth_Inputs!M370</f>
        <v>1060.8785833333334</v>
      </c>
      <c r="Z20" s="7">
        <f>[47]Growth_Inputs!N370</f>
        <v>0</v>
      </c>
      <c r="AA20" s="7"/>
      <c r="AB20" s="7"/>
      <c r="AC20" s="8"/>
      <c r="AD20" s="10"/>
      <c r="AG20" s="5"/>
      <c r="AH20" s="5"/>
    </row>
    <row r="21" spans="1:34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51</v>
      </c>
      <c r="D21" s="3" t="s">
        <v>76</v>
      </c>
      <c r="E21" s="3" t="s">
        <v>75</v>
      </c>
      <c r="F21" s="3" t="s">
        <v>77</v>
      </c>
      <c r="G21" s="3" t="s">
        <v>78</v>
      </c>
      <c r="H21" s="3" t="s">
        <v>79</v>
      </c>
      <c r="I21" s="3" t="s">
        <v>80</v>
      </c>
      <c r="J21" s="3" t="s">
        <v>81</v>
      </c>
      <c r="K21" s="3" t="s">
        <v>82</v>
      </c>
      <c r="L21" s="6" t="s">
        <v>312</v>
      </c>
      <c r="M21" s="6" t="s">
        <v>313</v>
      </c>
      <c r="N21" s="6" t="s">
        <v>314</v>
      </c>
      <c r="O21" s="6" t="s">
        <v>315</v>
      </c>
      <c r="P21" s="3" t="str">
        <f>'Model names'!C19</f>
        <v>VA</v>
      </c>
      <c r="Q21" s="8">
        <f>[49]Growth_Inputs!D372</f>
        <v>47.571267161396293</v>
      </c>
      <c r="R21" s="8">
        <f>[49]Growth_Inputs!E372</f>
        <v>516</v>
      </c>
      <c r="S21" s="8">
        <f>[49]Growth_Inputs!F372</f>
        <v>609</v>
      </c>
      <c r="T21" s="8">
        <f>[49]Growth_Inputs!G372</f>
        <v>609</v>
      </c>
      <c r="U21" s="8">
        <f>[49]Growth_Inputs!H372</f>
        <v>609</v>
      </c>
      <c r="V21" s="8">
        <f>[49]Growth_Inputs!I372</f>
        <v>709</v>
      </c>
      <c r="W21" s="8">
        <f>[49]Growth_Inputs!J372</f>
        <v>709</v>
      </c>
      <c r="X21" s="8">
        <f>[49]Growth_Inputs!K372</f>
        <v>709</v>
      </c>
      <c r="Y21" s="7">
        <f>[49]Growth_Inputs!M370</f>
        <v>500</v>
      </c>
      <c r="Z21" s="7">
        <f>[49]Growth_Inputs!N370</f>
        <v>0</v>
      </c>
      <c r="AA21" s="7"/>
      <c r="AB21" s="7"/>
      <c r="AC21" s="8"/>
      <c r="AD21" s="10"/>
    </row>
    <row r="22" spans="1:34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51</v>
      </c>
      <c r="D22" s="3" t="s">
        <v>76</v>
      </c>
      <c r="E22" s="3" t="s">
        <v>75</v>
      </c>
      <c r="F22" s="3" t="s">
        <v>77</v>
      </c>
      <c r="G22" s="3" t="s">
        <v>78</v>
      </c>
      <c r="H22" s="3" t="s">
        <v>79</v>
      </c>
      <c r="I22" s="3" t="s">
        <v>80</v>
      </c>
      <c r="J22" s="3" t="s">
        <v>81</v>
      </c>
      <c r="K22" s="3" t="s">
        <v>82</v>
      </c>
      <c r="L22" s="6" t="s">
        <v>312</v>
      </c>
      <c r="M22" s="6" t="s">
        <v>313</v>
      </c>
      <c r="N22" s="6" t="s">
        <v>314</v>
      </c>
      <c r="O22" s="6" t="s">
        <v>315</v>
      </c>
      <c r="P22" s="3" t="str">
        <f>'Model names'!C20</f>
        <v>WV</v>
      </c>
      <c r="Q22" s="8">
        <f>[51]Growth_Inputs!D372</f>
        <v>380.7795376551212</v>
      </c>
      <c r="R22" s="8">
        <f>[51]Growth_Inputs!E372</f>
        <v>943</v>
      </c>
      <c r="S22" s="8">
        <f>[51]Growth_Inputs!F372</f>
        <v>1172.45</v>
      </c>
      <c r="T22" s="8">
        <f>[51]Growth_Inputs!G372</f>
        <v>2190</v>
      </c>
      <c r="U22" s="8">
        <f>[51]Growth_Inputs!H372</f>
        <v>2490</v>
      </c>
      <c r="V22" s="8">
        <f>[51]Growth_Inputs!I372</f>
        <v>2880.15</v>
      </c>
      <c r="W22" s="8">
        <f>[51]Growth_Inputs!J372</f>
        <v>3484.6724999999997</v>
      </c>
      <c r="X22" s="8">
        <f>[51]Growth_Inputs!K372</f>
        <v>3877.269225</v>
      </c>
      <c r="Y22" s="7">
        <f>[51]Growth_Inputs!M370</f>
        <v>2850</v>
      </c>
      <c r="Z22" s="7">
        <f>[51]Growth_Inputs!N370</f>
        <v>0</v>
      </c>
      <c r="AA22" s="7"/>
      <c r="AB22" s="7"/>
      <c r="AC22" s="8"/>
      <c r="AD22" s="10"/>
    </row>
    <row r="23" spans="1:34" hidden="1" outlineLevel="1" x14ac:dyDescent="0.3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6"/>
      <c r="M23" s="6"/>
      <c r="N23" s="6"/>
      <c r="O23" s="6"/>
      <c r="P23" s="3"/>
      <c r="Q23" s="8"/>
      <c r="R23" s="8"/>
      <c r="S23" s="8"/>
      <c r="T23" s="8"/>
      <c r="U23" s="8"/>
      <c r="V23" s="8"/>
      <c r="W23" s="8"/>
      <c r="X23" s="8"/>
      <c r="Y23" s="7"/>
      <c r="Z23" s="7"/>
      <c r="AA23" s="7"/>
      <c r="AB23" s="7"/>
      <c r="AC23" s="8"/>
      <c r="AD23" s="10"/>
    </row>
    <row r="24" spans="1:34" hidden="1" outlineLevel="1" x14ac:dyDescent="0.3">
      <c r="A24" s="2"/>
      <c r="B24" s="3"/>
      <c r="C24" s="3"/>
      <c r="D24" s="3"/>
      <c r="E24" s="3"/>
      <c r="F24" s="3"/>
      <c r="G24" s="3"/>
      <c r="H24" s="3"/>
      <c r="I24" s="3"/>
      <c r="J24" s="3"/>
      <c r="K24" s="3"/>
      <c r="L24" s="6"/>
      <c r="M24" s="6"/>
      <c r="N24" s="6"/>
      <c r="O24" s="6"/>
      <c r="P24" s="3"/>
      <c r="Q24" s="8"/>
      <c r="R24" s="8"/>
      <c r="S24" s="8"/>
      <c r="T24" s="8"/>
      <c r="U24" s="8"/>
      <c r="V24" s="8"/>
      <c r="W24" s="8"/>
      <c r="X24" s="8"/>
      <c r="Y24" s="7"/>
      <c r="Z24" s="7"/>
      <c r="AA24" s="7"/>
      <c r="AB24" s="7"/>
      <c r="AC24" s="8"/>
      <c r="AD24" s="10"/>
    </row>
    <row r="25" spans="1:34" hidden="1" outlineLevel="1" x14ac:dyDescent="0.3">
      <c r="A25" s="2"/>
      <c r="B25" s="3"/>
      <c r="C25" s="3"/>
      <c r="D25" s="3"/>
      <c r="E25" s="3"/>
      <c r="F25" s="3"/>
      <c r="G25" s="3"/>
      <c r="H25" s="3"/>
      <c r="I25" s="3"/>
      <c r="J25" s="3"/>
      <c r="K25" s="3"/>
      <c r="L25" s="6"/>
      <c r="M25" s="6"/>
      <c r="N25" s="6"/>
      <c r="O25" s="6"/>
      <c r="P25" s="3"/>
      <c r="Q25" s="8"/>
      <c r="R25" s="8"/>
      <c r="S25" s="8"/>
      <c r="T25" s="8"/>
      <c r="U25" s="8"/>
      <c r="V25" s="8"/>
      <c r="W25" s="8"/>
      <c r="X25" s="8"/>
      <c r="Y25" s="7"/>
      <c r="Z25" s="7"/>
      <c r="AA25" s="7"/>
      <c r="AB25" s="7"/>
      <c r="AC25" s="8"/>
      <c r="AD25" s="10"/>
    </row>
    <row r="26" spans="1:34" hidden="1" outlineLevel="1" x14ac:dyDescent="0.3">
      <c r="A26" s="2"/>
      <c r="B26" s="3"/>
      <c r="C26" s="3"/>
      <c r="D26" s="3"/>
      <c r="E26" s="3"/>
      <c r="F26" s="3"/>
      <c r="G26" s="3"/>
      <c r="H26" s="3"/>
      <c r="I26" s="3"/>
      <c r="J26" s="3"/>
      <c r="K26" s="3"/>
      <c r="L26" s="6"/>
      <c r="M26" s="6"/>
      <c r="N26" s="6"/>
      <c r="O26" s="6"/>
      <c r="P26" s="3"/>
      <c r="Q26" s="8"/>
      <c r="R26" s="8"/>
      <c r="S26" s="8"/>
      <c r="T26" s="8"/>
      <c r="U26" s="8"/>
      <c r="V26" s="8"/>
      <c r="W26" s="8"/>
      <c r="X26" s="8"/>
      <c r="Y26" s="7"/>
      <c r="Z26" s="7"/>
      <c r="AA26" s="7"/>
      <c r="AB26" s="7"/>
      <c r="AC26" s="8"/>
    </row>
    <row r="27" spans="1:34" hidden="1" outlineLevel="1" x14ac:dyDescent="0.3">
      <c r="A27" s="2"/>
      <c r="B27" s="3"/>
      <c r="C27" s="3"/>
      <c r="D27" s="3"/>
      <c r="E27" s="3"/>
      <c r="F27" s="3"/>
      <c r="G27" s="3"/>
      <c r="H27" s="3"/>
      <c r="I27" s="3"/>
      <c r="J27" s="3"/>
      <c r="K27" s="3"/>
      <c r="L27" s="6"/>
      <c r="M27" s="6"/>
      <c r="N27" s="6"/>
      <c r="O27" s="6"/>
      <c r="P27" s="3"/>
      <c r="Q27" s="8"/>
      <c r="R27" s="8"/>
      <c r="S27" s="8"/>
      <c r="T27" s="8"/>
      <c r="U27" s="8"/>
      <c r="V27" s="8"/>
      <c r="W27" s="8"/>
      <c r="X27" s="8"/>
      <c r="Y27" s="7"/>
      <c r="Z27" s="7"/>
      <c r="AA27" s="7"/>
      <c r="AB27" s="7"/>
      <c r="AC27" s="8"/>
    </row>
    <row r="28" spans="1:34" hidden="1" outlineLevel="1" x14ac:dyDescent="0.3">
      <c r="A28" s="2"/>
      <c r="B28" s="3"/>
      <c r="C28" s="3"/>
      <c r="D28" s="3"/>
      <c r="E28" s="3"/>
      <c r="F28" s="3"/>
      <c r="G28" s="3"/>
      <c r="H28" s="3"/>
      <c r="I28" s="3"/>
      <c r="J28" s="3"/>
      <c r="K28" s="3"/>
      <c r="L28" s="6"/>
      <c r="M28" s="6"/>
      <c r="N28" s="6"/>
      <c r="O28" s="6"/>
      <c r="P28" s="3"/>
      <c r="Q28" s="8"/>
      <c r="R28" s="8"/>
      <c r="S28" s="8"/>
      <c r="T28" s="8"/>
      <c r="U28" s="8"/>
      <c r="V28" s="8"/>
      <c r="W28" s="8"/>
      <c r="X28" s="8"/>
      <c r="Y28" s="7"/>
      <c r="Z28" s="7"/>
      <c r="AA28" s="7"/>
      <c r="AB28" s="7"/>
      <c r="AC28" s="8"/>
    </row>
    <row r="29" spans="1:34" hidden="1" outlineLevel="1" x14ac:dyDescent="0.3">
      <c r="A29" s="2"/>
      <c r="B29" s="3"/>
      <c r="C29" s="3"/>
      <c r="D29" s="3"/>
      <c r="E29" s="3"/>
      <c r="F29" s="3"/>
      <c r="G29" s="3"/>
      <c r="H29" s="3"/>
      <c r="I29" s="3"/>
      <c r="J29" s="3"/>
      <c r="K29" s="3"/>
      <c r="L29" s="6"/>
      <c r="M29" s="6"/>
      <c r="N29" s="6"/>
      <c r="O29" s="6"/>
      <c r="P29" s="3"/>
      <c r="Q29" s="8"/>
      <c r="R29" s="8"/>
      <c r="S29" s="8"/>
      <c r="T29" s="8"/>
      <c r="U29" s="8"/>
      <c r="V29" s="8"/>
      <c r="W29" s="8"/>
      <c r="X29" s="8"/>
      <c r="Y29" s="7"/>
      <c r="Z29" s="7"/>
      <c r="AA29" s="7"/>
      <c r="AB29" s="7"/>
      <c r="AC29" s="8"/>
    </row>
    <row r="30" spans="1:34" hidden="1" outlineLevel="1" x14ac:dyDescent="0.3">
      <c r="A30" s="2"/>
      <c r="B30" s="3"/>
      <c r="C30" s="3"/>
      <c r="D30" s="3"/>
      <c r="E30" s="3"/>
      <c r="F30" s="3"/>
      <c r="G30" s="3"/>
      <c r="H30" s="3"/>
      <c r="I30" s="3"/>
      <c r="J30" s="3"/>
      <c r="K30" s="3"/>
      <c r="L30" s="6"/>
      <c r="M30" s="6"/>
      <c r="N30" s="6"/>
      <c r="O30" s="6"/>
      <c r="P30" s="3"/>
      <c r="Q30" s="8"/>
      <c r="R30" s="8"/>
      <c r="S30" s="8"/>
      <c r="T30" s="8"/>
      <c r="U30" s="8"/>
      <c r="V30" s="8"/>
      <c r="W30" s="8"/>
      <c r="X30" s="8"/>
      <c r="Y30" s="7"/>
      <c r="Z30" s="7"/>
      <c r="AA30" s="7"/>
      <c r="AB30" s="7"/>
      <c r="AC30" s="8"/>
    </row>
    <row r="31" spans="1:34" hidden="1" outlineLevel="1" x14ac:dyDescent="0.3">
      <c r="A31" s="2"/>
      <c r="B31" s="3"/>
      <c r="C31" s="3"/>
      <c r="D31" s="3"/>
      <c r="E31" s="3"/>
      <c r="F31" s="3"/>
      <c r="G31" s="3"/>
      <c r="H31" s="3"/>
      <c r="I31" s="3"/>
      <c r="J31" s="3"/>
      <c r="K31" s="3"/>
      <c r="L31" s="6"/>
      <c r="M31" s="6"/>
      <c r="N31" s="6"/>
      <c r="O31" s="6"/>
      <c r="P31" s="3"/>
      <c r="Q31" s="8"/>
      <c r="R31" s="8"/>
      <c r="S31" s="8"/>
      <c r="T31" s="8"/>
      <c r="U31" s="8"/>
      <c r="V31" s="8"/>
      <c r="W31" s="8"/>
      <c r="X31" s="8"/>
      <c r="Y31" s="7"/>
      <c r="Z31" s="7"/>
      <c r="AA31" s="7"/>
      <c r="AB31" s="7"/>
      <c r="AC31" s="8"/>
    </row>
    <row r="32" spans="1:34" hidden="1" outlineLevel="1" x14ac:dyDescent="0.3">
      <c r="A32" s="2"/>
      <c r="B32" s="3"/>
      <c r="C32" s="3"/>
      <c r="D32" s="3"/>
      <c r="E32" s="3"/>
      <c r="F32" s="3"/>
      <c r="G32" s="3"/>
      <c r="H32" s="3"/>
      <c r="I32" s="3"/>
      <c r="J32" s="3"/>
      <c r="K32" s="3"/>
      <c r="L32" s="6"/>
      <c r="M32" s="6"/>
      <c r="N32" s="6"/>
      <c r="O32" s="6"/>
      <c r="P32" s="3"/>
      <c r="Q32" s="8"/>
      <c r="R32" s="8"/>
      <c r="S32" s="8"/>
      <c r="T32" s="8"/>
      <c r="U32" s="8"/>
      <c r="V32" s="8"/>
      <c r="W32" s="8"/>
      <c r="X32" s="8"/>
      <c r="Y32" s="7"/>
      <c r="Z32" s="7"/>
      <c r="AA32" s="7"/>
      <c r="AB32" s="7"/>
      <c r="AC32" s="8"/>
    </row>
    <row r="33" spans="1:29" hidden="1" outlineLevel="1" x14ac:dyDescent="0.3">
      <c r="A33" s="2"/>
      <c r="B33" s="3"/>
      <c r="C33" s="3"/>
      <c r="D33" s="3"/>
      <c r="E33" s="3"/>
      <c r="F33" s="3"/>
      <c r="G33" s="3"/>
      <c r="H33" s="3"/>
      <c r="I33" s="3"/>
      <c r="J33" s="3"/>
      <c r="K33" s="3"/>
      <c r="L33" s="6"/>
      <c r="M33" s="6"/>
      <c r="N33" s="6"/>
      <c r="O33" s="6"/>
      <c r="P33" s="3"/>
      <c r="Q33" s="8"/>
      <c r="R33" s="8"/>
      <c r="S33" s="8"/>
      <c r="T33" s="8"/>
      <c r="U33" s="8"/>
      <c r="V33" s="8"/>
      <c r="W33" s="8"/>
      <c r="X33" s="8"/>
      <c r="Y33" s="7"/>
      <c r="Z33" s="7"/>
      <c r="AA33" s="7"/>
      <c r="AB33" s="7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62" priority="3" operator="equal">
      <formula>"On"</formula>
    </cfRule>
  </conditionalFormatting>
  <conditionalFormatting sqref="V21:AA23">
    <cfRule type="cellIs" dxfId="61" priority="2" operator="equal">
      <formula>"On"</formula>
    </cfRule>
  </conditionalFormatting>
  <conditionalFormatting sqref="R21:R23">
    <cfRule type="cellIs" dxfId="60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7105" r:id="rId3" name="CommandButton21">
          <controlPr autoLine="0" r:id="rId4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47105" r:id="rId3" name="CommandButton2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C00000"/>
  </sheetPr>
  <dimension ref="A1:AI40"/>
  <sheetViews>
    <sheetView topLeftCell="B1" zoomScaleNormal="100" workbookViewId="0">
      <selection activeCell="P6" sqref="P6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21.109375" customWidth="1"/>
    <col min="18" max="21" width="6.77734375" bestFit="1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5" ht="35.4" customHeight="1" x14ac:dyDescent="0.3"/>
    <row r="2" spans="1:35" x14ac:dyDescent="0.3">
      <c r="A2">
        <f>COUNTIF(A4:A33,"&gt;""")</f>
        <v>19</v>
      </c>
      <c r="B2">
        <f>P2</f>
        <v>1</v>
      </c>
      <c r="P2" s="1">
        <v>1</v>
      </c>
      <c r="Q2" s="2"/>
      <c r="R2" s="2"/>
    </row>
    <row r="3" spans="1:35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 t="s">
        <v>191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35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60</v>
      </c>
      <c r="D4" s="3" t="s">
        <v>52</v>
      </c>
      <c r="E4" s="6" t="s">
        <v>52</v>
      </c>
      <c r="F4" s="6" t="s">
        <v>52</v>
      </c>
      <c r="G4" s="6" t="s">
        <v>52</v>
      </c>
      <c r="H4" s="6" t="s">
        <v>52</v>
      </c>
      <c r="I4" s="6"/>
      <c r="J4" s="6"/>
      <c r="K4" s="6"/>
      <c r="L4" s="6"/>
      <c r="M4" s="6"/>
      <c r="N4" s="6"/>
      <c r="O4" s="6"/>
      <c r="P4" s="3" t="str">
        <f>'Model names'!C2</f>
        <v>BFW</v>
      </c>
      <c r="Q4" s="8">
        <f>'[15]Reg Inputs'!D17</f>
        <v>150</v>
      </c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8"/>
      <c r="AG4" s="5"/>
      <c r="AH4" s="5"/>
    </row>
    <row r="5" spans="1:35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60</v>
      </c>
      <c r="D5" s="3" t="s">
        <v>52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" t="str">
        <f>'Model names'!C3</f>
        <v>CA</v>
      </c>
      <c r="Q5" s="8">
        <f>'[17]Reg Inputs'!D17</f>
        <v>513924</v>
      </c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8"/>
      <c r="AG5" s="5"/>
      <c r="AH5" s="5"/>
    </row>
    <row r="6" spans="1:35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60</v>
      </c>
      <c r="D6" s="3" t="s">
        <v>52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3" t="str">
        <f>'Model names'!C4</f>
        <v>ETS</v>
      </c>
      <c r="Q6" s="8">
        <f>'[19]Reg Inputs'!D17</f>
        <v>0</v>
      </c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8"/>
      <c r="AD6" s="8"/>
      <c r="AE6" s="8"/>
      <c r="AF6" s="8"/>
      <c r="AG6" s="8"/>
      <c r="AH6" s="8"/>
      <c r="AI6" s="8"/>
    </row>
    <row r="7" spans="1:35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60</v>
      </c>
      <c r="D7" s="3" t="s">
        <v>52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3" t="str">
        <f>'Model names'!C5</f>
        <v>HI</v>
      </c>
      <c r="Q7" s="8">
        <f>'[21]Reg Inputs'!D17</f>
        <v>25233</v>
      </c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8"/>
      <c r="AG7" s="5"/>
      <c r="AH7" s="5"/>
    </row>
    <row r="8" spans="1:35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60</v>
      </c>
      <c r="D8" s="3" t="s">
        <v>52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3" t="str">
        <f>'Model names'!C6</f>
        <v>IA</v>
      </c>
      <c r="Q8" s="8">
        <f>'[23]Reg Inputs'!D17</f>
        <v>107829.91099999999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G8" s="5"/>
      <c r="AH8" s="5"/>
    </row>
    <row r="9" spans="1:35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60</v>
      </c>
      <c r="D9" s="3" t="s">
        <v>52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3" t="str">
        <f>'Model names'!C7</f>
        <v>IL</v>
      </c>
      <c r="Q9" s="8">
        <f>'[25]Reg Inputs'!D17</f>
        <v>929539</v>
      </c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8"/>
      <c r="AG9" s="5"/>
      <c r="AH9" s="5"/>
    </row>
    <row r="10" spans="1:35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60</v>
      </c>
      <c r="D10" s="3" t="s">
        <v>52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 t="str">
        <f>'Model names'!C8</f>
        <v>IN</v>
      </c>
      <c r="Q10" s="8">
        <f>'[27]Reg Inputs'!D17</f>
        <v>669401.40899999999</v>
      </c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8"/>
      <c r="AG10" s="5"/>
      <c r="AH10" s="5"/>
    </row>
    <row r="11" spans="1:35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60</v>
      </c>
      <c r="D11" s="3" t="s">
        <v>52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3" t="str">
        <f>'Model names'!C9</f>
        <v>KY</v>
      </c>
      <c r="Q11" s="8">
        <f>'[29]Reg Inputs'!D17</f>
        <v>405704</v>
      </c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8"/>
      <c r="AG11" s="5"/>
      <c r="AH11" s="5"/>
    </row>
    <row r="12" spans="1:35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60</v>
      </c>
      <c r="D12" s="3" t="s">
        <v>52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3" t="str">
        <f>'Model names'!C10</f>
        <v>Liberty</v>
      </c>
      <c r="Q12" s="8">
        <f>'[31]Reg Inputs'!D17</f>
        <v>0</v>
      </c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8"/>
      <c r="AG12" s="5"/>
      <c r="AH12" s="5"/>
    </row>
    <row r="13" spans="1:35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60</v>
      </c>
      <c r="D13" s="3" t="s">
        <v>52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3" t="str">
        <f>'Model names'!C11</f>
        <v>LW</v>
      </c>
      <c r="Q13" s="8">
        <f>'[33]Reg Inputs'!D17</f>
        <v>0</v>
      </c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8"/>
      <c r="AG13" s="5"/>
      <c r="AH13" s="5"/>
    </row>
    <row r="14" spans="1:35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60</v>
      </c>
      <c r="D14" s="3" t="s">
        <v>52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3" t="str">
        <f>'Model names'!C12</f>
        <v>MD</v>
      </c>
      <c r="Q14" s="8">
        <f>'[35]Reg Inputs'!D17</f>
        <v>27467</v>
      </c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8"/>
      <c r="AG14" s="5"/>
      <c r="AH14" s="5"/>
    </row>
    <row r="15" spans="1:35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60</v>
      </c>
      <c r="D15" s="3" t="s">
        <v>52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3" t="str">
        <f>'Model names'!C13</f>
        <v>MI</v>
      </c>
      <c r="Q15" s="8">
        <f>'[37]Reg Inputs'!D17</f>
        <v>3956</v>
      </c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8"/>
      <c r="AG15" s="5"/>
      <c r="AH15" s="5"/>
    </row>
    <row r="16" spans="1:35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60</v>
      </c>
      <c r="D16" s="3" t="s">
        <v>52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" t="str">
        <f>'Model names'!C14</f>
        <v>MO</v>
      </c>
      <c r="Q16" s="8">
        <f>'[39]Reg Inputs'!D17</f>
        <v>1256229.058</v>
      </c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60</v>
      </c>
      <c r="D17" s="3" t="s">
        <v>52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" t="str">
        <f>'Model names'!C15</f>
        <v>NJ</v>
      </c>
      <c r="Q17" s="8">
        <f>'[41]Reg Inputs'!D17</f>
        <v>2383232</v>
      </c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60</v>
      </c>
      <c r="D18" s="3" t="s">
        <v>52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" t="str">
        <f>'Model names'!C16</f>
        <v>NY</v>
      </c>
      <c r="Q18" s="8">
        <f>'[43]Reg Inputs'!D17</f>
        <v>253600</v>
      </c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60</v>
      </c>
      <c r="D19" s="3" t="s">
        <v>52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" t="str">
        <f>'Model names'!C17</f>
        <v>PA</v>
      </c>
      <c r="Q19" s="8">
        <f>'[45]Reg Inputs'!D17</f>
        <v>2949448</v>
      </c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60</v>
      </c>
      <c r="D20" s="3" t="s">
        <v>52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" t="str">
        <f>'Model names'!C18</f>
        <v>TN</v>
      </c>
      <c r="Q20" s="8">
        <f>'[47]Reg Inputs'!D17</f>
        <v>132015</v>
      </c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8"/>
      <c r="AG20" s="5"/>
      <c r="AH20" s="5"/>
    </row>
    <row r="21" spans="1:34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60</v>
      </c>
      <c r="D21" s="3" t="s">
        <v>52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" t="str">
        <f>'Model names'!C19</f>
        <v>VA</v>
      </c>
      <c r="Q21" s="8">
        <f>'[49]Reg Inputs'!D17</f>
        <v>163000</v>
      </c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8"/>
    </row>
    <row r="22" spans="1:34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60</v>
      </c>
      <c r="D22" s="3" t="s">
        <v>52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" t="str">
        <f>'Model names'!C20</f>
        <v>WV</v>
      </c>
      <c r="Q22" s="8">
        <f>'[51]Reg Inputs'!D17</f>
        <v>650000</v>
      </c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8"/>
    </row>
    <row r="23" spans="1:34" hidden="1" outlineLevel="1" x14ac:dyDescent="0.3">
      <c r="A23" s="2"/>
      <c r="B23" s="3"/>
      <c r="C23" s="3"/>
      <c r="D23" s="3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"/>
      <c r="Q23" s="8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8"/>
    </row>
    <row r="24" spans="1:34" hidden="1" outlineLevel="1" x14ac:dyDescent="0.3">
      <c r="A24" s="2"/>
      <c r="B24" s="3"/>
      <c r="C24" s="3"/>
      <c r="D24" s="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"/>
      <c r="Q24" s="8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8"/>
    </row>
    <row r="25" spans="1:34" hidden="1" outlineLevel="1" x14ac:dyDescent="0.3">
      <c r="A25" s="2"/>
      <c r="B25" s="3"/>
      <c r="C25" s="3"/>
      <c r="D25" s="3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"/>
      <c r="Q25" s="8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8"/>
    </row>
    <row r="26" spans="1:34" hidden="1" outlineLevel="1" x14ac:dyDescent="0.3">
      <c r="A26" s="2"/>
      <c r="B26" s="3"/>
      <c r="C26" s="3"/>
      <c r="D26" s="3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3"/>
      <c r="Q26" s="8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8"/>
    </row>
    <row r="27" spans="1:34" hidden="1" outlineLevel="1" x14ac:dyDescent="0.3">
      <c r="A27" s="2"/>
      <c r="B27" s="3"/>
      <c r="C27" s="3"/>
      <c r="D27" s="3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"/>
      <c r="Q27" s="8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8"/>
    </row>
    <row r="28" spans="1:34" hidden="1" outlineLevel="1" x14ac:dyDescent="0.3">
      <c r="A28" s="2"/>
      <c r="B28" s="3"/>
      <c r="C28" s="3"/>
      <c r="D28" s="3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"/>
      <c r="Q28" s="8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8"/>
    </row>
    <row r="29" spans="1:34" hidden="1" outlineLevel="1" x14ac:dyDescent="0.3">
      <c r="A29" s="2" t="str">
        <f>IF(B29=0,"",A28)</f>
        <v/>
      </c>
      <c r="B29" s="3"/>
      <c r="C29" s="3"/>
      <c r="D29" s="3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"/>
      <c r="Q29" s="8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8"/>
    </row>
    <row r="30" spans="1:34" hidden="1" outlineLevel="1" x14ac:dyDescent="0.3">
      <c r="A30" s="2" t="str">
        <f>IF(B30=0,"",A29)</f>
        <v/>
      </c>
      <c r="B30" s="3"/>
      <c r="C30" s="3"/>
      <c r="D30" s="3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3"/>
      <c r="Q30" s="8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8"/>
    </row>
    <row r="31" spans="1:34" hidden="1" outlineLevel="1" x14ac:dyDescent="0.3">
      <c r="A31" s="2" t="str">
        <f>IF(B31=0,"",A30)</f>
        <v/>
      </c>
      <c r="B31" s="3"/>
      <c r="C31" s="3"/>
      <c r="D31" s="3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"/>
      <c r="Q31" s="8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8"/>
    </row>
    <row r="32" spans="1:34" hidden="1" outlineLevel="1" x14ac:dyDescent="0.3">
      <c r="A32" s="2" t="str">
        <f>IF(B32=0,"",A31)</f>
        <v/>
      </c>
      <c r="B32" s="3"/>
      <c r="C32" s="3"/>
      <c r="D32" s="3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"/>
      <c r="Q32" s="8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8"/>
    </row>
    <row r="33" spans="1:29" hidden="1" outlineLevel="1" x14ac:dyDescent="0.3">
      <c r="A33" s="2" t="str">
        <f>IF(B33=0,"",A32)</f>
        <v/>
      </c>
      <c r="B33" s="3">
        <f>'Model names'!B31</f>
        <v>0</v>
      </c>
      <c r="C33" s="3" t="str">
        <f>IF(B33=0,"",C32)</f>
        <v/>
      </c>
      <c r="D33" s="3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"/>
      <c r="Q33" s="8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">
    <cfRule type="cellIs" dxfId="59" priority="3" operator="equal">
      <formula>"On"</formula>
    </cfRule>
  </conditionalFormatting>
  <dataValidations count="1">
    <dataValidation type="list" allowBlank="1" showInputMessage="1" showErrorMessage="1" sqref="P2">
      <formula1>"1, 5, 10, 12"</formula1>
    </dataValidation>
  </dataValidations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11265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152400</xdr:colOff>
                <xdr:row>0</xdr:row>
                <xdr:rowOff>403860</xdr:rowOff>
              </to>
            </anchor>
          </controlPr>
        </control>
      </mc:Choice>
      <mc:Fallback>
        <control shapeId="11265" r:id="rId4" name="CommandButton2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00000"/>
  </sheetPr>
  <dimension ref="A1:AH40"/>
  <sheetViews>
    <sheetView topLeftCell="J1" zoomScaleNormal="100" workbookViewId="0">
      <selection activeCell="P17" sqref="P17:V17"/>
    </sheetView>
  </sheetViews>
  <sheetFormatPr defaultRowHeight="14.4" outlineLevelCol="1" x14ac:dyDescent="0.3"/>
  <cols>
    <col min="1" max="1" width="108" bestFit="1" customWidth="1" outlineLevel="1"/>
    <col min="2" max="2" width="49.109375" bestFit="1" customWidth="1" outlineLevel="1"/>
    <col min="3" max="3" width="14.44140625" bestFit="1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20.44140625" customWidth="1"/>
    <col min="18" max="18" width="20" customWidth="1"/>
    <col min="19" max="19" width="19.5546875" customWidth="1"/>
    <col min="20" max="20" width="18.6640625" customWidth="1"/>
    <col min="21" max="21" width="12.88671875" bestFit="1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ht="28.8" x14ac:dyDescent="0.3">
      <c r="A2">
        <f>COUNTIF(A4:A33,"&gt;""")</f>
        <v>19</v>
      </c>
      <c r="B2">
        <f>P2</f>
        <v>6</v>
      </c>
      <c r="P2" s="1">
        <v>6</v>
      </c>
      <c r="Q2" s="11" t="s">
        <v>62</v>
      </c>
      <c r="R2" s="11" t="s">
        <v>63</v>
      </c>
      <c r="S2" s="11" t="s">
        <v>62</v>
      </c>
      <c r="T2" s="11" t="s">
        <v>63</v>
      </c>
      <c r="U2" s="11" t="s">
        <v>309</v>
      </c>
      <c r="V2" s="11" t="s">
        <v>309</v>
      </c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12" t="s">
        <v>308</v>
      </c>
      <c r="R3" s="12" t="s">
        <v>308</v>
      </c>
      <c r="S3" s="12">
        <v>2017</v>
      </c>
      <c r="T3" s="12">
        <v>2017</v>
      </c>
      <c r="U3" s="12" t="s">
        <v>308</v>
      </c>
      <c r="V3" s="12">
        <v>2017</v>
      </c>
      <c r="W3" s="2"/>
      <c r="X3" s="2"/>
      <c r="Y3" s="2"/>
      <c r="Z3" s="2"/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53</v>
      </c>
      <c r="D4" s="3" t="s">
        <v>54</v>
      </c>
      <c r="E4" s="3" t="s">
        <v>55</v>
      </c>
      <c r="F4" s="3" t="s">
        <v>56</v>
      </c>
      <c r="G4" s="3" t="s">
        <v>57</v>
      </c>
      <c r="H4" s="3" t="s">
        <v>310</v>
      </c>
      <c r="I4" s="3" t="s">
        <v>311</v>
      </c>
      <c r="J4" s="6"/>
      <c r="K4" s="6"/>
      <c r="L4" s="6"/>
      <c r="M4" s="6"/>
      <c r="N4" s="6"/>
      <c r="O4" s="6"/>
      <c r="P4" s="3" t="str">
        <f>'Model names'!C2</f>
        <v>BFW</v>
      </c>
      <c r="Q4" s="8">
        <f>[15]Exec_Summary!D61</f>
        <v>149</v>
      </c>
      <c r="R4" s="8">
        <f>[15]Exec_Summary!D62</f>
        <v>150</v>
      </c>
      <c r="S4" s="8">
        <f>[15]Exec_Summary!E61</f>
        <v>149</v>
      </c>
      <c r="T4" s="8">
        <f>[15]Exec_Summary!E62</f>
        <v>150</v>
      </c>
      <c r="U4" s="8">
        <f>[15]Exec_Summary!D63</f>
        <v>0</v>
      </c>
      <c r="V4" s="8">
        <f>[15]Exec_Summary!E63</f>
        <v>0</v>
      </c>
      <c r="W4" s="7"/>
      <c r="X4" s="7"/>
      <c r="Y4" s="7"/>
      <c r="Z4" s="7"/>
      <c r="AA4" s="7"/>
      <c r="AB4" s="7"/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53</v>
      </c>
      <c r="D5" s="3" t="s">
        <v>54</v>
      </c>
      <c r="E5" s="3" t="s">
        <v>55</v>
      </c>
      <c r="F5" s="3" t="s">
        <v>56</v>
      </c>
      <c r="G5" s="3" t="s">
        <v>57</v>
      </c>
      <c r="H5" s="3" t="s">
        <v>310</v>
      </c>
      <c r="I5" s="3" t="s">
        <v>311</v>
      </c>
      <c r="J5" s="6"/>
      <c r="K5" s="6"/>
      <c r="L5" s="6"/>
      <c r="M5" s="6"/>
      <c r="N5" s="6"/>
      <c r="O5" s="6"/>
      <c r="P5" s="3" t="str">
        <f>'Model names'!C3</f>
        <v>CA</v>
      </c>
      <c r="Q5" s="8">
        <f>[17]Exec_Summary!D61</f>
        <v>434497.10133589705</v>
      </c>
      <c r="R5" s="8">
        <f>[17]Exec_Summary!D62</f>
        <v>485000</v>
      </c>
      <c r="S5" s="8">
        <f>[17]Exec_Summary!E61</f>
        <v>501000</v>
      </c>
      <c r="T5" s="8">
        <f>[17]Exec_Summary!E62</f>
        <v>513924</v>
      </c>
      <c r="U5" s="8">
        <f>[17]Exec_Summary!D63</f>
        <v>0</v>
      </c>
      <c r="V5" s="8">
        <f>[17]Exec_Summary!E63</f>
        <v>0</v>
      </c>
      <c r="W5" s="7"/>
      <c r="X5" s="7"/>
      <c r="Y5" s="7"/>
      <c r="Z5" s="7"/>
      <c r="AA5" s="7"/>
      <c r="AB5" s="7"/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53</v>
      </c>
      <c r="D6" s="3" t="s">
        <v>54</v>
      </c>
      <c r="E6" s="3" t="s">
        <v>55</v>
      </c>
      <c r="F6" s="3" t="s">
        <v>56</v>
      </c>
      <c r="G6" s="3" t="s">
        <v>57</v>
      </c>
      <c r="H6" s="3" t="s">
        <v>310</v>
      </c>
      <c r="I6" s="3" t="s">
        <v>311</v>
      </c>
      <c r="J6" s="6"/>
      <c r="K6" s="6"/>
      <c r="L6" s="6"/>
      <c r="M6" s="6"/>
      <c r="N6" s="6"/>
      <c r="O6" s="6"/>
      <c r="P6" s="3" t="str">
        <f>'Model names'!C4</f>
        <v>ETS</v>
      </c>
      <c r="Q6" s="8">
        <f>[19]Exec_Summary!D61</f>
        <v>0</v>
      </c>
      <c r="R6" s="8">
        <f>[19]Exec_Summary!D62</f>
        <v>0</v>
      </c>
      <c r="S6" s="8">
        <f>[19]Exec_Summary!E61</f>
        <v>0</v>
      </c>
      <c r="T6" s="8">
        <f>[19]Exec_Summary!E62</f>
        <v>0</v>
      </c>
      <c r="U6" s="8">
        <f>[19]Exec_Summary!D63</f>
        <v>0</v>
      </c>
      <c r="V6" s="8">
        <f>[19]Exec_Summary!E63</f>
        <v>0</v>
      </c>
      <c r="W6" s="7"/>
      <c r="X6" s="7"/>
      <c r="Y6" s="7"/>
      <c r="Z6" s="7"/>
      <c r="AA6" s="7"/>
      <c r="AB6" s="7"/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53</v>
      </c>
      <c r="D7" s="3" t="s">
        <v>54</v>
      </c>
      <c r="E7" s="3" t="s">
        <v>55</v>
      </c>
      <c r="F7" s="3" t="s">
        <v>56</v>
      </c>
      <c r="G7" s="3" t="s">
        <v>57</v>
      </c>
      <c r="H7" s="3" t="s">
        <v>310</v>
      </c>
      <c r="I7" s="3" t="s">
        <v>311</v>
      </c>
      <c r="J7" s="6"/>
      <c r="K7" s="6"/>
      <c r="L7" s="6"/>
      <c r="M7" s="6"/>
      <c r="N7" s="6"/>
      <c r="O7" s="6"/>
      <c r="P7" s="3" t="str">
        <f>'Model names'!C5</f>
        <v>HI</v>
      </c>
      <c r="Q7" s="8">
        <f>[21]Exec_Summary!D61</f>
        <v>30179</v>
      </c>
      <c r="R7" s="8">
        <f>[21]Exec_Summary!D62</f>
        <v>25233</v>
      </c>
      <c r="S7" s="8">
        <f>[21]Exec_Summary!E61</f>
        <v>30983</v>
      </c>
      <c r="T7" s="8">
        <f>[21]Exec_Summary!E62</f>
        <v>25233</v>
      </c>
      <c r="U7" s="8">
        <f>[21]Exec_Summary!D63</f>
        <v>0</v>
      </c>
      <c r="V7" s="8">
        <f>[21]Exec_Summary!E63</f>
        <v>0</v>
      </c>
      <c r="W7" s="7"/>
      <c r="X7" s="7"/>
      <c r="Y7" s="7"/>
      <c r="Z7" s="7"/>
      <c r="AA7" s="7"/>
      <c r="AB7" s="7"/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53</v>
      </c>
      <c r="D8" s="3" t="s">
        <v>54</v>
      </c>
      <c r="E8" s="3" t="s">
        <v>55</v>
      </c>
      <c r="F8" s="3" t="s">
        <v>56</v>
      </c>
      <c r="G8" s="3" t="s">
        <v>57</v>
      </c>
      <c r="H8" s="3" t="s">
        <v>310</v>
      </c>
      <c r="I8" s="3" t="s">
        <v>311</v>
      </c>
      <c r="J8" s="6"/>
      <c r="K8" s="6"/>
      <c r="L8" s="6"/>
      <c r="M8" s="6"/>
      <c r="N8" s="6"/>
      <c r="O8" s="6"/>
      <c r="P8" s="3" t="str">
        <f>'Model names'!C6</f>
        <v>IA</v>
      </c>
      <c r="Q8" s="8">
        <f>[23]Exec_Summary!D61</f>
        <v>100064.01194917999</v>
      </c>
      <c r="R8" s="8">
        <f>[23]Exec_Summary!D62</f>
        <v>100824</v>
      </c>
      <c r="S8" s="8">
        <f>[23]Exec_Summary!E61</f>
        <v>109960.45269140658</v>
      </c>
      <c r="T8" s="8">
        <f>[23]Exec_Summary!E62</f>
        <v>107830</v>
      </c>
      <c r="U8" s="8">
        <f>[23]Exec_Summary!D63</f>
        <v>0</v>
      </c>
      <c r="V8" s="8">
        <f>[23]Exec_Summary!E63</f>
        <v>0</v>
      </c>
      <c r="W8" s="7"/>
      <c r="X8" s="7"/>
      <c r="Y8" s="7"/>
      <c r="Z8" s="7"/>
      <c r="AA8" s="7"/>
      <c r="AB8" s="7"/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53</v>
      </c>
      <c r="D9" s="3" t="s">
        <v>54</v>
      </c>
      <c r="E9" s="3" t="s">
        <v>55</v>
      </c>
      <c r="F9" s="3" t="s">
        <v>56</v>
      </c>
      <c r="G9" s="3" t="s">
        <v>57</v>
      </c>
      <c r="H9" s="3" t="s">
        <v>310</v>
      </c>
      <c r="I9" s="3" t="s">
        <v>311</v>
      </c>
      <c r="J9" s="6"/>
      <c r="K9" s="6"/>
      <c r="L9" s="6"/>
      <c r="M9" s="6"/>
      <c r="N9" s="6"/>
      <c r="O9" s="6"/>
      <c r="P9" s="3" t="str">
        <f>'Model names'!C7</f>
        <v>IL</v>
      </c>
      <c r="Q9" s="8">
        <f>[25]Exec_Summary!D61</f>
        <v>893608</v>
      </c>
      <c r="R9" s="8">
        <f>[25]Exec_Summary!D62</f>
        <v>706386</v>
      </c>
      <c r="S9" s="8">
        <f>[25]Exec_Summary!E61</f>
        <v>883385</v>
      </c>
      <c r="T9" s="8">
        <f>[25]Exec_Summary!E62</f>
        <v>929539</v>
      </c>
      <c r="U9" s="8">
        <f>[25]Exec_Summary!D63</f>
        <v>0</v>
      </c>
      <c r="V9" s="8">
        <f>[25]Exec_Summary!E63</f>
        <v>0</v>
      </c>
      <c r="W9" s="7"/>
      <c r="X9" s="7"/>
      <c r="Y9" s="7"/>
      <c r="Z9" s="7"/>
      <c r="AA9" s="7"/>
      <c r="AB9" s="7"/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53</v>
      </c>
      <c r="D10" s="3" t="s">
        <v>54</v>
      </c>
      <c r="E10" s="3" t="s">
        <v>55</v>
      </c>
      <c r="F10" s="3" t="s">
        <v>56</v>
      </c>
      <c r="G10" s="3" t="s">
        <v>57</v>
      </c>
      <c r="H10" s="3" t="s">
        <v>310</v>
      </c>
      <c r="I10" s="3" t="s">
        <v>311</v>
      </c>
      <c r="J10" s="6"/>
      <c r="K10" s="6"/>
      <c r="L10" s="6"/>
      <c r="M10" s="6"/>
      <c r="N10" s="6"/>
      <c r="O10" s="6"/>
      <c r="P10" s="3" t="str">
        <f>'Model names'!C8</f>
        <v>IN</v>
      </c>
      <c r="Q10" s="8">
        <f>[27]Exec_Summary!D61</f>
        <v>618444.34101440501</v>
      </c>
      <c r="R10" s="8">
        <f>[27]Exec_Summary!D62</f>
        <v>669401.40899999999</v>
      </c>
      <c r="S10" s="8">
        <f>[27]Exec_Summary!E61</f>
        <v>678444.34101440501</v>
      </c>
      <c r="T10" s="8">
        <f>[27]Exec_Summary!E62</f>
        <v>669401.40899999999</v>
      </c>
      <c r="U10" s="8">
        <f>[27]Exec_Summary!D63</f>
        <v>25682.681</v>
      </c>
      <c r="V10" s="8">
        <f>[27]Exec_Summary!E63</f>
        <v>71072.706999999995</v>
      </c>
      <c r="W10" s="7"/>
      <c r="X10" s="7"/>
      <c r="Y10" s="7"/>
      <c r="Z10" s="7"/>
      <c r="AA10" s="7"/>
      <c r="AB10" s="7"/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53</v>
      </c>
      <c r="D11" s="3" t="s">
        <v>54</v>
      </c>
      <c r="E11" s="3" t="s">
        <v>55</v>
      </c>
      <c r="F11" s="3" t="s">
        <v>56</v>
      </c>
      <c r="G11" s="3" t="s">
        <v>57</v>
      </c>
      <c r="H11" s="3" t="s">
        <v>310</v>
      </c>
      <c r="I11" s="3" t="s">
        <v>311</v>
      </c>
      <c r="J11" s="6"/>
      <c r="K11" s="6"/>
      <c r="L11" s="6"/>
      <c r="M11" s="6"/>
      <c r="N11" s="6"/>
      <c r="O11" s="6"/>
      <c r="P11" s="3" t="str">
        <f>'Model names'!C9</f>
        <v>KY</v>
      </c>
      <c r="Q11" s="8">
        <f>[29]Exec_Summary!D61</f>
        <v>403866</v>
      </c>
      <c r="R11" s="8">
        <f>[29]Exec_Summary!D62</f>
        <v>405704</v>
      </c>
      <c r="S11" s="8">
        <f>[29]Exec_Summary!E61</f>
        <v>413300</v>
      </c>
      <c r="T11" s="8">
        <f>[29]Exec_Summary!E62</f>
        <v>405704</v>
      </c>
      <c r="U11" s="8">
        <f>[29]Exec_Summary!D63</f>
        <v>0</v>
      </c>
      <c r="V11" s="8">
        <f>[29]Exec_Summary!E63</f>
        <v>0</v>
      </c>
      <c r="W11" s="7"/>
      <c r="X11" s="7"/>
      <c r="Y11" s="7"/>
      <c r="Z11" s="7"/>
      <c r="AA11" s="7"/>
      <c r="AB11" s="7"/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53</v>
      </c>
      <c r="D12" s="3" t="s">
        <v>54</v>
      </c>
      <c r="E12" s="3" t="s">
        <v>55</v>
      </c>
      <c r="F12" s="3" t="s">
        <v>56</v>
      </c>
      <c r="G12" s="3" t="s">
        <v>57</v>
      </c>
      <c r="H12" s="3" t="s">
        <v>310</v>
      </c>
      <c r="I12" s="3" t="s">
        <v>311</v>
      </c>
      <c r="J12" s="6"/>
      <c r="K12" s="6"/>
      <c r="L12" s="6"/>
      <c r="M12" s="6"/>
      <c r="N12" s="6"/>
      <c r="O12" s="6"/>
      <c r="P12" s="3" t="str">
        <f>'Model names'!C10</f>
        <v>Liberty</v>
      </c>
      <c r="Q12" s="8">
        <f>[31]Exec_Summary!D61</f>
        <v>0</v>
      </c>
      <c r="R12" s="8">
        <f>[31]Exec_Summary!D62</f>
        <v>0</v>
      </c>
      <c r="S12" s="8">
        <f>[31]Exec_Summary!E61</f>
        <v>0</v>
      </c>
      <c r="T12" s="8">
        <f>[31]Exec_Summary!E62</f>
        <v>0</v>
      </c>
      <c r="U12" s="8">
        <f>[31]Exec_Summary!D63</f>
        <v>0</v>
      </c>
      <c r="V12" s="8">
        <f>[31]Exec_Summary!E63</f>
        <v>0</v>
      </c>
      <c r="W12" s="7"/>
      <c r="X12" s="7"/>
      <c r="Y12" s="7"/>
      <c r="Z12" s="7"/>
      <c r="AA12" s="7"/>
      <c r="AB12" s="7"/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53</v>
      </c>
      <c r="D13" s="3" t="s">
        <v>54</v>
      </c>
      <c r="E13" s="3" t="s">
        <v>55</v>
      </c>
      <c r="F13" s="3" t="s">
        <v>56</v>
      </c>
      <c r="G13" s="3" t="s">
        <v>57</v>
      </c>
      <c r="H13" s="3" t="s">
        <v>310</v>
      </c>
      <c r="I13" s="3" t="s">
        <v>311</v>
      </c>
      <c r="J13" s="6"/>
      <c r="K13" s="6"/>
      <c r="L13" s="6"/>
      <c r="M13" s="6"/>
      <c r="N13" s="6"/>
      <c r="O13" s="6"/>
      <c r="P13" s="3" t="str">
        <f>'Model names'!C11</f>
        <v>LW</v>
      </c>
      <c r="Q13" s="8">
        <f>[33]Exec_Summary!D61</f>
        <v>31254.578073043587</v>
      </c>
      <c r="R13" s="8">
        <f>[33]Exec_Summary!D62</f>
        <v>0</v>
      </c>
      <c r="S13" s="8">
        <f>[33]Exec_Summary!E61</f>
        <v>30052.478916388063</v>
      </c>
      <c r="T13" s="8">
        <f>[33]Exec_Summary!E62</f>
        <v>0</v>
      </c>
      <c r="U13" s="8">
        <f>[33]Exec_Summary!D63</f>
        <v>0</v>
      </c>
      <c r="V13" s="8">
        <f>[33]Exec_Summary!E63</f>
        <v>0</v>
      </c>
      <c r="W13" s="7"/>
      <c r="X13" s="7"/>
      <c r="Y13" s="7"/>
      <c r="Z13" s="7"/>
      <c r="AA13" s="7"/>
      <c r="AB13" s="7"/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53</v>
      </c>
      <c r="D14" s="3" t="s">
        <v>54</v>
      </c>
      <c r="E14" s="3" t="s">
        <v>55</v>
      </c>
      <c r="F14" s="3" t="s">
        <v>56</v>
      </c>
      <c r="G14" s="3" t="s">
        <v>57</v>
      </c>
      <c r="H14" s="3" t="s">
        <v>310</v>
      </c>
      <c r="I14" s="3" t="s">
        <v>311</v>
      </c>
      <c r="J14" s="6"/>
      <c r="K14" s="6"/>
      <c r="L14" s="6"/>
      <c r="M14" s="6"/>
      <c r="N14" s="6"/>
      <c r="O14" s="6"/>
      <c r="P14" s="3" t="str">
        <f>'Model names'!C12</f>
        <v>MD</v>
      </c>
      <c r="Q14" s="8">
        <f>[35]Exec_Summary!D61</f>
        <v>12450</v>
      </c>
      <c r="R14" s="8">
        <f>[35]Exec_Summary!D62</f>
        <v>12061</v>
      </c>
      <c r="S14" s="8">
        <f>[35]Exec_Summary!E61</f>
        <v>14605</v>
      </c>
      <c r="T14" s="8">
        <f>[35]Exec_Summary!E62</f>
        <v>14605</v>
      </c>
      <c r="U14" s="8">
        <f>[35]Exec_Summary!D63</f>
        <v>0</v>
      </c>
      <c r="V14" s="8">
        <f>[35]Exec_Summary!E63</f>
        <v>0</v>
      </c>
      <c r="W14" s="7"/>
      <c r="X14" s="7"/>
      <c r="Y14" s="7"/>
      <c r="Z14" s="7"/>
      <c r="AA14" s="7"/>
      <c r="AB14" s="7"/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53</v>
      </c>
      <c r="D15" s="3" t="s">
        <v>54</v>
      </c>
      <c r="E15" s="3" t="s">
        <v>55</v>
      </c>
      <c r="F15" s="3" t="s">
        <v>56</v>
      </c>
      <c r="G15" s="3" t="s">
        <v>57</v>
      </c>
      <c r="H15" s="3" t="s">
        <v>310</v>
      </c>
      <c r="I15" s="3" t="s">
        <v>311</v>
      </c>
      <c r="J15" s="6"/>
      <c r="K15" s="6"/>
      <c r="L15" s="6"/>
      <c r="M15" s="6"/>
      <c r="N15" s="6"/>
      <c r="O15" s="6"/>
      <c r="P15" s="3" t="str">
        <f>'Model names'!C13</f>
        <v>MI</v>
      </c>
      <c r="Q15" s="8">
        <f>[37]Exec_Summary!D61</f>
        <v>3600</v>
      </c>
      <c r="R15" s="8">
        <f>[37]Exec_Summary!D62</f>
        <v>3956</v>
      </c>
      <c r="S15" s="8">
        <f>[37]Exec_Summary!E61</f>
        <v>4000</v>
      </c>
      <c r="T15" s="8">
        <f>[37]Exec_Summary!E62</f>
        <v>3956</v>
      </c>
      <c r="U15" s="8">
        <f>[37]Exec_Summary!D63</f>
        <v>0</v>
      </c>
      <c r="V15" s="8">
        <f>[37]Exec_Summary!E63</f>
        <v>0</v>
      </c>
      <c r="W15" s="7"/>
      <c r="X15" s="7"/>
      <c r="Y15" s="7"/>
      <c r="Z15" s="7"/>
      <c r="AA15" s="7"/>
      <c r="AB15" s="7"/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53</v>
      </c>
      <c r="D16" s="3" t="s">
        <v>54</v>
      </c>
      <c r="E16" s="3" t="s">
        <v>55</v>
      </c>
      <c r="F16" s="3" t="s">
        <v>56</v>
      </c>
      <c r="G16" s="3" t="s">
        <v>57</v>
      </c>
      <c r="H16" s="3" t="s">
        <v>310</v>
      </c>
      <c r="I16" s="3" t="s">
        <v>311</v>
      </c>
      <c r="J16" s="6"/>
      <c r="K16" s="6"/>
      <c r="L16" s="6"/>
      <c r="M16" s="6"/>
      <c r="N16" s="6"/>
      <c r="O16" s="6"/>
      <c r="P16" s="3" t="str">
        <f>'Model names'!C14</f>
        <v>MO</v>
      </c>
      <c r="Q16" s="8">
        <f>[39]Exec_Summary!D61</f>
        <v>1109297.4240000001</v>
      </c>
      <c r="R16" s="8">
        <f>[39]Exec_Summary!D62</f>
        <v>1132839.794</v>
      </c>
      <c r="S16" s="8">
        <f>[39]Exec_Summary!E61</f>
        <v>1209469.058</v>
      </c>
      <c r="T16" s="8">
        <f>[39]Exec_Summary!E62</f>
        <v>1132839.794</v>
      </c>
      <c r="U16" s="8">
        <f>[39]Exec_Summary!D63</f>
        <v>21087</v>
      </c>
      <c r="V16" s="8">
        <f>[39]Exec_Summary!E63</f>
        <v>46760</v>
      </c>
      <c r="W16" s="7"/>
      <c r="X16" s="7"/>
      <c r="Y16" s="7"/>
      <c r="Z16" s="7"/>
      <c r="AA16" s="7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53</v>
      </c>
      <c r="D17" s="3" t="s">
        <v>54</v>
      </c>
      <c r="E17" s="3" t="s">
        <v>55</v>
      </c>
      <c r="F17" s="3" t="s">
        <v>56</v>
      </c>
      <c r="G17" s="3" t="s">
        <v>57</v>
      </c>
      <c r="H17" s="3" t="s">
        <v>310</v>
      </c>
      <c r="I17" s="3" t="s">
        <v>311</v>
      </c>
      <c r="J17" s="6"/>
      <c r="K17" s="6"/>
      <c r="L17" s="6"/>
      <c r="M17" s="6"/>
      <c r="N17" s="6"/>
      <c r="O17" s="6"/>
      <c r="P17" s="3" t="str">
        <f>'Model names'!C15</f>
        <v>NJ</v>
      </c>
      <c r="Q17" s="8">
        <f>[41]Exec_Summary!D61</f>
        <v>2589465.4475531001</v>
      </c>
      <c r="R17" s="8">
        <f>[41]Exec_Summary!D62</f>
        <v>2383232</v>
      </c>
      <c r="S17" s="8">
        <f>[41]Exec_Summary!E61</f>
        <v>2766962.8149000001</v>
      </c>
      <c r="T17" s="8">
        <f>[41]Exec_Summary!E62</f>
        <v>2383232</v>
      </c>
      <c r="U17" s="8">
        <f>[41]Exec_Summary!D63</f>
        <v>0</v>
      </c>
      <c r="V17" s="8">
        <f>[41]Exec_Summary!E63</f>
        <v>0</v>
      </c>
      <c r="W17" s="7"/>
      <c r="X17" s="7"/>
      <c r="Y17" s="7"/>
      <c r="Z17" s="7"/>
      <c r="AA17" s="7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53</v>
      </c>
      <c r="D18" s="3" t="s">
        <v>54</v>
      </c>
      <c r="E18" s="3" t="s">
        <v>55</v>
      </c>
      <c r="F18" s="3" t="s">
        <v>56</v>
      </c>
      <c r="G18" s="3" t="s">
        <v>57</v>
      </c>
      <c r="H18" s="3" t="s">
        <v>310</v>
      </c>
      <c r="I18" s="3" t="s">
        <v>311</v>
      </c>
      <c r="J18" s="6"/>
      <c r="K18" s="6"/>
      <c r="L18" s="6"/>
      <c r="M18" s="6"/>
      <c r="N18" s="6"/>
      <c r="O18" s="6"/>
      <c r="P18" s="3" t="str">
        <f>'Model names'!C16</f>
        <v>NY</v>
      </c>
      <c r="Q18" s="8">
        <f>[43]Exec_Summary!D61</f>
        <v>231795</v>
      </c>
      <c r="R18" s="8">
        <f>[43]Exec_Summary!D62</f>
        <v>217128</v>
      </c>
      <c r="S18" s="8">
        <f>[43]Exec_Summary!E61</f>
        <v>253600</v>
      </c>
      <c r="T18" s="8">
        <f>[43]Exec_Summary!E62</f>
        <v>275463.19954444497</v>
      </c>
      <c r="U18" s="8">
        <f>[43]Exec_Summary!D63</f>
        <v>0</v>
      </c>
      <c r="V18" s="8">
        <f>[43]Exec_Summary!E63</f>
        <v>0</v>
      </c>
      <c r="W18" s="7"/>
      <c r="X18" s="7"/>
      <c r="Y18" s="7"/>
      <c r="Z18" s="7"/>
      <c r="AA18" s="7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53</v>
      </c>
      <c r="D19" s="3" t="s">
        <v>54</v>
      </c>
      <c r="E19" s="3" t="s">
        <v>55</v>
      </c>
      <c r="F19" s="3" t="s">
        <v>56</v>
      </c>
      <c r="G19" s="3" t="s">
        <v>57</v>
      </c>
      <c r="H19" s="3" t="s">
        <v>310</v>
      </c>
      <c r="I19" s="3" t="s">
        <v>311</v>
      </c>
      <c r="J19" s="6"/>
      <c r="K19" s="6"/>
      <c r="L19" s="6"/>
      <c r="M19" s="6"/>
      <c r="N19" s="6"/>
      <c r="O19" s="6"/>
      <c r="P19" s="3" t="str">
        <f>'Model names'!C17</f>
        <v>PA</v>
      </c>
      <c r="Q19" s="8">
        <f>[45]Exec_Summary!D61</f>
        <v>2793893</v>
      </c>
      <c r="R19" s="8">
        <f>[45]Exec_Summary!D62</f>
        <v>2425712</v>
      </c>
      <c r="S19" s="8">
        <f>[45]Exec_Summary!E61</f>
        <v>2863678</v>
      </c>
      <c r="T19" s="8">
        <f>[45]Exec_Summary!E62</f>
        <v>2425712</v>
      </c>
      <c r="U19" s="8">
        <f>[45]Exec_Summary!D63</f>
        <v>0</v>
      </c>
      <c r="V19" s="8">
        <f>[45]Exec_Summary!E63</f>
        <v>0</v>
      </c>
      <c r="W19" s="7"/>
      <c r="X19" s="7"/>
      <c r="Y19" s="7"/>
      <c r="Z19" s="7"/>
      <c r="AA19" s="7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53</v>
      </c>
      <c r="D20" s="3" t="s">
        <v>54</v>
      </c>
      <c r="E20" s="3" t="s">
        <v>55</v>
      </c>
      <c r="F20" s="3" t="s">
        <v>56</v>
      </c>
      <c r="G20" s="3" t="s">
        <v>57</v>
      </c>
      <c r="H20" s="3" t="s">
        <v>310</v>
      </c>
      <c r="I20" s="3" t="s">
        <v>311</v>
      </c>
      <c r="J20" s="6"/>
      <c r="K20" s="6"/>
      <c r="L20" s="6"/>
      <c r="M20" s="6"/>
      <c r="N20" s="6"/>
      <c r="O20" s="6"/>
      <c r="P20" s="3" t="str">
        <f>'Model names'!C18</f>
        <v>TN</v>
      </c>
      <c r="Q20" s="8">
        <f>[47]Exec_Summary!D61</f>
        <v>152305</v>
      </c>
      <c r="R20" s="8">
        <f>[47]Exec_Summary!D62</f>
        <v>132015</v>
      </c>
      <c r="S20" s="8">
        <f>[47]Exec_Summary!E61</f>
        <v>156155</v>
      </c>
      <c r="T20" s="8">
        <f>[47]Exec_Summary!E62</f>
        <v>132015</v>
      </c>
      <c r="U20" s="8">
        <f>[47]Exec_Summary!D63</f>
        <v>39582</v>
      </c>
      <c r="V20" s="8">
        <f>[47]Exec_Summary!E63</f>
        <v>47962</v>
      </c>
      <c r="W20" s="7"/>
      <c r="X20" s="7"/>
      <c r="Y20" s="7"/>
      <c r="Z20" s="7"/>
      <c r="AA20" s="7"/>
      <c r="AB20" s="7"/>
      <c r="AC20" s="8"/>
      <c r="AG20" s="5"/>
      <c r="AH20" s="5"/>
    </row>
    <row r="21" spans="1:34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53</v>
      </c>
      <c r="D21" s="3" t="s">
        <v>54</v>
      </c>
      <c r="E21" s="3" t="s">
        <v>55</v>
      </c>
      <c r="F21" s="3" t="s">
        <v>56</v>
      </c>
      <c r="G21" s="3" t="s">
        <v>57</v>
      </c>
      <c r="H21" s="3" t="s">
        <v>310</v>
      </c>
      <c r="I21" s="3" t="s">
        <v>311</v>
      </c>
      <c r="J21" s="6"/>
      <c r="K21" s="6"/>
      <c r="L21" s="6"/>
      <c r="M21" s="6"/>
      <c r="N21" s="6"/>
      <c r="O21" s="6"/>
      <c r="P21" s="3" t="str">
        <f>'Model names'!C19</f>
        <v>VA</v>
      </c>
      <c r="Q21" s="8">
        <f>[49]Exec_Summary!D61</f>
        <v>0</v>
      </c>
      <c r="R21" s="8">
        <f>[49]Exec_Summary!D62</f>
        <v>0</v>
      </c>
      <c r="S21" s="8">
        <f>[49]Exec_Summary!E61</f>
        <v>0</v>
      </c>
      <c r="T21" s="8">
        <f>[49]Exec_Summary!E62</f>
        <v>0</v>
      </c>
      <c r="U21" s="8">
        <f>[49]Exec_Summary!D63</f>
        <v>0</v>
      </c>
      <c r="V21" s="8">
        <f>[49]Exec_Summary!E63</f>
        <v>0</v>
      </c>
      <c r="W21" s="7"/>
      <c r="X21" s="7"/>
      <c r="Y21" s="7"/>
      <c r="Z21" s="7"/>
      <c r="AA21" s="7"/>
      <c r="AB21" s="7"/>
      <c r="AC21" s="8"/>
    </row>
    <row r="22" spans="1:34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53</v>
      </c>
      <c r="D22" s="3" t="s">
        <v>54</v>
      </c>
      <c r="E22" s="3" t="s">
        <v>55</v>
      </c>
      <c r="F22" s="3" t="s">
        <v>56</v>
      </c>
      <c r="G22" s="3" t="s">
        <v>57</v>
      </c>
      <c r="H22" s="3" t="s">
        <v>310</v>
      </c>
      <c r="I22" s="3" t="s">
        <v>311</v>
      </c>
      <c r="J22" s="6"/>
      <c r="K22" s="6"/>
      <c r="L22" s="6"/>
      <c r="M22" s="6"/>
      <c r="N22" s="6"/>
      <c r="O22" s="6"/>
      <c r="P22" s="3" t="str">
        <f>'Model names'!C20</f>
        <v>WV</v>
      </c>
      <c r="Q22" s="8">
        <f>[51]Exec_Summary!D61</f>
        <v>540000</v>
      </c>
      <c r="R22" s="8">
        <f>[51]Exec_Summary!D62</f>
        <v>529000</v>
      </c>
      <c r="S22" s="8">
        <f>[51]Exec_Summary!E61</f>
        <v>546000</v>
      </c>
      <c r="T22" s="8">
        <f>[51]Exec_Summary!E62</f>
        <v>546000</v>
      </c>
      <c r="U22" s="8">
        <f>[51]Exec_Summary!D63</f>
        <v>0</v>
      </c>
      <c r="V22" s="8">
        <f>[51]Exec_Summary!E63</f>
        <v>0</v>
      </c>
      <c r="W22" s="7"/>
      <c r="X22" s="7"/>
      <c r="Y22" s="7"/>
      <c r="Z22" s="7"/>
      <c r="AA22" s="7"/>
      <c r="AB22" s="7"/>
      <c r="AC22" s="8"/>
    </row>
    <row r="23" spans="1:34" x14ac:dyDescent="0.3">
      <c r="A23" s="3"/>
      <c r="B23" s="3"/>
      <c r="C23" s="3"/>
      <c r="D23" s="3"/>
      <c r="E23" s="3"/>
      <c r="F23" s="3"/>
      <c r="G23" s="3"/>
      <c r="H23" s="3"/>
      <c r="I23" s="3"/>
      <c r="J23" s="6"/>
      <c r="K23" s="6"/>
      <c r="L23" s="6"/>
      <c r="M23" s="6"/>
      <c r="N23" s="6"/>
      <c r="O23" s="6"/>
      <c r="P23" s="3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34" x14ac:dyDescent="0.3">
      <c r="A24" s="3"/>
      <c r="B24" s="3"/>
      <c r="C24" s="3"/>
      <c r="D24" s="3"/>
      <c r="E24" s="3"/>
      <c r="F24" s="3"/>
      <c r="G24" s="3"/>
      <c r="H24" s="3"/>
      <c r="I24" s="3"/>
      <c r="J24" s="6"/>
      <c r="K24" s="6"/>
      <c r="L24" s="6"/>
      <c r="M24" s="6"/>
      <c r="N24" s="6"/>
      <c r="O24" s="6"/>
      <c r="P24" s="3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34" x14ac:dyDescent="0.3">
      <c r="A25" s="3"/>
      <c r="B25" s="3"/>
      <c r="C25" s="3"/>
      <c r="D25" s="3"/>
      <c r="E25" s="3"/>
      <c r="F25" s="3"/>
      <c r="G25" s="3"/>
      <c r="H25" s="3"/>
      <c r="I25" s="3"/>
      <c r="J25" s="6"/>
      <c r="K25" s="6"/>
      <c r="L25" s="6"/>
      <c r="M25" s="6"/>
      <c r="N25" s="6"/>
      <c r="O25" s="6"/>
      <c r="P25" s="3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34" x14ac:dyDescent="0.3">
      <c r="A26" s="3"/>
      <c r="B26" s="3"/>
      <c r="C26" s="3"/>
      <c r="D26" s="3"/>
      <c r="E26" s="3"/>
      <c r="F26" s="3"/>
      <c r="G26" s="3"/>
      <c r="H26" s="3"/>
      <c r="I26" s="3"/>
      <c r="J26" s="6"/>
      <c r="K26" s="6"/>
      <c r="L26" s="6"/>
      <c r="M26" s="6"/>
      <c r="N26" s="6"/>
      <c r="O26" s="6"/>
      <c r="P26" s="3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x14ac:dyDescent="0.3">
      <c r="A27" s="3"/>
      <c r="B27" s="3"/>
      <c r="C27" s="3"/>
      <c r="D27" s="3"/>
      <c r="E27" s="3"/>
      <c r="F27" s="3"/>
      <c r="G27" s="3"/>
      <c r="H27" s="3"/>
      <c r="I27" s="3"/>
      <c r="J27" s="6"/>
      <c r="K27" s="6"/>
      <c r="L27" s="6"/>
      <c r="M27" s="6"/>
      <c r="N27" s="6"/>
      <c r="O27" s="6"/>
      <c r="P27" s="3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x14ac:dyDescent="0.3">
      <c r="A28" s="3"/>
      <c r="B28" s="3"/>
      <c r="C28" s="3"/>
      <c r="D28" s="3"/>
      <c r="E28" s="3"/>
      <c r="F28" s="3"/>
      <c r="G28" s="3"/>
      <c r="H28" s="3"/>
      <c r="I28" s="3"/>
      <c r="J28" s="6"/>
      <c r="K28" s="6"/>
      <c r="L28" s="6"/>
      <c r="M28" s="6"/>
      <c r="N28" s="6"/>
      <c r="O28" s="6"/>
      <c r="P28" s="3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x14ac:dyDescent="0.3">
      <c r="A29" s="3"/>
      <c r="B29" s="3"/>
      <c r="C29" s="3"/>
      <c r="D29" s="3"/>
      <c r="E29" s="3"/>
      <c r="F29" s="3"/>
      <c r="G29" s="3"/>
      <c r="H29" s="3"/>
      <c r="I29" s="3"/>
      <c r="J29" s="6"/>
      <c r="K29" s="6"/>
      <c r="L29" s="6"/>
      <c r="M29" s="6"/>
      <c r="N29" s="6"/>
      <c r="O29" s="6"/>
      <c r="P29" s="3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x14ac:dyDescent="0.3">
      <c r="A30" s="3"/>
      <c r="B30" s="3"/>
      <c r="C30" s="3"/>
      <c r="D30" s="3"/>
      <c r="E30" s="3"/>
      <c r="F30" s="3"/>
      <c r="G30" s="3"/>
      <c r="H30" s="3"/>
      <c r="I30" s="3"/>
      <c r="J30" s="6"/>
      <c r="K30" s="6"/>
      <c r="L30" s="6"/>
      <c r="M30" s="6"/>
      <c r="N30" s="6"/>
      <c r="O30" s="6"/>
      <c r="P30" s="3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x14ac:dyDescent="0.3">
      <c r="A31" s="3"/>
      <c r="B31" s="3"/>
      <c r="C31" s="3"/>
      <c r="D31" s="3"/>
      <c r="E31" s="3"/>
      <c r="F31" s="3"/>
      <c r="G31" s="3"/>
      <c r="H31" s="3"/>
      <c r="I31" s="3"/>
      <c r="J31" s="6"/>
      <c r="K31" s="6"/>
      <c r="L31" s="6"/>
      <c r="M31" s="6"/>
      <c r="N31" s="6"/>
      <c r="O31" s="6"/>
      <c r="P31" s="3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x14ac:dyDescent="0.3">
      <c r="A32" s="3"/>
      <c r="B32" s="3"/>
      <c r="C32" s="3"/>
      <c r="D32" s="3"/>
      <c r="E32" s="3"/>
      <c r="F32" s="3"/>
      <c r="G32" s="3"/>
      <c r="H32" s="3"/>
      <c r="I32" s="3"/>
      <c r="J32" s="6"/>
      <c r="K32" s="6"/>
      <c r="L32" s="6"/>
      <c r="M32" s="6"/>
      <c r="N32" s="6"/>
      <c r="O32" s="6"/>
      <c r="P32" s="3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x14ac:dyDescent="0.3">
      <c r="A33" s="3"/>
      <c r="B33" s="3"/>
      <c r="C33" s="3"/>
      <c r="D33" s="3"/>
      <c r="E33" s="3"/>
      <c r="F33" s="3"/>
      <c r="G33" s="3"/>
      <c r="H33" s="3"/>
      <c r="I33" s="3"/>
      <c r="J33" s="6"/>
      <c r="K33" s="6"/>
      <c r="L33" s="6"/>
      <c r="M33" s="6"/>
      <c r="N33" s="6"/>
      <c r="O33" s="6"/>
      <c r="P33" s="3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x14ac:dyDescent="0.3">
      <c r="Q34" s="10"/>
      <c r="R34" s="10"/>
      <c r="S34" s="10"/>
      <c r="T34" s="10"/>
      <c r="U34" s="10"/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58" priority="3" operator="equal">
      <formula>"On"</formula>
    </cfRule>
  </conditionalFormatting>
  <conditionalFormatting sqref="V21:AA23">
    <cfRule type="cellIs" dxfId="57" priority="2" operator="equal">
      <formula>"On"</formula>
    </cfRule>
  </conditionalFormatting>
  <conditionalFormatting sqref="R21:R23">
    <cfRule type="cellIs" dxfId="56" priority="1" operator="equal">
      <formula>"On"</formula>
    </cfRule>
  </conditionalFormatting>
  <dataValidations count="1">
    <dataValidation type="list" allowBlank="1" showInputMessage="1" showErrorMessage="1" sqref="P2">
      <formula1>"5, 6, 10, 12"</formula1>
    </dataValidation>
  </dataValidations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12289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198120</xdr:colOff>
                <xdr:row>0</xdr:row>
                <xdr:rowOff>403860</xdr:rowOff>
              </to>
            </anchor>
          </controlPr>
        </control>
      </mc:Choice>
      <mc:Fallback>
        <control shapeId="12289" r:id="rId4" name="CommandButton2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C00000"/>
  </sheetPr>
  <dimension ref="A1:AH40"/>
  <sheetViews>
    <sheetView zoomScale="110" zoomScaleNormal="110" workbookViewId="0">
      <selection activeCell="A8" sqref="A8"/>
    </sheetView>
  </sheetViews>
  <sheetFormatPr defaultRowHeight="14.4" outlineLevelRow="1" outlineLevelCol="1" x14ac:dyDescent="0.3"/>
  <cols>
    <col min="1" max="1" width="108" bestFit="1" customWidth="1" outlineLevel="1"/>
    <col min="2" max="2" width="49.109375" bestFit="1" customWidth="1" outlineLevel="1"/>
    <col min="3" max="3" width="14.44140625" bestFit="1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14.33203125" customWidth="1"/>
    <col min="18" max="21" width="10" customWidth="1"/>
    <col min="22" max="22" width="10" hidden="1" customWidth="1" outlineLevel="1"/>
    <col min="23" max="23" width="11" hidden="1" customWidth="1" outlineLevel="1"/>
    <col min="24" max="27" width="10" hidden="1" customWidth="1" outlineLevel="1"/>
    <col min="28" max="28" width="13.33203125" hidden="1" customWidth="1" outlineLevel="1"/>
    <col min="29" max="29" width="3.6640625" customWidth="1" collapsed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10</v>
      </c>
      <c r="P2" s="1">
        <v>10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names'!J1</f>
        <v>2018</v>
      </c>
      <c r="R3" s="2">
        <f>'Model names'!K1</f>
        <v>2019</v>
      </c>
      <c r="S3" s="2">
        <f>'Model names'!L1</f>
        <v>2020</v>
      </c>
      <c r="T3" s="2">
        <f>'Model names'!M1</f>
        <v>2021</v>
      </c>
      <c r="U3" s="2">
        <f>'Model names'!N1</f>
        <v>2022</v>
      </c>
      <c r="V3" s="2">
        <f>'Model names'!O1</f>
        <v>2023</v>
      </c>
      <c r="W3" s="2">
        <f>'Model names'!P1</f>
        <v>2024</v>
      </c>
      <c r="X3" s="2">
        <f>'Model names'!Q1</f>
        <v>2025</v>
      </c>
      <c r="Y3" s="2">
        <f>'Model names'!R1</f>
        <v>2026</v>
      </c>
      <c r="Z3" s="2">
        <f>'Model names'!S1</f>
        <v>2027</v>
      </c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61</v>
      </c>
      <c r="D4" s="3" t="s">
        <v>58</v>
      </c>
      <c r="E4" s="3" t="s">
        <v>97</v>
      </c>
      <c r="F4" s="3" t="s">
        <v>98</v>
      </c>
      <c r="G4" s="3" t="s">
        <v>99</v>
      </c>
      <c r="H4" s="3" t="s">
        <v>100</v>
      </c>
      <c r="I4" s="3" t="s">
        <v>101</v>
      </c>
      <c r="J4" s="3" t="s">
        <v>102</v>
      </c>
      <c r="K4" s="3" t="s">
        <v>103</v>
      </c>
      <c r="L4" s="3" t="s">
        <v>104</v>
      </c>
      <c r="M4" s="3" t="s">
        <v>105</v>
      </c>
      <c r="N4" s="6"/>
      <c r="O4" s="6"/>
      <c r="P4" s="3" t="str">
        <f>'Model names'!C2</f>
        <v>BFW</v>
      </c>
      <c r="Q4" s="8">
        <f>[15]Growth_Reports!C510</f>
        <v>0</v>
      </c>
      <c r="R4" s="8">
        <f>[15]Growth_Reports!D512</f>
        <v>0</v>
      </c>
      <c r="S4" s="8">
        <f>[15]Growth_Reports!E512</f>
        <v>0</v>
      </c>
      <c r="T4" s="8">
        <f>[15]Growth_Reports!F512</f>
        <v>0</v>
      </c>
      <c r="U4" s="8">
        <f>[15]Growth_Reports!G512</f>
        <v>0</v>
      </c>
      <c r="V4" s="8">
        <f>[15]Growth_Reports!H512</f>
        <v>0</v>
      </c>
      <c r="W4" s="8">
        <f>[15]Growth_Reports!I512</f>
        <v>0</v>
      </c>
      <c r="X4" s="8">
        <f>[15]Growth_Reports!J512</f>
        <v>0</v>
      </c>
      <c r="Y4" s="8">
        <f>[15]Growth_Reports!K512</f>
        <v>0</v>
      </c>
      <c r="Z4" s="8">
        <f>[15]Growth_Reports!L512</f>
        <v>0</v>
      </c>
      <c r="AA4" s="7"/>
      <c r="AB4" s="7"/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61</v>
      </c>
      <c r="D5" s="3" t="s">
        <v>58</v>
      </c>
      <c r="E5" s="3" t="s">
        <v>97</v>
      </c>
      <c r="F5" s="3" t="s">
        <v>98</v>
      </c>
      <c r="G5" s="3" t="s">
        <v>99</v>
      </c>
      <c r="H5" s="3" t="s">
        <v>100</v>
      </c>
      <c r="I5" s="3" t="s">
        <v>101</v>
      </c>
      <c r="J5" s="3" t="s">
        <v>102</v>
      </c>
      <c r="K5" s="3" t="s">
        <v>103</v>
      </c>
      <c r="L5" s="3" t="s">
        <v>104</v>
      </c>
      <c r="M5" s="3" t="s">
        <v>105</v>
      </c>
      <c r="N5" s="6"/>
      <c r="O5" s="6"/>
      <c r="P5" s="3" t="str">
        <f>'Model names'!C3</f>
        <v>CA</v>
      </c>
      <c r="Q5" s="8">
        <f>[17]Growth_Reports!C510</f>
        <v>-88.5</v>
      </c>
      <c r="R5" s="8">
        <f>[17]Growth_Reports!D512</f>
        <v>-21035.582228874642</v>
      </c>
      <c r="S5" s="8">
        <f>[17]Growth_Reports!E512</f>
        <v>-11564.503036579932</v>
      </c>
      <c r="T5" s="8">
        <f>[17]Growth_Reports!F512</f>
        <v>-40390.015160660827</v>
      </c>
      <c r="U5" s="8">
        <f>[17]Growth_Reports!G512</f>
        <v>-10802.143106114236</v>
      </c>
      <c r="V5" s="8">
        <f>[17]Growth_Reports!H512</f>
        <v>-11011.405826328975</v>
      </c>
      <c r="W5" s="8">
        <f>[17]Growth_Reports!I512</f>
        <v>-11251.109727320158</v>
      </c>
      <c r="X5" s="8">
        <f>[17]Growth_Reports!J512</f>
        <v>-11490.813628311327</v>
      </c>
      <c r="Y5" s="8">
        <f>[17]Growth_Reports!K512</f>
        <v>-11730.51752930251</v>
      </c>
      <c r="Z5" s="8">
        <f>[17]Growth_Reports!L512</f>
        <v>-27664.665536448112</v>
      </c>
      <c r="AA5" s="7"/>
      <c r="AB5" s="7"/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61</v>
      </c>
      <c r="D6" s="3" t="s">
        <v>58</v>
      </c>
      <c r="E6" s="3" t="s">
        <v>97</v>
      </c>
      <c r="F6" s="3" t="s">
        <v>98</v>
      </c>
      <c r="G6" s="3" t="s">
        <v>99</v>
      </c>
      <c r="H6" s="3" t="s">
        <v>100</v>
      </c>
      <c r="I6" s="3" t="s">
        <v>101</v>
      </c>
      <c r="J6" s="3" t="s">
        <v>102</v>
      </c>
      <c r="K6" s="3" t="s">
        <v>103</v>
      </c>
      <c r="L6" s="3" t="s">
        <v>104</v>
      </c>
      <c r="M6" s="3" t="s">
        <v>105</v>
      </c>
      <c r="N6" s="6"/>
      <c r="O6" s="6"/>
      <c r="P6" s="3" t="str">
        <f>'Model names'!C4</f>
        <v>ETS</v>
      </c>
      <c r="Q6" s="8">
        <f>[19]Growth_Reports!C510</f>
        <v>0</v>
      </c>
      <c r="R6" s="8">
        <f>[19]Growth_Reports!D512</f>
        <v>0</v>
      </c>
      <c r="S6" s="8">
        <f>[19]Growth_Reports!E512</f>
        <v>0</v>
      </c>
      <c r="T6" s="8">
        <f>[19]Growth_Reports!F512</f>
        <v>0</v>
      </c>
      <c r="U6" s="8">
        <f>[19]Growth_Reports!G512</f>
        <v>0</v>
      </c>
      <c r="V6" s="8">
        <f>[19]Growth_Reports!H512</f>
        <v>0</v>
      </c>
      <c r="W6" s="8">
        <f>[19]Growth_Reports!I512</f>
        <v>0</v>
      </c>
      <c r="X6" s="8">
        <f>[19]Growth_Reports!J512</f>
        <v>0</v>
      </c>
      <c r="Y6" s="8">
        <f>[19]Growth_Reports!K512</f>
        <v>0</v>
      </c>
      <c r="Z6" s="8">
        <f>[19]Growth_Reports!L512</f>
        <v>0</v>
      </c>
      <c r="AA6" s="7"/>
      <c r="AB6" s="7"/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61</v>
      </c>
      <c r="D7" s="3" t="s">
        <v>58</v>
      </c>
      <c r="E7" s="3" t="s">
        <v>97</v>
      </c>
      <c r="F7" s="3" t="s">
        <v>98</v>
      </c>
      <c r="G7" s="3" t="s">
        <v>99</v>
      </c>
      <c r="H7" s="3" t="s">
        <v>100</v>
      </c>
      <c r="I7" s="3" t="s">
        <v>101</v>
      </c>
      <c r="J7" s="3" t="s">
        <v>102</v>
      </c>
      <c r="K7" s="3" t="s">
        <v>103</v>
      </c>
      <c r="L7" s="3" t="s">
        <v>104</v>
      </c>
      <c r="M7" s="3" t="s">
        <v>105</v>
      </c>
      <c r="N7" s="6"/>
      <c r="O7" s="6"/>
      <c r="P7" s="3" t="str">
        <f>'Model names'!C5</f>
        <v>HI</v>
      </c>
      <c r="Q7" s="8">
        <f>[21]Growth_Reports!C510</f>
        <v>0</v>
      </c>
      <c r="R7" s="8">
        <f>[21]Growth_Reports!D512</f>
        <v>0</v>
      </c>
      <c r="S7" s="8">
        <f>[21]Growth_Reports!E512</f>
        <v>0</v>
      </c>
      <c r="T7" s="8">
        <f>[21]Growth_Reports!F512</f>
        <v>0</v>
      </c>
      <c r="U7" s="8">
        <f>[21]Growth_Reports!G512</f>
        <v>-539.49270132052345</v>
      </c>
      <c r="V7" s="8">
        <f>[21]Growth_Reports!H512</f>
        <v>-12.985402641047015</v>
      </c>
      <c r="W7" s="8">
        <f>[21]Growth_Reports!I512</f>
        <v>-12.985402641047015</v>
      </c>
      <c r="X7" s="8">
        <f>[21]Growth_Reports!J512</f>
        <v>-12.985402641047015</v>
      </c>
      <c r="Y7" s="8">
        <f>[21]Growth_Reports!K512</f>
        <v>-12.985402641047015</v>
      </c>
      <c r="Z7" s="8">
        <f>[21]Growth_Reports!L512</f>
        <v>-573.73391395731335</v>
      </c>
      <c r="AA7" s="7"/>
      <c r="AB7" s="7"/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61</v>
      </c>
      <c r="D8" s="3" t="s">
        <v>58</v>
      </c>
      <c r="E8" s="3" t="s">
        <v>97</v>
      </c>
      <c r="F8" s="3" t="s">
        <v>98</v>
      </c>
      <c r="G8" s="3" t="s">
        <v>99</v>
      </c>
      <c r="H8" s="3" t="s">
        <v>100</v>
      </c>
      <c r="I8" s="3" t="s">
        <v>101</v>
      </c>
      <c r="J8" s="3" t="s">
        <v>102</v>
      </c>
      <c r="K8" s="3" t="s">
        <v>103</v>
      </c>
      <c r="L8" s="3" t="s">
        <v>104</v>
      </c>
      <c r="M8" s="3" t="s">
        <v>105</v>
      </c>
      <c r="N8" s="6"/>
      <c r="O8" s="6"/>
      <c r="P8" s="3" t="str">
        <f>'Model names'!C6</f>
        <v>IA</v>
      </c>
      <c r="Q8" s="8">
        <f>[23]Growth_Reports!C510</f>
        <v>-365</v>
      </c>
      <c r="R8" s="8">
        <f>[23]Growth_Reports!D512</f>
        <v>-4041.9382351127174</v>
      </c>
      <c r="S8" s="8">
        <f>[23]Growth_Reports!E512</f>
        <v>-4125.8147053381572</v>
      </c>
      <c r="T8" s="8">
        <f>[23]Growth_Reports!F512</f>
        <v>-4209.6911755635938</v>
      </c>
      <c r="U8" s="8">
        <f>[23]Growth_Reports!G512</f>
        <v>-4293.5676457890304</v>
      </c>
      <c r="V8" s="8">
        <f>[23]Growth_Reports!H512</f>
        <v>-4377.4441160144697</v>
      </c>
      <c r="W8" s="8">
        <f>[23]Growth_Reports!I512</f>
        <v>-4461.3205862399063</v>
      </c>
      <c r="X8" s="8">
        <f>[23]Growth_Reports!J512</f>
        <v>-4545.1970564653429</v>
      </c>
      <c r="Y8" s="8">
        <f>[23]Growth_Reports!K512</f>
        <v>-4629.0735266907823</v>
      </c>
      <c r="Z8" s="8">
        <f>[23]Growth_Reports!L512</f>
        <v>-4712.9499969162189</v>
      </c>
      <c r="AA8" s="7"/>
      <c r="AB8" s="7"/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61</v>
      </c>
      <c r="D9" s="3" t="s">
        <v>58</v>
      </c>
      <c r="E9" s="3" t="s">
        <v>97</v>
      </c>
      <c r="F9" s="3" t="s">
        <v>98</v>
      </c>
      <c r="G9" s="3" t="s">
        <v>99</v>
      </c>
      <c r="H9" s="3" t="s">
        <v>100</v>
      </c>
      <c r="I9" s="3" t="s">
        <v>101</v>
      </c>
      <c r="J9" s="3" t="s">
        <v>102</v>
      </c>
      <c r="K9" s="3" t="s">
        <v>103</v>
      </c>
      <c r="L9" s="3" t="s">
        <v>104</v>
      </c>
      <c r="M9" s="3" t="s">
        <v>105</v>
      </c>
      <c r="N9" s="6"/>
      <c r="O9" s="6"/>
      <c r="P9" s="3" t="str">
        <f>'Model names'!C7</f>
        <v>IL</v>
      </c>
      <c r="Q9" s="8">
        <f>[25]Growth_Reports!C510</f>
        <v>-5534.663096774193</v>
      </c>
      <c r="R9" s="8">
        <f>[25]Growth_Reports!D512</f>
        <v>-13294.503904645093</v>
      </c>
      <c r="S9" s="8">
        <f>[25]Growth_Reports!E512</f>
        <v>-14659.67678251317</v>
      </c>
      <c r="T9" s="8">
        <f>[25]Growth_Reports!F512</f>
        <v>-16098.48876388707</v>
      </c>
      <c r="U9" s="8">
        <f>[25]Growth_Reports!G512</f>
        <v>-18471.974473439957</v>
      </c>
      <c r="V9" s="8">
        <f>[25]Growth_Reports!H512</f>
        <v>-21205.063001390969</v>
      </c>
      <c r="W9" s="8">
        <f>[25]Growth_Reports!I512</f>
        <v>-24576.091812259619</v>
      </c>
      <c r="X9" s="8">
        <f>[25]Growth_Reports!J512</f>
        <v>-37569.414036705428</v>
      </c>
      <c r="Y9" s="8">
        <f>[25]Growth_Reports!K512</f>
        <v>-32015.586499660523</v>
      </c>
      <c r="Z9" s="8">
        <f>[25]Growth_Reports!L512</f>
        <v>-35477.887553354718</v>
      </c>
      <c r="AA9" s="7"/>
      <c r="AB9" s="7"/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61</v>
      </c>
      <c r="D10" s="3" t="s">
        <v>58</v>
      </c>
      <c r="E10" s="3" t="s">
        <v>97</v>
      </c>
      <c r="F10" s="3" t="s">
        <v>98</v>
      </c>
      <c r="G10" s="3" t="s">
        <v>99</v>
      </c>
      <c r="H10" s="3" t="s">
        <v>100</v>
      </c>
      <c r="I10" s="3" t="s">
        <v>101</v>
      </c>
      <c r="J10" s="3" t="s">
        <v>102</v>
      </c>
      <c r="K10" s="3" t="s">
        <v>103</v>
      </c>
      <c r="L10" s="3" t="s">
        <v>104</v>
      </c>
      <c r="M10" s="3" t="s">
        <v>105</v>
      </c>
      <c r="N10" s="6"/>
      <c r="O10" s="6"/>
      <c r="P10" s="3" t="str">
        <f>'Model names'!C8</f>
        <v>IN</v>
      </c>
      <c r="Q10" s="8">
        <f>[27]Growth_Reports!C510</f>
        <v>0</v>
      </c>
      <c r="R10" s="8">
        <f>[27]Growth_Reports!D512</f>
        <v>-15181.931723015101</v>
      </c>
      <c r="S10" s="8">
        <f>[27]Growth_Reports!E512</f>
        <v>-61091.590338090631</v>
      </c>
      <c r="T10" s="8">
        <f>[27]Growth_Reports!F512</f>
        <v>-17001.24895316613</v>
      </c>
      <c r="U10" s="8">
        <f>[27]Growth_Reports!G512</f>
        <v>-17365.112399196329</v>
      </c>
      <c r="V10" s="8">
        <f>[27]Growth_Reports!H512</f>
        <v>-17728.975845226534</v>
      </c>
      <c r="W10" s="8">
        <f>[27]Growth_Reports!I512</f>
        <v>-94002.497906332253</v>
      </c>
      <c r="X10" s="8">
        <f>[27]Growth_Reports!J512</f>
        <v>-26348.792656644011</v>
      </c>
      <c r="Y10" s="8">
        <f>[27]Growth_Reports!K512</f>
        <v>-26858.201481086304</v>
      </c>
      <c r="Z10" s="8">
        <f>[27]Growth_Reports!L512</f>
        <v>-27367.610305528578</v>
      </c>
      <c r="AA10" s="7"/>
      <c r="AB10" s="7"/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61</v>
      </c>
      <c r="D11" s="3" t="s">
        <v>58</v>
      </c>
      <c r="E11" s="3" t="s">
        <v>97</v>
      </c>
      <c r="F11" s="3" t="s">
        <v>98</v>
      </c>
      <c r="G11" s="3" t="s">
        <v>99</v>
      </c>
      <c r="H11" s="3" t="s">
        <v>100</v>
      </c>
      <c r="I11" s="3" t="s">
        <v>101</v>
      </c>
      <c r="J11" s="3" t="s">
        <v>102</v>
      </c>
      <c r="K11" s="3" t="s">
        <v>103</v>
      </c>
      <c r="L11" s="3" t="s">
        <v>104</v>
      </c>
      <c r="M11" s="3" t="s">
        <v>105</v>
      </c>
      <c r="N11" s="6"/>
      <c r="O11" s="6"/>
      <c r="P11" s="3" t="str">
        <f>'Model names'!C9</f>
        <v>KY</v>
      </c>
      <c r="Q11" s="8">
        <f>[29]Growth_Reports!C510</f>
        <v>0</v>
      </c>
      <c r="R11" s="8">
        <f>[29]Growth_Reports!D512</f>
        <v>-2025.833685214503</v>
      </c>
      <c r="S11" s="8">
        <f>[29]Growth_Reports!E512</f>
        <v>-9167.9189538942683</v>
      </c>
      <c r="T11" s="8">
        <f>[29]Growth_Reports!F512</f>
        <v>-2310.0042225740367</v>
      </c>
      <c r="U11" s="8">
        <f>[29]Growth_Reports!G512</f>
        <v>-3881.0468569139198</v>
      </c>
      <c r="V11" s="8">
        <f>[29]Growth_Reports!H512</f>
        <v>-4477.9231764683054</v>
      </c>
      <c r="W11" s="8">
        <f>[29]Growth_Reports!I512</f>
        <v>-4581.2579173263184</v>
      </c>
      <c r="X11" s="8">
        <f>[29]Growth_Reports!J512</f>
        <v>-41149.598992045387</v>
      </c>
      <c r="Y11" s="8">
        <f>[29]Growth_Reports!K512</f>
        <v>-6730.8569093717051</v>
      </c>
      <c r="Z11" s="8">
        <f>[29]Growth_Reports!L512</f>
        <v>-6860.0253354442202</v>
      </c>
      <c r="AA11" s="7"/>
      <c r="AB11" s="7"/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61</v>
      </c>
      <c r="D12" s="3" t="s">
        <v>58</v>
      </c>
      <c r="E12" s="3" t="s">
        <v>97</v>
      </c>
      <c r="F12" s="3" t="s">
        <v>98</v>
      </c>
      <c r="G12" s="3" t="s">
        <v>99</v>
      </c>
      <c r="H12" s="3" t="s">
        <v>100</v>
      </c>
      <c r="I12" s="3" t="s">
        <v>101</v>
      </c>
      <c r="J12" s="3" t="s">
        <v>102</v>
      </c>
      <c r="K12" s="3" t="s">
        <v>103</v>
      </c>
      <c r="L12" s="3" t="s">
        <v>104</v>
      </c>
      <c r="M12" s="3" t="s">
        <v>105</v>
      </c>
      <c r="N12" s="6"/>
      <c r="O12" s="6"/>
      <c r="P12" s="3" t="str">
        <f>'Model names'!C10</f>
        <v>Liberty</v>
      </c>
      <c r="Q12" s="8">
        <f>[31]Growth_Reports!C510</f>
        <v>0</v>
      </c>
      <c r="R12" s="8">
        <f>[31]Growth_Reports!D512</f>
        <v>0</v>
      </c>
      <c r="S12" s="8">
        <f>[31]Growth_Reports!E512</f>
        <v>0</v>
      </c>
      <c r="T12" s="8">
        <f>[31]Growth_Reports!F512</f>
        <v>0</v>
      </c>
      <c r="U12" s="8">
        <f>[31]Growth_Reports!G512</f>
        <v>0</v>
      </c>
      <c r="V12" s="8">
        <f>[31]Growth_Reports!H512</f>
        <v>0</v>
      </c>
      <c r="W12" s="8">
        <f>[31]Growth_Reports!I512</f>
        <v>0</v>
      </c>
      <c r="X12" s="8">
        <f>[31]Growth_Reports!J512</f>
        <v>0</v>
      </c>
      <c r="Y12" s="8">
        <f>[31]Growth_Reports!K512</f>
        <v>0</v>
      </c>
      <c r="Z12" s="8">
        <f>[31]Growth_Reports!L512</f>
        <v>0</v>
      </c>
      <c r="AA12" s="7"/>
      <c r="AB12" s="7"/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61</v>
      </c>
      <c r="D13" s="3" t="s">
        <v>58</v>
      </c>
      <c r="E13" s="3" t="s">
        <v>97</v>
      </c>
      <c r="F13" s="3" t="s">
        <v>98</v>
      </c>
      <c r="G13" s="3" t="s">
        <v>99</v>
      </c>
      <c r="H13" s="3" t="s">
        <v>100</v>
      </c>
      <c r="I13" s="3" t="s">
        <v>101</v>
      </c>
      <c r="J13" s="3" t="s">
        <v>102</v>
      </c>
      <c r="K13" s="3" t="s">
        <v>103</v>
      </c>
      <c r="L13" s="3" t="s">
        <v>104</v>
      </c>
      <c r="M13" s="3" t="s">
        <v>105</v>
      </c>
      <c r="N13" s="6"/>
      <c r="O13" s="6"/>
      <c r="P13" s="3" t="str">
        <f>'Model names'!C11</f>
        <v>LW</v>
      </c>
      <c r="Q13" s="8">
        <f>[33]Growth_Reports!C510</f>
        <v>0</v>
      </c>
      <c r="R13" s="8">
        <f>[33]Growth_Reports!D512</f>
        <v>0</v>
      </c>
      <c r="S13" s="8">
        <f>[33]Growth_Reports!E512</f>
        <v>0</v>
      </c>
      <c r="T13" s="8">
        <f>[33]Growth_Reports!F512</f>
        <v>0</v>
      </c>
      <c r="U13" s="8">
        <f>[33]Growth_Reports!G512</f>
        <v>0</v>
      </c>
      <c r="V13" s="8">
        <f>[33]Growth_Reports!H512</f>
        <v>-6177.3694079110574</v>
      </c>
      <c r="W13" s="8">
        <f>[33]Growth_Reports!I512</f>
        <v>-6298.7021563826966</v>
      </c>
      <c r="X13" s="8">
        <f>[33]Growth_Reports!J512</f>
        <v>-6420.054574434751</v>
      </c>
      <c r="Y13" s="8">
        <f>[33]Growth_Reports!K512</f>
        <v>-6541.4266620672124</v>
      </c>
      <c r="Z13" s="8">
        <f>[33]Growth_Reports!L512</f>
        <v>-6662.8184192800873</v>
      </c>
      <c r="AA13" s="7"/>
      <c r="AB13" s="7"/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61</v>
      </c>
      <c r="D14" s="3" t="s">
        <v>58</v>
      </c>
      <c r="E14" s="3" t="s">
        <v>97</v>
      </c>
      <c r="F14" s="3" t="s">
        <v>98</v>
      </c>
      <c r="G14" s="3" t="s">
        <v>99</v>
      </c>
      <c r="H14" s="3" t="s">
        <v>100</v>
      </c>
      <c r="I14" s="3" t="s">
        <v>101</v>
      </c>
      <c r="J14" s="3" t="s">
        <v>102</v>
      </c>
      <c r="K14" s="3" t="s">
        <v>103</v>
      </c>
      <c r="L14" s="3" t="s">
        <v>104</v>
      </c>
      <c r="M14" s="3" t="s">
        <v>105</v>
      </c>
      <c r="N14" s="6"/>
      <c r="O14" s="6"/>
      <c r="P14" s="3" t="str">
        <f>'Model names'!C12</f>
        <v>MD</v>
      </c>
      <c r="Q14" s="8">
        <f>[35]Growth_Reports!C510</f>
        <v>0</v>
      </c>
      <c r="R14" s="8">
        <f>[35]Growth_Reports!D512</f>
        <v>-224.53102716753335</v>
      </c>
      <c r="S14" s="8">
        <f>[35]Growth_Reports!E512</f>
        <v>-587.04409808918967</v>
      </c>
      <c r="T14" s="8">
        <f>[35]Growth_Reports!F512</f>
        <v>-172.12463667203613</v>
      </c>
      <c r="U14" s="8">
        <f>[35]Growth_Reports!G512</f>
        <v>-53.497755207940564</v>
      </c>
      <c r="V14" s="8">
        <f>[35]Growth_Reports!H512</f>
        <v>-235.28280930461634</v>
      </c>
      <c r="W14" s="8">
        <f>[35]Growth_Reports!I512</f>
        <v>-238.30367008360602</v>
      </c>
      <c r="X14" s="8">
        <f>[35]Growth_Reports!J512</f>
        <v>-241.32453086259588</v>
      </c>
      <c r="Y14" s="8">
        <f>[35]Growth_Reports!K512</f>
        <v>-244.34539164158551</v>
      </c>
      <c r="Z14" s="8">
        <f>[35]Growth_Reports!L512</f>
        <v>-247.36625242057536</v>
      </c>
      <c r="AA14" s="7"/>
      <c r="AB14" s="7"/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61</v>
      </c>
      <c r="D15" s="3" t="s">
        <v>58</v>
      </c>
      <c r="E15" s="3" t="s">
        <v>97</v>
      </c>
      <c r="F15" s="3" t="s">
        <v>98</v>
      </c>
      <c r="G15" s="3" t="s">
        <v>99</v>
      </c>
      <c r="H15" s="3" t="s">
        <v>100</v>
      </c>
      <c r="I15" s="3" t="s">
        <v>101</v>
      </c>
      <c r="J15" s="3" t="s">
        <v>102</v>
      </c>
      <c r="K15" s="3" t="s">
        <v>103</v>
      </c>
      <c r="L15" s="3" t="s">
        <v>104</v>
      </c>
      <c r="M15" s="3" t="s">
        <v>105</v>
      </c>
      <c r="N15" s="6"/>
      <c r="O15" s="6"/>
      <c r="P15" s="3" t="str">
        <f>'Model names'!C13</f>
        <v>MI</v>
      </c>
      <c r="Q15" s="8">
        <f>[37]Growth_Reports!C510</f>
        <v>0</v>
      </c>
      <c r="R15" s="8">
        <f>[37]Growth_Reports!D512</f>
        <v>0</v>
      </c>
      <c r="S15" s="8">
        <f>[37]Growth_Reports!E512</f>
        <v>0</v>
      </c>
      <c r="T15" s="8">
        <f>[37]Growth_Reports!F512</f>
        <v>0</v>
      </c>
      <c r="U15" s="8">
        <f>[37]Growth_Reports!G512</f>
        <v>0</v>
      </c>
      <c r="V15" s="8">
        <f>[37]Growth_Reports!H512</f>
        <v>0</v>
      </c>
      <c r="W15" s="8">
        <f>[37]Growth_Reports!I512</f>
        <v>0</v>
      </c>
      <c r="X15" s="8">
        <f>[37]Growth_Reports!J512</f>
        <v>0</v>
      </c>
      <c r="Y15" s="8">
        <f>[37]Growth_Reports!K512</f>
        <v>0</v>
      </c>
      <c r="Z15" s="8">
        <f>[37]Growth_Reports!L512</f>
        <v>0</v>
      </c>
      <c r="AA15" s="7"/>
      <c r="AB15" s="7"/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61</v>
      </c>
      <c r="D16" s="3" t="s">
        <v>58</v>
      </c>
      <c r="E16" s="3" t="s">
        <v>97</v>
      </c>
      <c r="F16" s="3" t="s">
        <v>98</v>
      </c>
      <c r="G16" s="3" t="s">
        <v>99</v>
      </c>
      <c r="H16" s="3" t="s">
        <v>100</v>
      </c>
      <c r="I16" s="3" t="s">
        <v>101</v>
      </c>
      <c r="J16" s="3" t="s">
        <v>102</v>
      </c>
      <c r="K16" s="3" t="s">
        <v>103</v>
      </c>
      <c r="L16" s="3" t="s">
        <v>104</v>
      </c>
      <c r="M16" s="3" t="s">
        <v>105</v>
      </c>
      <c r="N16" s="6"/>
      <c r="O16" s="6"/>
      <c r="P16" s="3" t="str">
        <f>'Model names'!C14</f>
        <v>MO</v>
      </c>
      <c r="Q16" s="8">
        <f>[39]Growth_Reports!C510</f>
        <v>-1038.7096774193549</v>
      </c>
      <c r="R16" s="8">
        <f>[39]Growth_Reports!D512</f>
        <v>-43598.018196112534</v>
      </c>
      <c r="S16" s="8">
        <f>[39]Growth_Reports!E512</f>
        <v>-85338.725813796817</v>
      </c>
      <c r="T16" s="8">
        <f>[39]Growth_Reports!F512</f>
        <v>-99360.20049085404</v>
      </c>
      <c r="U16" s="8">
        <f>[39]Growth_Reports!G512</f>
        <v>-110991.54131092732</v>
      </c>
      <c r="V16" s="8">
        <f>[39]Growth_Reports!H512</f>
        <v>-125244.77408671404</v>
      </c>
      <c r="W16" s="8">
        <f>[39]Growth_Reports!I512</f>
        <v>-34471.211753869538</v>
      </c>
      <c r="X16" s="8">
        <f>[39]Growth_Reports!J512</f>
        <v>-37039.105873571905</v>
      </c>
      <c r="Y16" s="8">
        <f>[39]Growth_Reports!K512</f>
        <v>-39634.279043809394</v>
      </c>
      <c r="Z16" s="8">
        <f>[39]Growth_Reports!L512</f>
        <v>-43259.357692613943</v>
      </c>
      <c r="AA16" s="7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61</v>
      </c>
      <c r="D17" s="3" t="s">
        <v>58</v>
      </c>
      <c r="E17" s="3" t="s">
        <v>97</v>
      </c>
      <c r="F17" s="3" t="s">
        <v>98</v>
      </c>
      <c r="G17" s="3" t="s">
        <v>99</v>
      </c>
      <c r="H17" s="3" t="s">
        <v>100</v>
      </c>
      <c r="I17" s="3" t="s">
        <v>101</v>
      </c>
      <c r="J17" s="3" t="s">
        <v>102</v>
      </c>
      <c r="K17" s="3" t="s">
        <v>103</v>
      </c>
      <c r="L17" s="3" t="s">
        <v>104</v>
      </c>
      <c r="M17" s="3" t="s">
        <v>105</v>
      </c>
      <c r="N17" s="6"/>
      <c r="O17" s="6"/>
      <c r="P17" s="3" t="str">
        <f>'Model names'!C15</f>
        <v>NJ</v>
      </c>
      <c r="Q17" s="8">
        <f>[41]Growth_Reports!C510</f>
        <v>-2100</v>
      </c>
      <c r="R17" s="8">
        <f>[41]Growth_Reports!D512</f>
        <v>-21547.914469913761</v>
      </c>
      <c r="S17" s="8">
        <f>[41]Growth_Reports!E512</f>
        <v>-17028.099636833136</v>
      </c>
      <c r="T17" s="8">
        <f>[41]Growth_Reports!F512</f>
        <v>-40976.957759057637</v>
      </c>
      <c r="U17" s="8">
        <f>[41]Growth_Reports!G512</f>
        <v>-118982.4343841669</v>
      </c>
      <c r="V17" s="8">
        <f>[41]Growth_Reports!H512</f>
        <v>-5139.3819328153049</v>
      </c>
      <c r="W17" s="8">
        <f>[41]Growth_Reports!I512</f>
        <v>-5139.3819328153049</v>
      </c>
      <c r="X17" s="8">
        <f>[41]Growth_Reports!J512</f>
        <v>-44708.308605532453</v>
      </c>
      <c r="Y17" s="8">
        <f>[41]Growth_Reports!K512</f>
        <v>-6182.7409401004015</v>
      </c>
      <c r="Z17" s="8">
        <f>[41]Growth_Reports!L512</f>
        <v>-6182.7409401004015</v>
      </c>
      <c r="AA17" s="7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61</v>
      </c>
      <c r="D18" s="3" t="s">
        <v>58</v>
      </c>
      <c r="E18" s="3" t="s">
        <v>97</v>
      </c>
      <c r="F18" s="3" t="s">
        <v>98</v>
      </c>
      <c r="G18" s="3" t="s">
        <v>99</v>
      </c>
      <c r="H18" s="3" t="s">
        <v>100</v>
      </c>
      <c r="I18" s="3" t="s">
        <v>101</v>
      </c>
      <c r="J18" s="3" t="s">
        <v>102</v>
      </c>
      <c r="K18" s="3" t="s">
        <v>103</v>
      </c>
      <c r="L18" s="3" t="s">
        <v>104</v>
      </c>
      <c r="M18" s="3" t="s">
        <v>105</v>
      </c>
      <c r="N18" s="6"/>
      <c r="O18" s="6"/>
      <c r="P18" s="3" t="str">
        <f>'Model names'!C16</f>
        <v>NY</v>
      </c>
      <c r="Q18" s="8">
        <f>[43]Growth_Reports!C510</f>
        <v>-600</v>
      </c>
      <c r="R18" s="8">
        <f>[43]Growth_Reports!D512</f>
        <v>-253.00383865253369</v>
      </c>
      <c r="S18" s="8">
        <f>[43]Growth_Reports!E512</f>
        <v>-259.01151595760109</v>
      </c>
      <c r="T18" s="8">
        <f>[43]Growth_Reports!F512</f>
        <v>-518.02303191520218</v>
      </c>
      <c r="U18" s="8">
        <f>[43]Growth_Reports!G512</f>
        <v>-530.03838652533693</v>
      </c>
      <c r="V18" s="8">
        <f>[43]Growth_Reports!H512</f>
        <v>-542.0537411354718</v>
      </c>
      <c r="W18" s="8">
        <f>[43]Growth_Reports!I512</f>
        <v>-554.06909574560666</v>
      </c>
      <c r="X18" s="8">
        <f>[43]Growth_Reports!J512</f>
        <v>-566.08445035574118</v>
      </c>
      <c r="Y18" s="8">
        <f>[43]Growth_Reports!K512</f>
        <v>-578.09980496587605</v>
      </c>
      <c r="Z18" s="8">
        <f>[43]Growth_Reports!L512</f>
        <v>-590.1151595760108</v>
      </c>
      <c r="AA18" s="7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61</v>
      </c>
      <c r="D19" s="3" t="s">
        <v>58</v>
      </c>
      <c r="E19" s="3" t="s">
        <v>97</v>
      </c>
      <c r="F19" s="3" t="s">
        <v>98</v>
      </c>
      <c r="G19" s="3" t="s">
        <v>99</v>
      </c>
      <c r="H19" s="3" t="s">
        <v>100</v>
      </c>
      <c r="I19" s="3" t="s">
        <v>101</v>
      </c>
      <c r="J19" s="3" t="s">
        <v>102</v>
      </c>
      <c r="K19" s="3" t="s">
        <v>103</v>
      </c>
      <c r="L19" s="3" t="s">
        <v>104</v>
      </c>
      <c r="M19" s="3" t="s">
        <v>105</v>
      </c>
      <c r="N19" s="6"/>
      <c r="O19" s="6"/>
      <c r="P19" s="3" t="str">
        <f>'Model names'!C17</f>
        <v>PA</v>
      </c>
      <c r="Q19" s="8">
        <f>[45]Growth_Reports!C510</f>
        <v>-1018.2870022580646</v>
      </c>
      <c r="R19" s="8">
        <f>[45]Growth_Reports!D512</f>
        <v>-75975.048653360631</v>
      </c>
      <c r="S19" s="8">
        <f>[45]Growth_Reports!E512</f>
        <v>-56508.081779935928</v>
      </c>
      <c r="T19" s="8">
        <f>[45]Growth_Reports!F512</f>
        <v>-173187.15757368435</v>
      </c>
      <c r="U19" s="8">
        <f>[45]Growth_Reports!G512</f>
        <v>-71470.066959762509</v>
      </c>
      <c r="V19" s="8">
        <f>[45]Growth_Reports!H512</f>
        <v>-73008.203290456411</v>
      </c>
      <c r="W19" s="8">
        <f>[45]Growth_Reports!I512</f>
        <v>-205687.77648810597</v>
      </c>
      <c r="X19" s="8">
        <f>[45]Growth_Reports!J512</f>
        <v>-89403.024789444738</v>
      </c>
      <c r="Y19" s="8">
        <f>[45]Growth_Reports!K512</f>
        <v>-91429.692827297666</v>
      </c>
      <c r="Z19" s="8">
        <f>[45]Growth_Reports!L512</f>
        <v>-260796.77877105735</v>
      </c>
      <c r="AA19" s="7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61</v>
      </c>
      <c r="D20" s="3" t="s">
        <v>58</v>
      </c>
      <c r="E20" s="3" t="s">
        <v>97</v>
      </c>
      <c r="F20" s="3" t="s">
        <v>98</v>
      </c>
      <c r="G20" s="3" t="s">
        <v>99</v>
      </c>
      <c r="H20" s="3" t="s">
        <v>100</v>
      </c>
      <c r="I20" s="3" t="s">
        <v>101</v>
      </c>
      <c r="J20" s="3" t="s">
        <v>102</v>
      </c>
      <c r="K20" s="3" t="s">
        <v>103</v>
      </c>
      <c r="L20" s="3" t="s">
        <v>104</v>
      </c>
      <c r="M20" s="3" t="s">
        <v>105</v>
      </c>
      <c r="N20" s="6"/>
      <c r="O20" s="6"/>
      <c r="P20" s="3" t="str">
        <f>'Model names'!C18</f>
        <v>TN</v>
      </c>
      <c r="Q20" s="8">
        <f>[47]Growth_Reports!C510</f>
        <v>-673</v>
      </c>
      <c r="R20" s="8">
        <f>[47]Growth_Reports!D512</f>
        <v>-2876.4939005159467</v>
      </c>
      <c r="S20" s="8">
        <f>[47]Growth_Reports!E512</f>
        <v>-9376.416582991933</v>
      </c>
      <c r="T20" s="8">
        <f>[47]Growth_Reports!F512</f>
        <v>-12864.762810378335</v>
      </c>
      <c r="U20" s="8">
        <f>[47]Growth_Reports!G512</f>
        <v>-8745.074481846239</v>
      </c>
      <c r="V20" s="8">
        <f>[47]Growth_Reports!H512</f>
        <v>-36607.338927414341</v>
      </c>
      <c r="W20" s="8">
        <f>[47]Growth_Reports!I512</f>
        <v>-16166.188199922739</v>
      </c>
      <c r="X20" s="8">
        <f>[47]Growth_Reports!J512</f>
        <v>-48751.465949003999</v>
      </c>
      <c r="Y20" s="8">
        <f>[47]Growth_Reports!K512</f>
        <v>-21590.754646225283</v>
      </c>
      <c r="Z20" s="8">
        <f>[47]Growth_Reports!L512</f>
        <v>-30325.592166841539</v>
      </c>
      <c r="AA20" s="7"/>
      <c r="AB20" s="7"/>
      <c r="AC20" s="8"/>
      <c r="AG20" s="5"/>
      <c r="AH20" s="5"/>
    </row>
    <row r="21" spans="1:34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61</v>
      </c>
      <c r="D21" s="3" t="s">
        <v>58</v>
      </c>
      <c r="E21" s="3" t="s">
        <v>97</v>
      </c>
      <c r="F21" s="3" t="s">
        <v>98</v>
      </c>
      <c r="G21" s="3" t="s">
        <v>99</v>
      </c>
      <c r="H21" s="3" t="s">
        <v>100</v>
      </c>
      <c r="I21" s="3" t="s">
        <v>101</v>
      </c>
      <c r="J21" s="3" t="s">
        <v>102</v>
      </c>
      <c r="K21" s="3" t="s">
        <v>103</v>
      </c>
      <c r="L21" s="3" t="s">
        <v>104</v>
      </c>
      <c r="M21" s="3" t="s">
        <v>105</v>
      </c>
      <c r="N21" s="6"/>
      <c r="O21" s="6"/>
      <c r="P21" s="3" t="str">
        <f>'Model names'!C19</f>
        <v>VA</v>
      </c>
      <c r="Q21" s="8">
        <f>[49]Growth_Reports!C510</f>
        <v>0</v>
      </c>
      <c r="R21" s="8">
        <f>[49]Growth_Reports!D512</f>
        <v>-5233.9720791297268</v>
      </c>
      <c r="S21" s="8">
        <f>[49]Growth_Reports!E512</f>
        <v>-171.9441582594566</v>
      </c>
      <c r="T21" s="8">
        <f>[49]Growth_Reports!F512</f>
        <v>-171.9441582594566</v>
      </c>
      <c r="U21" s="8">
        <f>[49]Growth_Reports!G512</f>
        <v>-171.9441582594566</v>
      </c>
      <c r="V21" s="8">
        <f>[49]Growth_Reports!H512</f>
        <v>-2719.7945914954903</v>
      </c>
      <c r="W21" s="8">
        <f>[49]Growth_Reports!I512</f>
        <v>-255.64502473152302</v>
      </c>
      <c r="X21" s="8">
        <f>[49]Growth_Reports!J512</f>
        <v>-255.64502473152302</v>
      </c>
      <c r="Y21" s="8">
        <f>[49]Growth_Reports!K512</f>
        <v>-2633.7065424246921</v>
      </c>
      <c r="Z21" s="8">
        <f>[49]Growth_Reports!L512</f>
        <v>-333.76806011786113</v>
      </c>
      <c r="AA21" s="7"/>
      <c r="AB21" s="7"/>
      <c r="AC21" s="8"/>
    </row>
    <row r="22" spans="1:34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61</v>
      </c>
      <c r="D22" s="3" t="s">
        <v>58</v>
      </c>
      <c r="E22" s="3" t="s">
        <v>97</v>
      </c>
      <c r="F22" s="3" t="s">
        <v>98</v>
      </c>
      <c r="G22" s="3" t="s">
        <v>99</v>
      </c>
      <c r="H22" s="3" t="s">
        <v>100</v>
      </c>
      <c r="I22" s="3" t="s">
        <v>101</v>
      </c>
      <c r="J22" s="3" t="s">
        <v>102</v>
      </c>
      <c r="K22" s="3" t="s">
        <v>103</v>
      </c>
      <c r="L22" s="3" t="s">
        <v>104</v>
      </c>
      <c r="M22" s="3" t="s">
        <v>105</v>
      </c>
      <c r="N22" s="6"/>
      <c r="O22" s="6"/>
      <c r="P22" s="3" t="str">
        <f>'Model names'!C20</f>
        <v>WV</v>
      </c>
      <c r="Q22" s="8">
        <f>[51]Growth_Reports!C510</f>
        <v>-2506.4169999999999</v>
      </c>
      <c r="R22" s="8">
        <f>[51]Growth_Reports!D512</f>
        <v>-3318.9444779172104</v>
      </c>
      <c r="S22" s="8">
        <f>[51]Growth_Reports!E512</f>
        <v>-10369.716718483358</v>
      </c>
      <c r="T22" s="8">
        <f>[51]Growth_Reports!F512</f>
        <v>-33651.860557158579</v>
      </c>
      <c r="U22" s="8">
        <f>[51]Growth_Reports!G512</f>
        <v>-9979.1404800824566</v>
      </c>
      <c r="V22" s="8">
        <f>[51]Growth_Reports!H512</f>
        <v>-9897.2530975843729</v>
      </c>
      <c r="W22" s="8">
        <f>[51]Growth_Reports!I512</f>
        <v>-10148.302648587189</v>
      </c>
      <c r="X22" s="8">
        <f>[51]Growth_Reports!J512</f>
        <v>-9530.5967950452377</v>
      </c>
      <c r="Y22" s="8">
        <f>[51]Growth_Reports!K512</f>
        <v>-10616.196377400725</v>
      </c>
      <c r="Z22" s="8">
        <f>[51]Growth_Reports!L512</f>
        <v>-10867.416955269508</v>
      </c>
      <c r="AA22" s="7"/>
      <c r="AB22" s="7"/>
      <c r="AC22" s="8"/>
    </row>
    <row r="23" spans="1:34" hidden="1" outlineLevel="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34" hidden="1" outlineLevel="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34" hidden="1" outlineLevel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34" hidden="1" outlineLevel="1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55" priority="4" operator="equal">
      <formula>"On"</formula>
    </cfRule>
  </conditionalFormatting>
  <conditionalFormatting sqref="V21:AA23">
    <cfRule type="cellIs" dxfId="54" priority="3" operator="equal">
      <formula>"On"</formula>
    </cfRule>
  </conditionalFormatting>
  <conditionalFormatting sqref="R21:R23">
    <cfRule type="cellIs" dxfId="53" priority="2" operator="equal">
      <formula>"On"</formula>
    </cfRule>
  </conditionalFormatting>
  <conditionalFormatting sqref="Q4:Z20">
    <cfRule type="cellIs" dxfId="52" priority="1" operator="greaterThan">
      <formula>0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13313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3313" r:id="rId4" name="CommandButton2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C00000"/>
  </sheetPr>
  <dimension ref="A1:AH40"/>
  <sheetViews>
    <sheetView topLeftCell="E1" zoomScaleNormal="100" workbookViewId="0">
      <selection activeCell="Q4" sqref="Q4"/>
    </sheetView>
  </sheetViews>
  <sheetFormatPr defaultRowHeight="14.4" outlineLevelRow="1" outlineLevelCol="1" x14ac:dyDescent="0.3"/>
  <cols>
    <col min="1" max="1" width="108" bestFit="1" customWidth="1" outlineLevel="1"/>
    <col min="2" max="2" width="49.109375" bestFit="1" customWidth="1" outlineLevel="1"/>
    <col min="3" max="3" width="14.44140625" bestFit="1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10</v>
      </c>
      <c r="D2" s="14" t="s">
        <v>192</v>
      </c>
      <c r="P2" s="1">
        <v>10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names'!J1</f>
        <v>2018</v>
      </c>
      <c r="R3" s="2">
        <f>'Model names'!K1</f>
        <v>2019</v>
      </c>
      <c r="S3" s="2">
        <f>'Model names'!L1</f>
        <v>2020</v>
      </c>
      <c r="T3" s="2">
        <f>'Model names'!M1</f>
        <v>2021</v>
      </c>
      <c r="U3" s="2">
        <f>'Model names'!N1</f>
        <v>2022</v>
      </c>
      <c r="V3" s="2">
        <f>'Model names'!O1</f>
        <v>2023</v>
      </c>
      <c r="W3" s="2">
        <f>'Model names'!P1</f>
        <v>2024</v>
      </c>
      <c r="X3" s="2">
        <f>'Model names'!Q1</f>
        <v>2025</v>
      </c>
      <c r="Y3" s="2">
        <f>'Model names'!R1</f>
        <v>2026</v>
      </c>
      <c r="Z3" s="2">
        <f>'Model names'!S1</f>
        <v>2027</v>
      </c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16</v>
      </c>
      <c r="D4" s="3" t="s">
        <v>216</v>
      </c>
      <c r="E4" s="3" t="s">
        <v>217</v>
      </c>
      <c r="F4" s="3" t="s">
        <v>218</v>
      </c>
      <c r="G4" s="3" t="s">
        <v>219</v>
      </c>
      <c r="H4" s="3" t="s">
        <v>220</v>
      </c>
      <c r="I4" s="3" t="s">
        <v>221</v>
      </c>
      <c r="J4" s="3" t="s">
        <v>222</v>
      </c>
      <c r="K4" s="3" t="s">
        <v>223</v>
      </c>
      <c r="L4" s="3" t="s">
        <v>224</v>
      </c>
      <c r="M4" s="3" t="s">
        <v>225</v>
      </c>
      <c r="N4" s="6"/>
      <c r="O4" s="6"/>
      <c r="P4" s="3" t="str">
        <f>'Model names'!C2</f>
        <v>BFW</v>
      </c>
      <c r="Q4" s="8">
        <f>[15]Total_Reports!C335</f>
        <v>-4.7403335088347376E-6</v>
      </c>
      <c r="R4" s="8">
        <f ca="1">[15]Total_Reports!D335</f>
        <v>-4.7403336793649942E-6</v>
      </c>
      <c r="S4" s="8">
        <f ca="1">[15]Total_Reports!E335</f>
        <v>-4.7403341341123451E-6</v>
      </c>
      <c r="T4" s="8">
        <f ca="1">[15]Total_Reports!F335</f>
        <v>-4.7403342477991828E-6</v>
      </c>
      <c r="U4" s="8">
        <f ca="1">[15]Total_Reports!G335</f>
        <v>-4.7403343614860205E-6</v>
      </c>
      <c r="V4" s="8">
        <f ca="1">[15]Total_Reports!H335</f>
        <v>-4.7403345888596959E-6</v>
      </c>
      <c r="W4" s="8">
        <f ca="1">[15]Total_Reports!I335</f>
        <v>-4.740334986763628E-6</v>
      </c>
      <c r="X4" s="8">
        <f ca="1">[15]Total_Reports!J335</f>
        <v>-4.7403352709807223E-6</v>
      </c>
      <c r="Y4" s="8">
        <f ca="1">[15]Total_Reports!K335</f>
        <v>-4.74033538466756E-6</v>
      </c>
      <c r="Z4" s="8">
        <f ca="1">[15]Total_Reports!L335</f>
        <v>-4.7403357257280732E-6</v>
      </c>
      <c r="AA4" s="7"/>
      <c r="AB4" s="7"/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16</v>
      </c>
      <c r="D5" s="3" t="s">
        <v>216</v>
      </c>
      <c r="E5" s="3" t="s">
        <v>217</v>
      </c>
      <c r="F5" s="3" t="s">
        <v>218</v>
      </c>
      <c r="G5" s="3" t="s">
        <v>219</v>
      </c>
      <c r="H5" s="3" t="s">
        <v>220</v>
      </c>
      <c r="I5" s="3" t="s">
        <v>221</v>
      </c>
      <c r="J5" s="3" t="s">
        <v>222</v>
      </c>
      <c r="K5" s="3" t="s">
        <v>223</v>
      </c>
      <c r="L5" s="3" t="s">
        <v>224</v>
      </c>
      <c r="M5" s="3" t="s">
        <v>225</v>
      </c>
      <c r="N5" s="6"/>
      <c r="O5" s="6"/>
      <c r="P5" s="3" t="str">
        <f>'Model names'!C3</f>
        <v>CA</v>
      </c>
      <c r="Q5" s="8">
        <f>[17]Total_Reports!C335</f>
        <v>0</v>
      </c>
      <c r="R5" s="8">
        <f>[17]Total_Reports!D335</f>
        <v>0</v>
      </c>
      <c r="S5" s="8">
        <f>[17]Total_Reports!E335</f>
        <v>-2.0954757928848267E-9</v>
      </c>
      <c r="T5" s="8">
        <f>[17]Total_Reports!F335</f>
        <v>-2.5611370801925659E-9</v>
      </c>
      <c r="U5" s="8">
        <f>[17]Total_Reports!G335</f>
        <v>0</v>
      </c>
      <c r="V5" s="8">
        <f>[17]Total_Reports!H335</f>
        <v>-2.7939677238464355E-9</v>
      </c>
      <c r="W5" s="8">
        <f>[17]Total_Reports!I335</f>
        <v>-3.2596290111541748E-9</v>
      </c>
      <c r="X5" s="8">
        <f>[17]Total_Reports!J335</f>
        <v>-3.7252902984619141E-9</v>
      </c>
      <c r="Y5" s="8">
        <f>[17]Total_Reports!K335</f>
        <v>-3.2596290111541748E-9</v>
      </c>
      <c r="Z5" s="8">
        <f>[17]Total_Reports!L335</f>
        <v>-2.0954757928848267E-9</v>
      </c>
      <c r="AA5" s="7"/>
      <c r="AB5" s="7"/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16</v>
      </c>
      <c r="D6" s="3" t="s">
        <v>216</v>
      </c>
      <c r="E6" s="3" t="s">
        <v>217</v>
      </c>
      <c r="F6" s="3" t="s">
        <v>218</v>
      </c>
      <c r="G6" s="3" t="s">
        <v>219</v>
      </c>
      <c r="H6" s="3" t="s">
        <v>220</v>
      </c>
      <c r="I6" s="3" t="s">
        <v>221</v>
      </c>
      <c r="J6" s="3" t="s">
        <v>222</v>
      </c>
      <c r="K6" s="3" t="s">
        <v>223</v>
      </c>
      <c r="L6" s="3" t="s">
        <v>224</v>
      </c>
      <c r="M6" s="3" t="s">
        <v>225</v>
      </c>
      <c r="N6" s="6"/>
      <c r="O6" s="6"/>
      <c r="P6" s="3" t="str">
        <f>'Model names'!C4</f>
        <v>ETS</v>
      </c>
      <c r="Q6" s="8">
        <f>[19]Total_Reports!C335</f>
        <v>9.354796338811866E-5</v>
      </c>
      <c r="R6" s="8">
        <f>[19]Total_Reports!D335</f>
        <v>9.3547963842866011E-5</v>
      </c>
      <c r="S6" s="8">
        <f>[19]Total_Reports!E335</f>
        <v>9.3547963842866011E-5</v>
      </c>
      <c r="T6" s="8">
        <f>[19]Total_Reports!F335</f>
        <v>9.3547963842866011E-5</v>
      </c>
      <c r="U6" s="8">
        <f>[19]Total_Reports!G335</f>
        <v>9.354796338811866E-5</v>
      </c>
      <c r="V6" s="8">
        <f>[19]Total_Reports!H335</f>
        <v>9.354796338811866E-5</v>
      </c>
      <c r="W6" s="8">
        <f>[19]Total_Reports!I335</f>
        <v>9.354796338811866E-5</v>
      </c>
      <c r="X6" s="8">
        <f>[19]Total_Reports!J335</f>
        <v>9.354796338811866E-5</v>
      </c>
      <c r="Y6" s="8">
        <f>[19]Total_Reports!K335</f>
        <v>9.354796338811866E-5</v>
      </c>
      <c r="Z6" s="8">
        <f>[19]Total_Reports!L335</f>
        <v>9.354796338811866E-5</v>
      </c>
      <c r="AA6" s="7"/>
      <c r="AB6" s="7"/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16</v>
      </c>
      <c r="D7" s="3" t="s">
        <v>216</v>
      </c>
      <c r="E7" s="3" t="s">
        <v>217</v>
      </c>
      <c r="F7" s="3" t="s">
        <v>218</v>
      </c>
      <c r="G7" s="3" t="s">
        <v>219</v>
      </c>
      <c r="H7" s="3" t="s">
        <v>220</v>
      </c>
      <c r="I7" s="3" t="s">
        <v>221</v>
      </c>
      <c r="J7" s="3" t="s">
        <v>222</v>
      </c>
      <c r="K7" s="3" t="s">
        <v>223</v>
      </c>
      <c r="L7" s="3" t="s">
        <v>224</v>
      </c>
      <c r="M7" s="3" t="s">
        <v>225</v>
      </c>
      <c r="N7" s="6"/>
      <c r="O7" s="6"/>
      <c r="P7" s="3" t="str">
        <f>'Model names'!C5</f>
        <v>HI</v>
      </c>
      <c r="Q7" s="8">
        <f>[21]Total_Reports!C335</f>
        <v>0</v>
      </c>
      <c r="R7" s="8">
        <f>[21]Total_Reports!D335</f>
        <v>0</v>
      </c>
      <c r="S7" s="8">
        <f>[21]Total_Reports!E335</f>
        <v>0</v>
      </c>
      <c r="T7" s="8">
        <f>[21]Total_Reports!F335</f>
        <v>0</v>
      </c>
      <c r="U7" s="8">
        <f>[21]Total_Reports!G335</f>
        <v>0</v>
      </c>
      <c r="V7" s="8">
        <f>[21]Total_Reports!H335</f>
        <v>0</v>
      </c>
      <c r="W7" s="8">
        <f>[21]Total_Reports!I335</f>
        <v>0</v>
      </c>
      <c r="X7" s="8">
        <f>[21]Total_Reports!J335</f>
        <v>0</v>
      </c>
      <c r="Y7" s="8">
        <f>[21]Total_Reports!K335</f>
        <v>0</v>
      </c>
      <c r="Z7" s="8">
        <f>[21]Total_Reports!L335</f>
        <v>-5.8207660913467407E-11</v>
      </c>
      <c r="AA7" s="7"/>
      <c r="AB7" s="7"/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16</v>
      </c>
      <c r="D8" s="3" t="s">
        <v>216</v>
      </c>
      <c r="E8" s="3" t="s">
        <v>217</v>
      </c>
      <c r="F8" s="3" t="s">
        <v>218</v>
      </c>
      <c r="G8" s="3" t="s">
        <v>219</v>
      </c>
      <c r="H8" s="3" t="s">
        <v>220</v>
      </c>
      <c r="I8" s="3" t="s">
        <v>221</v>
      </c>
      <c r="J8" s="3" t="s">
        <v>222</v>
      </c>
      <c r="K8" s="3" t="s">
        <v>223</v>
      </c>
      <c r="L8" s="3" t="s">
        <v>224</v>
      </c>
      <c r="M8" s="3" t="s">
        <v>225</v>
      </c>
      <c r="N8" s="6"/>
      <c r="O8" s="6"/>
      <c r="P8" s="3" t="str">
        <f>'Model names'!C6</f>
        <v>IA</v>
      </c>
      <c r="Q8" s="8">
        <f>[23]Total_Reports!C335</f>
        <v>-2.3992612259462476E-2</v>
      </c>
      <c r="R8" s="8">
        <f>[23]Total_Reports!D335</f>
        <v>-2.3992612201254815E-2</v>
      </c>
      <c r="S8" s="8">
        <f>[23]Total_Reports!E335</f>
        <v>-2.3992612143047154E-2</v>
      </c>
      <c r="T8" s="8">
        <f>[23]Total_Reports!F335</f>
        <v>-2.3992612288566306E-2</v>
      </c>
      <c r="U8" s="8">
        <f>[23]Total_Reports!G335</f>
        <v>-2.3992612084839493E-2</v>
      </c>
      <c r="V8" s="8">
        <f>[23]Total_Reports!H335</f>
        <v>-2.3992612026631832E-2</v>
      </c>
      <c r="W8" s="8">
        <f>[23]Total_Reports!I335</f>
        <v>-2.3992611968424171E-2</v>
      </c>
      <c r="X8" s="8">
        <f>[23]Total_Reports!J335</f>
        <v>-2.3992611968424171E-2</v>
      </c>
      <c r="Y8" s="8">
        <f>[23]Total_Reports!K335</f>
        <v>-2.3992612026631832E-2</v>
      </c>
      <c r="Z8" s="8">
        <f>[23]Total_Reports!L335</f>
        <v>-2.399261191021651E-2</v>
      </c>
      <c r="AA8" s="7"/>
      <c r="AB8" s="7"/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16</v>
      </c>
      <c r="D9" s="3" t="s">
        <v>216</v>
      </c>
      <c r="E9" s="3" t="s">
        <v>217</v>
      </c>
      <c r="F9" s="3" t="s">
        <v>218</v>
      </c>
      <c r="G9" s="3" t="s">
        <v>219</v>
      </c>
      <c r="H9" s="3" t="s">
        <v>220</v>
      </c>
      <c r="I9" s="3" t="s">
        <v>221</v>
      </c>
      <c r="J9" s="3" t="s">
        <v>222</v>
      </c>
      <c r="K9" s="3" t="s">
        <v>223</v>
      </c>
      <c r="L9" s="3" t="s">
        <v>224</v>
      </c>
      <c r="M9" s="3" t="s">
        <v>225</v>
      </c>
      <c r="N9" s="6"/>
      <c r="O9" s="6"/>
      <c r="P9" s="3" t="str">
        <f>'Model names'!C7</f>
        <v>IL</v>
      </c>
      <c r="Q9" s="8">
        <f>[25]Total_Reports!C335</f>
        <v>1.2856714893132448E-3</v>
      </c>
      <c r="R9" s="8">
        <f>[25]Total_Reports!D335</f>
        <v>1.2856712564826012E-3</v>
      </c>
      <c r="S9" s="8">
        <f>[25]Total_Reports!E335</f>
        <v>1.2856731191277504E-3</v>
      </c>
      <c r="T9" s="8">
        <f>[25]Total_Reports!F335</f>
        <v>1.2856738176196814E-3</v>
      </c>
      <c r="U9" s="8">
        <f>[25]Total_Reports!G335</f>
        <v>1.2856724206358194E-3</v>
      </c>
      <c r="V9" s="8">
        <f>[25]Total_Reports!H335</f>
        <v>1.2856703251600266E-3</v>
      </c>
      <c r="W9" s="8">
        <f>[25]Total_Reports!I335</f>
        <v>1.2856707908213139E-3</v>
      </c>
      <c r="X9" s="8">
        <f>[25]Total_Reports!J335</f>
        <v>1.2856703251600266E-3</v>
      </c>
      <c r="Y9" s="8">
        <f>[25]Total_Reports!K335</f>
        <v>1.2856707908213139E-3</v>
      </c>
      <c r="Z9" s="8">
        <f>[25]Total_Reports!L335</f>
        <v>1.2856707908213139E-3</v>
      </c>
      <c r="AA9" s="7"/>
      <c r="AB9" s="7"/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16</v>
      </c>
      <c r="D10" s="3" t="s">
        <v>216</v>
      </c>
      <c r="E10" s="3" t="s">
        <v>217</v>
      </c>
      <c r="F10" s="3" t="s">
        <v>218</v>
      </c>
      <c r="G10" s="3" t="s">
        <v>219</v>
      </c>
      <c r="H10" s="3" t="s">
        <v>220</v>
      </c>
      <c r="I10" s="3" t="s">
        <v>221</v>
      </c>
      <c r="J10" s="3" t="s">
        <v>222</v>
      </c>
      <c r="K10" s="3" t="s">
        <v>223</v>
      </c>
      <c r="L10" s="3" t="s">
        <v>224</v>
      </c>
      <c r="M10" s="3" t="s">
        <v>225</v>
      </c>
      <c r="N10" s="6"/>
      <c r="O10" s="6"/>
      <c r="P10" s="3" t="str">
        <f>'Model names'!C8</f>
        <v>IN</v>
      </c>
      <c r="Q10" s="8">
        <f>[27]Total_Reports!C335</f>
        <v>1.6721896827220917E-6</v>
      </c>
      <c r="R10" s="8">
        <f>[27]Total_Reports!D335</f>
        <v>1.6724225133657455E-6</v>
      </c>
      <c r="S10" s="8">
        <f>[27]Total_Reports!E335</f>
        <v>1.6726553440093994E-6</v>
      </c>
      <c r="T10" s="8">
        <f>[27]Total_Reports!F335</f>
        <v>1.6724225133657455E-6</v>
      </c>
      <c r="U10" s="8">
        <f>[27]Total_Reports!G335</f>
        <v>1.6724225133657455E-6</v>
      </c>
      <c r="V10" s="8">
        <f>[27]Total_Reports!H335</f>
        <v>1.6728881746530533E-6</v>
      </c>
      <c r="W10" s="8">
        <f>[27]Total_Reports!I335</f>
        <v>1.6717240214347839E-6</v>
      </c>
      <c r="X10" s="8">
        <f>[27]Total_Reports!J335</f>
        <v>1.6717240214347839E-6</v>
      </c>
      <c r="Y10" s="8">
        <f>[27]Total_Reports!K335</f>
        <v>1.6759149730205536E-6</v>
      </c>
      <c r="Z10" s="8">
        <f>[27]Total_Reports!L335</f>
        <v>1.6759149730205536E-6</v>
      </c>
      <c r="AA10" s="7"/>
      <c r="AB10" s="7"/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16</v>
      </c>
      <c r="D11" s="3" t="s">
        <v>216</v>
      </c>
      <c r="E11" s="3" t="s">
        <v>217</v>
      </c>
      <c r="F11" s="3" t="s">
        <v>218</v>
      </c>
      <c r="G11" s="3" t="s">
        <v>219</v>
      </c>
      <c r="H11" s="3" t="s">
        <v>220</v>
      </c>
      <c r="I11" s="3" t="s">
        <v>221</v>
      </c>
      <c r="J11" s="3" t="s">
        <v>222</v>
      </c>
      <c r="K11" s="3" t="s">
        <v>223</v>
      </c>
      <c r="L11" s="3" t="s">
        <v>224</v>
      </c>
      <c r="M11" s="3" t="s">
        <v>225</v>
      </c>
      <c r="N11" s="6"/>
      <c r="O11" s="6"/>
      <c r="P11" s="3" t="str">
        <f>'Model names'!C9</f>
        <v>KY</v>
      </c>
      <c r="Q11" s="8">
        <f>[29]Total_Reports!C335</f>
        <v>0</v>
      </c>
      <c r="R11" s="8">
        <f>[29]Total_Reports!D335</f>
        <v>0</v>
      </c>
      <c r="S11" s="8">
        <f>[29]Total_Reports!E335</f>
        <v>0</v>
      </c>
      <c r="T11" s="8">
        <f>[29]Total_Reports!F335</f>
        <v>0</v>
      </c>
      <c r="U11" s="8">
        <f>[29]Total_Reports!G335</f>
        <v>0</v>
      </c>
      <c r="V11" s="8">
        <f>[29]Total_Reports!H335</f>
        <v>0</v>
      </c>
      <c r="W11" s="8">
        <f>[29]Total_Reports!I335</f>
        <v>0</v>
      </c>
      <c r="X11" s="8">
        <f>[29]Total_Reports!J335</f>
        <v>0</v>
      </c>
      <c r="Y11" s="8">
        <f>[29]Total_Reports!K335</f>
        <v>1.280568540096283E-9</v>
      </c>
      <c r="Z11" s="8">
        <f>[29]Total_Reports!L335</f>
        <v>1.0477378964424133E-9</v>
      </c>
      <c r="AA11" s="7"/>
      <c r="AB11" s="7"/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16</v>
      </c>
      <c r="D12" s="3" t="s">
        <v>216</v>
      </c>
      <c r="E12" s="3" t="s">
        <v>217</v>
      </c>
      <c r="F12" s="3" t="s">
        <v>218</v>
      </c>
      <c r="G12" s="3" t="s">
        <v>219</v>
      </c>
      <c r="H12" s="3" t="s">
        <v>220</v>
      </c>
      <c r="I12" s="3" t="s">
        <v>221</v>
      </c>
      <c r="J12" s="3" t="s">
        <v>222</v>
      </c>
      <c r="K12" s="3" t="s">
        <v>223</v>
      </c>
      <c r="L12" s="3" t="s">
        <v>224</v>
      </c>
      <c r="M12" s="3" t="s">
        <v>225</v>
      </c>
      <c r="N12" s="6"/>
      <c r="O12" s="6"/>
      <c r="P12" s="3" t="str">
        <f>'Model names'!C10</f>
        <v>Liberty</v>
      </c>
      <c r="Q12" s="8">
        <f>[31]Total_Reports!C335</f>
        <v>-4.2519856651779264E-4</v>
      </c>
      <c r="R12" s="8">
        <f>[31]Total_Reports!D335</f>
        <v>-4.251985446899198E-4</v>
      </c>
      <c r="S12" s="8">
        <f>[31]Total_Reports!E335</f>
        <v>-4.2519853741396219E-4</v>
      </c>
      <c r="T12" s="8">
        <f>[31]Total_Reports!F335</f>
        <v>-4.251985446899198E-4</v>
      </c>
      <c r="U12" s="8">
        <f>[31]Total_Reports!G335</f>
        <v>-4.2519852286204696E-4</v>
      </c>
      <c r="V12" s="8">
        <f>[31]Total_Reports!H335</f>
        <v>-4.251984937582165E-4</v>
      </c>
      <c r="W12" s="8">
        <f>[31]Total_Reports!I335</f>
        <v>-4.2519846465438604E-4</v>
      </c>
      <c r="X12" s="8">
        <f>[31]Total_Reports!J335</f>
        <v>-4.2519847920630127E-4</v>
      </c>
      <c r="Y12" s="8">
        <f>[31]Total_Reports!K335</f>
        <v>-4.2519847920630127E-4</v>
      </c>
      <c r="Z12" s="8">
        <f>[31]Total_Reports!L335</f>
        <v>-4.2519847920630127E-4</v>
      </c>
      <c r="AA12" s="7"/>
      <c r="AB12" s="7"/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16</v>
      </c>
      <c r="D13" s="3" t="s">
        <v>216</v>
      </c>
      <c r="E13" s="3" t="s">
        <v>217</v>
      </c>
      <c r="F13" s="3" t="s">
        <v>218</v>
      </c>
      <c r="G13" s="3" t="s">
        <v>219</v>
      </c>
      <c r="H13" s="3" t="s">
        <v>220</v>
      </c>
      <c r="I13" s="3" t="s">
        <v>221</v>
      </c>
      <c r="J13" s="3" t="s">
        <v>222</v>
      </c>
      <c r="K13" s="3" t="s">
        <v>223</v>
      </c>
      <c r="L13" s="3" t="s">
        <v>224</v>
      </c>
      <c r="M13" s="3" t="s">
        <v>225</v>
      </c>
      <c r="N13" s="6"/>
      <c r="O13" s="6"/>
      <c r="P13" s="3" t="str">
        <f>'Model names'!C11</f>
        <v>LW</v>
      </c>
      <c r="Q13" s="8">
        <f>[33]Total_Reports!C335</f>
        <v>-1.2856722241849639E-3</v>
      </c>
      <c r="R13" s="8">
        <f>[33]Total_Reports!D335</f>
        <v>-1.2856722096330486E-3</v>
      </c>
      <c r="S13" s="8">
        <f>[33]Total_Reports!E335</f>
        <v>-1.2856722096330486E-3</v>
      </c>
      <c r="T13" s="8">
        <f>[33]Total_Reports!F335</f>
        <v>-1.2856721878051758E-3</v>
      </c>
      <c r="U13" s="8">
        <f>[33]Total_Reports!G335</f>
        <v>-1.2856721587013453E-3</v>
      </c>
      <c r="V13" s="8">
        <f>[33]Total_Reports!H335</f>
        <v>-1.2856721295975149E-3</v>
      </c>
      <c r="W13" s="8">
        <f>[33]Total_Reports!I335</f>
        <v>-1.2856721295975149E-3</v>
      </c>
      <c r="X13" s="8">
        <f>[33]Total_Reports!J335</f>
        <v>-1.2856721295975149E-3</v>
      </c>
      <c r="Y13" s="8">
        <f>[33]Total_Reports!K335</f>
        <v>-1.2856721295975149E-3</v>
      </c>
      <c r="Z13" s="8">
        <f>[33]Total_Reports!L335</f>
        <v>-1.2856720859417692E-3</v>
      </c>
      <c r="AA13" s="7"/>
      <c r="AB13" s="7"/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16</v>
      </c>
      <c r="D14" s="3" t="s">
        <v>216</v>
      </c>
      <c r="E14" s="3" t="s">
        <v>217</v>
      </c>
      <c r="F14" s="3" t="s">
        <v>218</v>
      </c>
      <c r="G14" s="3" t="s">
        <v>219</v>
      </c>
      <c r="H14" s="3" t="s">
        <v>220</v>
      </c>
      <c r="I14" s="3" t="s">
        <v>221</v>
      </c>
      <c r="J14" s="3" t="s">
        <v>222</v>
      </c>
      <c r="K14" s="3" t="s">
        <v>223</v>
      </c>
      <c r="L14" s="3" t="s">
        <v>224</v>
      </c>
      <c r="M14" s="3" t="s">
        <v>225</v>
      </c>
      <c r="N14" s="6"/>
      <c r="O14" s="6"/>
      <c r="P14" s="3" t="str">
        <f>'Model names'!C12</f>
        <v>MD</v>
      </c>
      <c r="Q14" s="8">
        <f>[35]Total_Reports!C335</f>
        <v>-2.164510078728199E-6</v>
      </c>
      <c r="R14" s="8">
        <f>[35]Total_Reports!D335</f>
        <v>-2.1644882508553565E-6</v>
      </c>
      <c r="S14" s="8">
        <f>[35]Total_Reports!E335</f>
        <v>-2.1645028027705848E-6</v>
      </c>
      <c r="T14" s="8">
        <f>[35]Total_Reports!F335</f>
        <v>-2.1645246306434274E-6</v>
      </c>
      <c r="U14" s="8">
        <f>[35]Total_Reports!G335</f>
        <v>-2.164510078728199E-6</v>
      </c>
      <c r="V14" s="8">
        <f>[35]Total_Reports!H335</f>
        <v>-2.1644955268129706E-6</v>
      </c>
      <c r="W14" s="8">
        <f>[35]Total_Reports!I335</f>
        <v>-2.1645028027705848E-6</v>
      </c>
      <c r="X14" s="8">
        <f>[35]Total_Reports!J335</f>
        <v>-2.1644736989401281E-6</v>
      </c>
      <c r="Y14" s="8">
        <f>[35]Total_Reports!K335</f>
        <v>-2.1644809748977423E-6</v>
      </c>
      <c r="Z14" s="8">
        <f>[35]Total_Reports!L335</f>
        <v>-2.1644882508553565E-6</v>
      </c>
      <c r="AA14" s="7"/>
      <c r="AB14" s="7"/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16</v>
      </c>
      <c r="D15" s="3" t="s">
        <v>216</v>
      </c>
      <c r="E15" s="3" t="s">
        <v>217</v>
      </c>
      <c r="F15" s="3" t="s">
        <v>218</v>
      </c>
      <c r="G15" s="3" t="s">
        <v>219</v>
      </c>
      <c r="H15" s="3" t="s">
        <v>220</v>
      </c>
      <c r="I15" s="3" t="s">
        <v>221</v>
      </c>
      <c r="J15" s="3" t="s">
        <v>222</v>
      </c>
      <c r="K15" s="3" t="s">
        <v>223</v>
      </c>
      <c r="L15" s="3" t="s">
        <v>224</v>
      </c>
      <c r="M15" s="3" t="s">
        <v>225</v>
      </c>
      <c r="N15" s="6"/>
      <c r="O15" s="6"/>
      <c r="P15" s="3" t="str">
        <f>'Model names'!C13</f>
        <v>MI</v>
      </c>
      <c r="Q15" s="8">
        <f>[37]Total_Reports!C335</f>
        <v>-4.5313790906220675E-6</v>
      </c>
      <c r="R15" s="8">
        <f>[37]Total_Reports!D335</f>
        <v>-4.5313736336538568E-6</v>
      </c>
      <c r="S15" s="8">
        <f>[37]Total_Reports!E335</f>
        <v>-4.5313672671909444E-6</v>
      </c>
      <c r="T15" s="8">
        <f>[37]Total_Reports!F335</f>
        <v>-4.5313754526432604E-6</v>
      </c>
      <c r="U15" s="8">
        <f>[37]Total_Reports!G335</f>
        <v>-4.5313836380955763E-6</v>
      </c>
      <c r="V15" s="8">
        <f>[37]Total_Reports!H335</f>
        <v>-4.531380909611471E-6</v>
      </c>
      <c r="W15" s="8">
        <f>[37]Total_Reports!I335</f>
        <v>-4.5313763621379621E-6</v>
      </c>
      <c r="X15" s="8">
        <f>[37]Total_Reports!J335</f>
        <v>-4.5313718146644533E-6</v>
      </c>
      <c r="Y15" s="8">
        <f>[37]Total_Reports!K335</f>
        <v>-4.5313818191061728E-6</v>
      </c>
      <c r="Z15" s="8">
        <f>[37]Total_Reports!L335</f>
        <v>-4.5313836380955763E-6</v>
      </c>
      <c r="AA15" s="7"/>
      <c r="AB15" s="7"/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16</v>
      </c>
      <c r="D16" s="3" t="s">
        <v>216</v>
      </c>
      <c r="E16" s="3" t="s">
        <v>217</v>
      </c>
      <c r="F16" s="3" t="s">
        <v>218</v>
      </c>
      <c r="G16" s="3" t="s">
        <v>219</v>
      </c>
      <c r="H16" s="3" t="s">
        <v>220</v>
      </c>
      <c r="I16" s="3" t="s">
        <v>221</v>
      </c>
      <c r="J16" s="3" t="s">
        <v>222</v>
      </c>
      <c r="K16" s="3" t="s">
        <v>223</v>
      </c>
      <c r="L16" s="3" t="s">
        <v>224</v>
      </c>
      <c r="M16" s="3" t="s">
        <v>225</v>
      </c>
      <c r="N16" s="6"/>
      <c r="O16" s="6"/>
      <c r="P16" s="3" t="str">
        <f>'Model names'!C14</f>
        <v>MO</v>
      </c>
      <c r="Q16" s="8">
        <f>[39]Total_Reports!C335</f>
        <v>-2.8219998814165592E-2</v>
      </c>
      <c r="R16" s="8">
        <f>[39]Total_Reports!D335</f>
        <v>-2.821999927982688E-2</v>
      </c>
      <c r="S16" s="8">
        <f>[39]Total_Reports!E335</f>
        <v>-2.8219998814165592E-2</v>
      </c>
      <c r="T16" s="8">
        <f>[39]Total_Reports!F335</f>
        <v>-2.8219998814165592E-2</v>
      </c>
      <c r="U16" s="8">
        <f>[39]Total_Reports!G335</f>
        <v>-2.821999927982688E-2</v>
      </c>
      <c r="V16" s="8">
        <f>[39]Total_Reports!H335</f>
        <v>-2.821999927982688E-2</v>
      </c>
      <c r="W16" s="8">
        <f>[39]Total_Reports!I335</f>
        <v>-2.8220000676810741E-2</v>
      </c>
      <c r="X16" s="8">
        <f>[39]Total_Reports!J335</f>
        <v>-2.8220003470778465E-2</v>
      </c>
      <c r="Y16" s="8">
        <f>[39]Total_Reports!K335</f>
        <v>-2.8220003470778465E-2</v>
      </c>
      <c r="Z16" s="8">
        <f>[39]Total_Reports!L335</f>
        <v>-2.822000440210104E-2</v>
      </c>
      <c r="AA16" s="7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16</v>
      </c>
      <c r="D17" s="3" t="s">
        <v>216</v>
      </c>
      <c r="E17" s="3" t="s">
        <v>217</v>
      </c>
      <c r="F17" s="3" t="s">
        <v>218</v>
      </c>
      <c r="G17" s="3" t="s">
        <v>219</v>
      </c>
      <c r="H17" s="3" t="s">
        <v>220</v>
      </c>
      <c r="I17" s="3" t="s">
        <v>221</v>
      </c>
      <c r="J17" s="3" t="s">
        <v>222</v>
      </c>
      <c r="K17" s="3" t="s">
        <v>223</v>
      </c>
      <c r="L17" s="3" t="s">
        <v>224</v>
      </c>
      <c r="M17" s="3" t="s">
        <v>225</v>
      </c>
      <c r="N17" s="6"/>
      <c r="O17" s="6"/>
      <c r="P17" s="3" t="str">
        <f>'Model names'!C15</f>
        <v>NJ</v>
      </c>
      <c r="Q17" s="8">
        <f>[41]Total_Reports!C335</f>
        <v>1.8992368131875992E-4</v>
      </c>
      <c r="R17" s="8">
        <f>[41]Total_Reports!D335</f>
        <v>1.899227499961853E-4</v>
      </c>
      <c r="S17" s="8">
        <f>[41]Total_Reports!E335</f>
        <v>1.8992461264133453E-4</v>
      </c>
      <c r="T17" s="8">
        <f>[41]Total_Reports!F335</f>
        <v>1.8992088735103607E-4</v>
      </c>
      <c r="U17" s="8">
        <f>[41]Total_Reports!G335</f>
        <v>1.8992181867361069E-4</v>
      </c>
      <c r="V17" s="8">
        <f>[41]Total_Reports!H335</f>
        <v>1.8992088735103607E-4</v>
      </c>
      <c r="W17" s="8">
        <f>[41]Total_Reports!I335</f>
        <v>1.8992088735103607E-4</v>
      </c>
      <c r="X17" s="8">
        <f>[41]Total_Reports!J335</f>
        <v>1.8992088735103607E-4</v>
      </c>
      <c r="Y17" s="8">
        <f>[41]Total_Reports!K335</f>
        <v>1.8991809338331223E-4</v>
      </c>
      <c r="Z17" s="8">
        <f>[41]Total_Reports!L335</f>
        <v>1.8991623073816299E-4</v>
      </c>
      <c r="AA17" s="7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16</v>
      </c>
      <c r="D18" s="3" t="s">
        <v>216</v>
      </c>
      <c r="E18" s="3" t="s">
        <v>217</v>
      </c>
      <c r="F18" s="3" t="s">
        <v>218</v>
      </c>
      <c r="G18" s="3" t="s">
        <v>219</v>
      </c>
      <c r="H18" s="3" t="s">
        <v>220</v>
      </c>
      <c r="I18" s="3" t="s">
        <v>221</v>
      </c>
      <c r="J18" s="3" t="s">
        <v>222</v>
      </c>
      <c r="K18" s="3" t="s">
        <v>223</v>
      </c>
      <c r="L18" s="3" t="s">
        <v>224</v>
      </c>
      <c r="M18" s="3" t="s">
        <v>225</v>
      </c>
      <c r="N18" s="6"/>
      <c r="O18" s="6"/>
      <c r="P18" s="3" t="str">
        <f>'Model names'!C16</f>
        <v>NY</v>
      </c>
      <c r="Q18" s="8">
        <f>[43]Total_Reports!C335</f>
        <v>1.1348514817655087E-5</v>
      </c>
      <c r="R18" s="8">
        <f>[43]Total_Reports!D335</f>
        <v>1.1348631232976913E-5</v>
      </c>
      <c r="S18" s="8">
        <f>[43]Total_Reports!E335</f>
        <v>1.1348514817655087E-5</v>
      </c>
      <c r="T18" s="8">
        <f>[43]Total_Reports!F335</f>
        <v>1.1348514817655087E-5</v>
      </c>
      <c r="U18" s="8">
        <f>[43]Total_Reports!G335</f>
        <v>1.134839840233326E-5</v>
      </c>
      <c r="V18" s="8">
        <f>[43]Total_Reports!H335</f>
        <v>1.1348281987011433E-5</v>
      </c>
      <c r="W18" s="8">
        <f>[43]Total_Reports!I335</f>
        <v>1.1348281987011433E-5</v>
      </c>
      <c r="X18" s="8">
        <f>[43]Total_Reports!J335</f>
        <v>1.1348165571689606E-5</v>
      </c>
      <c r="Y18" s="8">
        <f>[43]Total_Reports!K335</f>
        <v>1.1348281987011433E-5</v>
      </c>
      <c r="Z18" s="8">
        <f>[43]Total_Reports!L335</f>
        <v>1.134839840233326E-5</v>
      </c>
      <c r="AA18" s="7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16</v>
      </c>
      <c r="D19" s="3" t="s">
        <v>216</v>
      </c>
      <c r="E19" s="3" t="s">
        <v>217</v>
      </c>
      <c r="F19" s="3" t="s">
        <v>218</v>
      </c>
      <c r="G19" s="3" t="s">
        <v>219</v>
      </c>
      <c r="H19" s="3" t="s">
        <v>220</v>
      </c>
      <c r="I19" s="3" t="s">
        <v>221</v>
      </c>
      <c r="J19" s="3" t="s">
        <v>222</v>
      </c>
      <c r="K19" s="3" t="s">
        <v>223</v>
      </c>
      <c r="L19" s="3" t="s">
        <v>224</v>
      </c>
      <c r="M19" s="3" t="s">
        <v>225</v>
      </c>
      <c r="N19" s="6"/>
      <c r="O19" s="6"/>
      <c r="P19" s="3" t="str">
        <f>'Model names'!C17</f>
        <v>PA</v>
      </c>
      <c r="Q19" s="8">
        <f>[45]Total_Reports!C335</f>
        <v>-2.7572829276323318E-4</v>
      </c>
      <c r="R19" s="8">
        <f>[45]Total_Reports!D335</f>
        <v>-2.7573015540838242E-4</v>
      </c>
      <c r="S19" s="8">
        <f>[45]Total_Reports!E335</f>
        <v>-2.7573201805353165E-4</v>
      </c>
      <c r="T19" s="8">
        <f>[45]Total_Reports!F335</f>
        <v>-2.757292240858078E-4</v>
      </c>
      <c r="U19" s="8">
        <f>[45]Total_Reports!G335</f>
        <v>-2.757292240858078E-4</v>
      </c>
      <c r="V19" s="8">
        <f>[45]Total_Reports!H335</f>
        <v>-2.7573294937610626E-4</v>
      </c>
      <c r="W19" s="8">
        <f>[45]Total_Reports!I335</f>
        <v>-2.7573294937610626E-4</v>
      </c>
      <c r="X19" s="8">
        <f>[45]Total_Reports!J335</f>
        <v>-2.7572829276323318E-4</v>
      </c>
      <c r="Y19" s="8">
        <f>[45]Total_Reports!K335</f>
        <v>-2.7572643011808395E-4</v>
      </c>
      <c r="Z19" s="8">
        <f>[45]Total_Reports!L335</f>
        <v>-2.7572363615036011E-4</v>
      </c>
      <c r="AA19" s="7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16</v>
      </c>
      <c r="D20" s="3" t="s">
        <v>216</v>
      </c>
      <c r="E20" s="3" t="s">
        <v>217</v>
      </c>
      <c r="F20" s="3" t="s">
        <v>218</v>
      </c>
      <c r="G20" s="3" t="s">
        <v>219</v>
      </c>
      <c r="H20" s="3" t="s">
        <v>220</v>
      </c>
      <c r="I20" s="3" t="s">
        <v>221</v>
      </c>
      <c r="J20" s="3" t="s">
        <v>222</v>
      </c>
      <c r="K20" s="3" t="s">
        <v>223</v>
      </c>
      <c r="L20" s="3" t="s">
        <v>224</v>
      </c>
      <c r="M20" s="3" t="s">
        <v>225</v>
      </c>
      <c r="N20" s="6"/>
      <c r="O20" s="6"/>
      <c r="P20" s="3" t="str">
        <f>'Model names'!C18</f>
        <v>TN</v>
      </c>
      <c r="Q20" s="8">
        <f>[47]Total_Reports!C335</f>
        <v>0</v>
      </c>
      <c r="R20" s="8">
        <f>[47]Total_Reports!D335</f>
        <v>0</v>
      </c>
      <c r="S20" s="8">
        <f>[47]Total_Reports!E335</f>
        <v>0</v>
      </c>
      <c r="T20" s="8">
        <f>[47]Total_Reports!F335</f>
        <v>0</v>
      </c>
      <c r="U20" s="8">
        <f>[47]Total_Reports!G335</f>
        <v>0</v>
      </c>
      <c r="V20" s="8">
        <f>[47]Total_Reports!H335</f>
        <v>0</v>
      </c>
      <c r="W20" s="8">
        <f>[47]Total_Reports!I335</f>
        <v>0</v>
      </c>
      <c r="X20" s="8">
        <f>[47]Total_Reports!J335</f>
        <v>0</v>
      </c>
      <c r="Y20" s="8">
        <f>[47]Total_Reports!K335</f>
        <v>-9.3132257461547852E-10</v>
      </c>
      <c r="Z20" s="8">
        <f>[47]Total_Reports!L335</f>
        <v>0</v>
      </c>
      <c r="AA20" s="7"/>
      <c r="AB20" s="7"/>
      <c r="AC20" s="8"/>
      <c r="AG20" s="5"/>
      <c r="AH20" s="5"/>
    </row>
    <row r="21" spans="1:34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16</v>
      </c>
      <c r="D21" s="3" t="s">
        <v>216</v>
      </c>
      <c r="E21" s="3" t="s">
        <v>217</v>
      </c>
      <c r="F21" s="3" t="s">
        <v>218</v>
      </c>
      <c r="G21" s="3" t="s">
        <v>219</v>
      </c>
      <c r="H21" s="3" t="s">
        <v>220</v>
      </c>
      <c r="I21" s="3" t="s">
        <v>221</v>
      </c>
      <c r="J21" s="3" t="s">
        <v>222</v>
      </c>
      <c r="K21" s="3" t="s">
        <v>223</v>
      </c>
      <c r="L21" s="3" t="s">
        <v>224</v>
      </c>
      <c r="M21" s="3" t="s">
        <v>225</v>
      </c>
      <c r="N21" s="6"/>
      <c r="O21" s="6"/>
      <c r="P21" s="3" t="str">
        <f>'Model names'!C19</f>
        <v>VA</v>
      </c>
      <c r="Q21" s="8">
        <f>[49]Total_Reports!C335</f>
        <v>2.4786591529846191E-4</v>
      </c>
      <c r="R21" s="8">
        <f>[49]Total_Reports!D335</f>
        <v>2.4786608992144465E-4</v>
      </c>
      <c r="S21" s="8">
        <f>[49]Total_Reports!E335</f>
        <v>2.4786603171378374E-4</v>
      </c>
      <c r="T21" s="8">
        <f>[49]Total_Reports!F335</f>
        <v>2.4786568246781826E-4</v>
      </c>
      <c r="U21" s="8">
        <f>[49]Total_Reports!G335</f>
        <v>2.4786597350612283E-4</v>
      </c>
      <c r="V21" s="8">
        <f>[49]Total_Reports!H335</f>
        <v>2.4786539142951369E-4</v>
      </c>
      <c r="W21" s="8">
        <f>[49]Total_Reports!I335</f>
        <v>2.4786486756056547E-4</v>
      </c>
      <c r="X21" s="8">
        <f>[49]Total_Reports!J335</f>
        <v>2.4786428548395634E-4</v>
      </c>
      <c r="Y21" s="8">
        <f>[49]Total_Reports!K335</f>
        <v>2.4786428548395634E-4</v>
      </c>
      <c r="Z21" s="8">
        <f>[49]Total_Reports!L335</f>
        <v>2.4786405265331268E-4</v>
      </c>
      <c r="AA21" s="7"/>
      <c r="AB21" s="7"/>
      <c r="AC21" s="8"/>
    </row>
    <row r="22" spans="1:34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16</v>
      </c>
      <c r="D22" s="3" t="s">
        <v>216</v>
      </c>
      <c r="E22" s="3" t="s">
        <v>217</v>
      </c>
      <c r="F22" s="3" t="s">
        <v>218</v>
      </c>
      <c r="G22" s="3" t="s">
        <v>219</v>
      </c>
      <c r="H22" s="3" t="s">
        <v>220</v>
      </c>
      <c r="I22" s="3" t="s">
        <v>221</v>
      </c>
      <c r="J22" s="3" t="s">
        <v>222</v>
      </c>
      <c r="K22" s="3" t="s">
        <v>223</v>
      </c>
      <c r="L22" s="3" t="s">
        <v>224</v>
      </c>
      <c r="M22" s="3" t="s">
        <v>225</v>
      </c>
      <c r="N22" s="6"/>
      <c r="O22" s="6"/>
      <c r="P22" s="3" t="str">
        <f>'Model names'!C20</f>
        <v>WV</v>
      </c>
      <c r="Q22" s="8">
        <f>[51]Total_Reports!C335</f>
        <v>1.1071644257754087E-4</v>
      </c>
      <c r="R22" s="8">
        <f>[51]Total_Reports!D335</f>
        <v>1.1071620974689722E-4</v>
      </c>
      <c r="S22" s="8">
        <f>[51]Total_Reports!E335</f>
        <v>1.107165589928627E-4</v>
      </c>
      <c r="T22" s="8">
        <f>[51]Total_Reports!F335</f>
        <v>1.1071632616221905E-4</v>
      </c>
      <c r="U22" s="8">
        <f>[51]Total_Reports!G335</f>
        <v>1.107165589928627E-4</v>
      </c>
      <c r="V22" s="8">
        <f>[51]Total_Reports!H335</f>
        <v>1.1071586050093174E-4</v>
      </c>
      <c r="W22" s="8">
        <f>[51]Total_Reports!I335</f>
        <v>1.107165589928627E-4</v>
      </c>
      <c r="X22" s="8">
        <f>[51]Total_Reports!J335</f>
        <v>1.1071725748479366E-4</v>
      </c>
      <c r="Y22" s="8">
        <f>[51]Total_Reports!K335</f>
        <v>1.1071749031543732E-4</v>
      </c>
      <c r="Z22" s="8">
        <f>[51]Total_Reports!L335</f>
        <v>1.1071725748479366E-4</v>
      </c>
      <c r="AA22" s="7"/>
      <c r="AB22" s="7"/>
      <c r="AC22" s="8"/>
    </row>
    <row r="23" spans="1:34" hidden="1" outlineLevel="1" x14ac:dyDescent="0.3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6"/>
      <c r="O23" s="6"/>
      <c r="P23" s="3"/>
      <c r="Q23" s="8"/>
      <c r="R23" s="8"/>
      <c r="S23" s="8"/>
      <c r="T23" s="8"/>
      <c r="U23" s="8"/>
      <c r="V23" s="8"/>
      <c r="W23" s="8"/>
      <c r="X23" s="8"/>
      <c r="Y23" s="8"/>
      <c r="Z23" s="8"/>
      <c r="AA23" s="7"/>
      <c r="AB23" s="7"/>
      <c r="AC23" s="8"/>
    </row>
    <row r="24" spans="1:34" hidden="1" outlineLevel="1" x14ac:dyDescent="0.3">
      <c r="A24" s="2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6"/>
      <c r="O24" s="6"/>
      <c r="P24" s="3"/>
      <c r="Q24" s="8"/>
      <c r="R24" s="8"/>
      <c r="S24" s="8"/>
      <c r="T24" s="8"/>
      <c r="U24" s="8"/>
      <c r="V24" s="8"/>
      <c r="W24" s="8"/>
      <c r="X24" s="8"/>
      <c r="Y24" s="8"/>
      <c r="Z24" s="8"/>
      <c r="AA24" s="7"/>
      <c r="AB24" s="7"/>
      <c r="AC24" s="8"/>
    </row>
    <row r="25" spans="1:34" hidden="1" outlineLevel="1" x14ac:dyDescent="0.3">
      <c r="A25" s="2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6"/>
      <c r="O25" s="6"/>
      <c r="P25" s="3"/>
      <c r="Q25" s="8"/>
      <c r="R25" s="8"/>
      <c r="S25" s="8"/>
      <c r="T25" s="8"/>
      <c r="U25" s="8"/>
      <c r="V25" s="8"/>
      <c r="W25" s="8"/>
      <c r="X25" s="8"/>
      <c r="Y25" s="8"/>
      <c r="Z25" s="8"/>
      <c r="AA25" s="7"/>
      <c r="AB25" s="7"/>
      <c r="AC25" s="8"/>
    </row>
    <row r="26" spans="1:34" hidden="1" outlineLevel="1" x14ac:dyDescent="0.3">
      <c r="A26" s="2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6"/>
      <c r="O26" s="6"/>
      <c r="P26" s="3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51" priority="3" operator="equal">
      <formula>"On"</formula>
    </cfRule>
  </conditionalFormatting>
  <conditionalFormatting sqref="V21:AA23">
    <cfRule type="cellIs" dxfId="50" priority="2" operator="equal">
      <formula>"On"</formula>
    </cfRule>
  </conditionalFormatting>
  <conditionalFormatting sqref="R21:R23">
    <cfRule type="cellIs" dxfId="49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pageSetup orientation="portrait" verticalDpi="0" r:id="rId1"/>
  <customProperties>
    <customPr name="_pios_id" r:id="rId2"/>
  </customProperties>
  <drawing r:id="rId3"/>
  <legacyDrawing r:id="rId4"/>
  <controls>
    <mc:AlternateContent xmlns:mc="http://schemas.openxmlformats.org/markup-compatibility/2006">
      <mc:Choice Requires="x14">
        <control shapeId="14337" r:id="rId5" name="CommandButton21">
          <controlPr autoLine="0" r:id="rId6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4337" r:id="rId5" name="CommandButton2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/>
  </sheetPr>
  <dimension ref="A1:AH40"/>
  <sheetViews>
    <sheetView zoomScale="70" zoomScaleNormal="70" workbookViewId="0">
      <selection activeCell="X45" sqref="X45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18.33203125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>
      <c r="S1" s="10"/>
      <c r="T1" s="10"/>
      <c r="U1" s="10"/>
      <c r="V1" s="10"/>
      <c r="W1" s="10"/>
      <c r="X1" s="10"/>
      <c r="Y1" s="10"/>
      <c r="Z1" s="10"/>
      <c r="AA1" s="10"/>
    </row>
    <row r="2" spans="1:34" x14ac:dyDescent="0.3">
      <c r="A2">
        <f>COUNTIF(A4:A33,"&gt;""")</f>
        <v>1</v>
      </c>
      <c r="B2">
        <f>P2</f>
        <v>12</v>
      </c>
      <c r="P2" s="1">
        <v>12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names'!I1</f>
        <v>2017</v>
      </c>
      <c r="R3" s="2">
        <f>'Model names'!J1</f>
        <v>2018</v>
      </c>
      <c r="S3" s="2">
        <f>'Model names'!K1</f>
        <v>2019</v>
      </c>
      <c r="T3" s="2">
        <f>'Model names'!L1</f>
        <v>2020</v>
      </c>
      <c r="U3" s="2">
        <f>'Model names'!M1</f>
        <v>2021</v>
      </c>
      <c r="V3" s="2">
        <f>'Model names'!N1</f>
        <v>2022</v>
      </c>
      <c r="W3" s="2">
        <f>'Model names'!O1</f>
        <v>2023</v>
      </c>
      <c r="X3" s="2">
        <f>'Model names'!P1</f>
        <v>2024</v>
      </c>
      <c r="Y3" s="2">
        <f>'Model names'!Q1</f>
        <v>2025</v>
      </c>
      <c r="Z3" s="2">
        <f>'Model names'!R1</f>
        <v>2026</v>
      </c>
      <c r="AA3" s="2">
        <f>'Model names'!S1</f>
        <v>2027</v>
      </c>
      <c r="AB3" s="2"/>
    </row>
    <row r="4" spans="1:34" x14ac:dyDescent="0.3">
      <c r="A4" s="2" t="str">
        <f>'Model names'!B23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74</v>
      </c>
      <c r="D4" s="3" t="s">
        <v>17</v>
      </c>
      <c r="E4" s="3" t="s">
        <v>18</v>
      </c>
      <c r="F4" s="3" t="s">
        <v>19</v>
      </c>
      <c r="G4" s="3" t="s">
        <v>20</v>
      </c>
      <c r="H4" s="3" t="s">
        <v>21</v>
      </c>
      <c r="I4" s="3" t="s">
        <v>22</v>
      </c>
      <c r="J4" s="3" t="s">
        <v>23</v>
      </c>
      <c r="K4" s="3" t="s">
        <v>24</v>
      </c>
      <c r="L4" s="3" t="s">
        <v>25</v>
      </c>
      <c r="M4" s="3" t="s">
        <v>26</v>
      </c>
      <c r="N4" s="3" t="s">
        <v>27</v>
      </c>
      <c r="O4" s="6" t="s">
        <v>27</v>
      </c>
      <c r="P4" s="3" t="str">
        <f>'Model names'!C2</f>
        <v>BFW</v>
      </c>
      <c r="Q4" s="8">
        <f>[15]Base_Reports!B273</f>
        <v>3.6664840227604143E-4</v>
      </c>
      <c r="R4" s="8">
        <f>[15]Base_Reports!C273</f>
        <v>3.2577372621744872E-9</v>
      </c>
      <c r="S4" s="8">
        <f ca="1">[15]Base_Reports!D273</f>
        <v>-5.7597305549442243E-2</v>
      </c>
      <c r="T4" s="8">
        <f ca="1">[15]Base_Reports!E273</f>
        <v>-4.4033552426224795E-2</v>
      </c>
      <c r="U4" s="8">
        <f ca="1">[15]Base_Reports!F273</f>
        <v>-5.477001618798448E-2</v>
      </c>
      <c r="V4" s="8">
        <f ca="1">[15]Base_Reports!G273</f>
        <v>6.9674880680124254</v>
      </c>
      <c r="W4" s="8">
        <f ca="1">[15]Base_Reports!H273</f>
        <v>-4.6575443976162756E-2</v>
      </c>
      <c r="X4" s="8">
        <f ca="1">[15]Base_Reports!I273</f>
        <v>-4.1863179578076393E-2</v>
      </c>
      <c r="Y4" s="8">
        <f ca="1">[15]Base_Reports!J273</f>
        <v>0.21695712627144148</v>
      </c>
      <c r="Z4" s="8">
        <f ca="1">[15]Base_Reports!K273</f>
        <v>-7.0755114316705114E-3</v>
      </c>
      <c r="AA4" s="8">
        <f ca="1">[15]Base_Reports!L273</f>
        <v>-7.1144118017089086E-3</v>
      </c>
      <c r="AB4" s="7">
        <f ca="1">[15]Base_Reports!L273</f>
        <v>-7.1144118017089086E-3</v>
      </c>
      <c r="AC4" s="8"/>
      <c r="AG4" s="5"/>
      <c r="AH4" s="5"/>
    </row>
    <row r="5" spans="1:34" x14ac:dyDescent="0.3">
      <c r="A5" s="2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6"/>
      <c r="P5" s="19"/>
      <c r="Q5" s="8"/>
      <c r="R5" s="16"/>
      <c r="AB5" s="7"/>
      <c r="AC5" s="8"/>
      <c r="AG5" s="5"/>
      <c r="AH5" s="5"/>
    </row>
    <row r="6" spans="1:34" x14ac:dyDescent="0.3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6"/>
      <c r="P6" s="19"/>
      <c r="Q6" s="8"/>
      <c r="R6" s="8"/>
      <c r="AB6" s="7"/>
      <c r="AC6" s="8"/>
      <c r="AG6" s="5"/>
      <c r="AH6" s="5"/>
    </row>
    <row r="7" spans="1:34" x14ac:dyDescent="0.3">
      <c r="A7" s="2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6"/>
      <c r="P7" s="19"/>
      <c r="Q7" s="8"/>
      <c r="R7" s="16"/>
      <c r="AB7" s="7"/>
      <c r="AC7" s="8"/>
      <c r="AG7" s="5"/>
      <c r="AH7" s="5"/>
    </row>
    <row r="8" spans="1:34" x14ac:dyDescent="0.3">
      <c r="A8" s="2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6"/>
      <c r="P8" s="19"/>
      <c r="Q8" s="8"/>
      <c r="R8" s="16"/>
      <c r="AB8" s="7"/>
      <c r="AC8" s="8"/>
      <c r="AG8" s="5"/>
      <c r="AH8" s="5"/>
    </row>
    <row r="9" spans="1:34" x14ac:dyDescent="0.3">
      <c r="A9" s="2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6"/>
      <c r="P9" s="19"/>
      <c r="Q9" s="8"/>
      <c r="R9" s="8"/>
      <c r="AB9" s="7"/>
      <c r="AC9" s="8"/>
      <c r="AG9" s="5"/>
      <c r="AH9" s="5"/>
    </row>
    <row r="10" spans="1:34" x14ac:dyDescent="0.3">
      <c r="A10" s="2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/>
      <c r="P10" s="19"/>
      <c r="Q10" s="8"/>
      <c r="R10" s="8"/>
      <c r="AB10" s="7"/>
      <c r="AC10" s="8"/>
      <c r="AG10" s="5"/>
      <c r="AH10" s="5"/>
    </row>
    <row r="11" spans="1:34" x14ac:dyDescent="0.3">
      <c r="A11" s="2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6"/>
      <c r="P11" s="19"/>
      <c r="Q11" s="8"/>
      <c r="R11" s="8"/>
      <c r="AB11" s="7"/>
      <c r="AC11" s="8"/>
      <c r="AG11" s="5"/>
      <c r="AH11" s="5"/>
    </row>
    <row r="12" spans="1:34" x14ac:dyDescent="0.3">
      <c r="A12" s="2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6"/>
      <c r="P12" s="19"/>
      <c r="Q12" s="8"/>
      <c r="R12" s="8"/>
      <c r="AB12" s="7"/>
      <c r="AC12" s="8"/>
      <c r="AG12" s="5"/>
      <c r="AH12" s="5"/>
    </row>
    <row r="13" spans="1:34" x14ac:dyDescent="0.3">
      <c r="A13" s="2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6"/>
      <c r="P13" s="19"/>
      <c r="Q13" s="8"/>
      <c r="R13" s="8"/>
      <c r="AB13" s="7"/>
      <c r="AC13" s="8"/>
      <c r="AG13" s="5"/>
      <c r="AH13" s="5"/>
    </row>
    <row r="14" spans="1:34" x14ac:dyDescent="0.3">
      <c r="A14" s="2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6"/>
      <c r="P14" s="19"/>
      <c r="Q14" s="8"/>
      <c r="R14" s="8"/>
      <c r="AB14" s="7"/>
      <c r="AC14" s="8"/>
      <c r="AG14" s="5"/>
      <c r="AH14" s="5"/>
    </row>
    <row r="15" spans="1:34" x14ac:dyDescent="0.3">
      <c r="A15" s="2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6"/>
      <c r="P15" s="19"/>
      <c r="Q15" s="13"/>
      <c r="R15" s="13"/>
      <c r="AB15" s="7"/>
      <c r="AC15" s="8"/>
      <c r="AG15" s="5"/>
      <c r="AH15" s="5"/>
    </row>
    <row r="16" spans="1:34" x14ac:dyDescent="0.3">
      <c r="A16" s="2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6"/>
      <c r="P16" s="19"/>
      <c r="Q16" s="8"/>
      <c r="R16" s="8"/>
      <c r="AB16" s="7"/>
      <c r="AC16" s="8"/>
      <c r="AG16" s="5"/>
      <c r="AH16" s="5"/>
    </row>
    <row r="17" spans="1:34" x14ac:dyDescent="0.3">
      <c r="A17" s="2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6"/>
      <c r="P17" s="19"/>
      <c r="Q17" s="8"/>
      <c r="R17" s="8"/>
      <c r="AB17" s="7"/>
      <c r="AC17" s="8"/>
      <c r="AG17" s="5"/>
      <c r="AH17" s="5"/>
    </row>
    <row r="18" spans="1:34" x14ac:dyDescent="0.3">
      <c r="A18" s="2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6"/>
      <c r="P18" s="19"/>
      <c r="Q18" s="8"/>
      <c r="R18" s="8"/>
      <c r="AB18" s="7"/>
      <c r="AC18" s="8"/>
      <c r="AG18" s="5"/>
      <c r="AH18" s="5"/>
    </row>
    <row r="19" spans="1:34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6"/>
      <c r="P19" s="19"/>
      <c r="Q19" s="8"/>
      <c r="R19" s="8"/>
      <c r="AB19" s="7"/>
      <c r="AG19" s="5"/>
      <c r="AH19" s="5"/>
    </row>
    <row r="20" spans="1:34" x14ac:dyDescent="0.3">
      <c r="A20" s="2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6"/>
      <c r="P20" s="19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7"/>
      <c r="AC20" s="8"/>
      <c r="AG20" s="5"/>
      <c r="AH20" s="5"/>
    </row>
    <row r="21" spans="1:34" hidden="1" outlineLevel="1" x14ac:dyDescent="0.3">
      <c r="A21" s="2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6"/>
      <c r="P21" s="19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7"/>
      <c r="AC21" s="8"/>
    </row>
    <row r="22" spans="1:34" hidden="1" outlineLevel="1" x14ac:dyDescent="0.3">
      <c r="A22" s="2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6"/>
      <c r="P22" s="19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7"/>
      <c r="AC22" s="8"/>
    </row>
    <row r="23" spans="1:34" hidden="1" outlineLevel="1" x14ac:dyDescent="0.3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6"/>
      <c r="P23" s="19"/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7"/>
      <c r="AC23" s="8"/>
    </row>
    <row r="24" spans="1:34" hidden="1" outlineLevel="1" x14ac:dyDescent="0.3">
      <c r="A24" s="2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6"/>
      <c r="P24" s="19"/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7"/>
      <c r="AC24" s="8"/>
    </row>
    <row r="25" spans="1:34" hidden="1" outlineLevel="1" x14ac:dyDescent="0.3">
      <c r="A25" s="2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6"/>
      <c r="P25" s="19"/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7"/>
      <c r="AC25" s="8"/>
    </row>
    <row r="26" spans="1:34" hidden="1" outlineLevel="1" x14ac:dyDescent="0.3">
      <c r="A26" s="2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6"/>
      <c r="P26" s="19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7"/>
      <c r="AC26" s="8"/>
    </row>
    <row r="27" spans="1:34" hidden="1" outlineLevel="1" x14ac:dyDescent="0.3">
      <c r="A27" s="2" t="e">
        <f>IF(B27=0,"",A26)</f>
        <v>#REF!</v>
      </c>
      <c r="B27" s="3" t="e">
        <f>'Model names'!#REF!</f>
        <v>#REF!</v>
      </c>
      <c r="C27" s="3" t="e">
        <f t="shared" ref="C27:C33" si="0">IF(B27=0,0,C26)</f>
        <v>#REF!</v>
      </c>
      <c r="D27" s="3" t="e">
        <f t="shared" ref="D27:D33" si="1">IF($C27=0,"",D26)</f>
        <v>#REF!</v>
      </c>
      <c r="E27" s="3" t="e">
        <f t="shared" ref="E27:E33" si="2">IF($C27=0,"",E26)</f>
        <v>#REF!</v>
      </c>
      <c r="F27" s="3" t="e">
        <f t="shared" ref="F27:F33" si="3">IF($C27=0,"",F26)</f>
        <v>#REF!</v>
      </c>
      <c r="G27" s="3" t="e">
        <f t="shared" ref="G27:G33" si="4">IF($C27=0,"",G26)</f>
        <v>#REF!</v>
      </c>
      <c r="H27" s="3" t="e">
        <f t="shared" ref="H27:H33" si="5">IF($C27=0,"",H26)</f>
        <v>#REF!</v>
      </c>
      <c r="I27" s="3" t="e">
        <f t="shared" ref="I27:I33" si="6">IF($C27=0,"",I26)</f>
        <v>#REF!</v>
      </c>
      <c r="J27" s="3" t="e">
        <f t="shared" ref="J27:J33" si="7">IF($C27=0,"",J26)</f>
        <v>#REF!</v>
      </c>
      <c r="K27" s="3" t="e">
        <f t="shared" ref="K27:K33" si="8">IF($C27=0,"",K26)</f>
        <v>#REF!</v>
      </c>
      <c r="L27" s="3" t="e">
        <f t="shared" ref="L27:L33" si="9">IF($C27=0,"",L26)</f>
        <v>#REF!</v>
      </c>
      <c r="M27" s="3" t="e">
        <f t="shared" ref="M27:M33" si="10">IF($C27=0,"",M26)</f>
        <v>#REF!</v>
      </c>
      <c r="N27" s="3" t="e">
        <f t="shared" ref="N27:N33" si="11">IF($C27=0,"",N26)</f>
        <v>#REF!</v>
      </c>
      <c r="O27" s="6" t="e">
        <f t="shared" ref="O27:O33" si="12">IF($C27=0,"",O26)</f>
        <v>#REF!</v>
      </c>
      <c r="P27" s="19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7"/>
      <c r="AC27" s="8"/>
    </row>
    <row r="28" spans="1:34" hidden="1" outlineLevel="1" x14ac:dyDescent="0.3">
      <c r="A28" s="2" t="e">
        <f>IF(B28=0,"",A27)</f>
        <v>#REF!</v>
      </c>
      <c r="B28" s="3" t="e">
        <f>'Model names'!#REF!</f>
        <v>#REF!</v>
      </c>
      <c r="C28" s="3" t="e">
        <f t="shared" si="0"/>
        <v>#REF!</v>
      </c>
      <c r="D28" s="3" t="e">
        <f t="shared" si="1"/>
        <v>#REF!</v>
      </c>
      <c r="E28" s="3" t="e">
        <f t="shared" si="2"/>
        <v>#REF!</v>
      </c>
      <c r="F28" s="3" t="e">
        <f t="shared" si="3"/>
        <v>#REF!</v>
      </c>
      <c r="G28" s="3" t="e">
        <f t="shared" si="4"/>
        <v>#REF!</v>
      </c>
      <c r="H28" s="3" t="e">
        <f t="shared" si="5"/>
        <v>#REF!</v>
      </c>
      <c r="I28" s="3" t="e">
        <f t="shared" si="6"/>
        <v>#REF!</v>
      </c>
      <c r="J28" s="3" t="e">
        <f t="shared" si="7"/>
        <v>#REF!</v>
      </c>
      <c r="K28" s="3" t="e">
        <f t="shared" si="8"/>
        <v>#REF!</v>
      </c>
      <c r="L28" s="3" t="e">
        <f t="shared" si="9"/>
        <v>#REF!</v>
      </c>
      <c r="M28" s="3" t="e">
        <f t="shared" si="10"/>
        <v>#REF!</v>
      </c>
      <c r="N28" s="3" t="e">
        <f t="shared" si="11"/>
        <v>#REF!</v>
      </c>
      <c r="O28" s="6" t="e">
        <f t="shared" si="12"/>
        <v>#REF!</v>
      </c>
      <c r="P28" s="19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7"/>
      <c r="AC28" s="8"/>
    </row>
    <row r="29" spans="1:34" hidden="1" outlineLevel="1" x14ac:dyDescent="0.3">
      <c r="A29" s="2" t="e">
        <f>IF(B29=0,"",A28)</f>
        <v>#REF!</v>
      </c>
      <c r="B29" s="3" t="e">
        <f>'Model names'!#REF!</f>
        <v>#REF!</v>
      </c>
      <c r="C29" s="3" t="e">
        <f t="shared" si="0"/>
        <v>#REF!</v>
      </c>
      <c r="D29" s="3" t="e">
        <f t="shared" si="1"/>
        <v>#REF!</v>
      </c>
      <c r="E29" s="3" t="e">
        <f t="shared" si="2"/>
        <v>#REF!</v>
      </c>
      <c r="F29" s="3" t="e">
        <f t="shared" si="3"/>
        <v>#REF!</v>
      </c>
      <c r="G29" s="3" t="e">
        <f t="shared" si="4"/>
        <v>#REF!</v>
      </c>
      <c r="H29" s="3" t="e">
        <f t="shared" si="5"/>
        <v>#REF!</v>
      </c>
      <c r="I29" s="3" t="e">
        <f t="shared" si="6"/>
        <v>#REF!</v>
      </c>
      <c r="J29" s="3" t="e">
        <f t="shared" si="7"/>
        <v>#REF!</v>
      </c>
      <c r="K29" s="3" t="e">
        <f t="shared" si="8"/>
        <v>#REF!</v>
      </c>
      <c r="L29" s="3" t="e">
        <f t="shared" si="9"/>
        <v>#REF!</v>
      </c>
      <c r="M29" s="3" t="e">
        <f t="shared" si="10"/>
        <v>#REF!</v>
      </c>
      <c r="N29" s="3" t="e">
        <f t="shared" si="11"/>
        <v>#REF!</v>
      </c>
      <c r="O29" s="6" t="e">
        <f t="shared" si="12"/>
        <v>#REF!</v>
      </c>
      <c r="P29" s="19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7"/>
      <c r="AC29" s="8"/>
    </row>
    <row r="30" spans="1:34" hidden="1" outlineLevel="1" x14ac:dyDescent="0.3">
      <c r="A30" s="2" t="e">
        <f>IF(B30=0,"",A29)</f>
        <v>#REF!</v>
      </c>
      <c r="B30" s="3" t="e">
        <f>'Model names'!#REF!</f>
        <v>#REF!</v>
      </c>
      <c r="C30" s="3" t="e">
        <f t="shared" si="0"/>
        <v>#REF!</v>
      </c>
      <c r="D30" s="3" t="e">
        <f t="shared" si="1"/>
        <v>#REF!</v>
      </c>
      <c r="E30" s="3" t="e">
        <f t="shared" si="2"/>
        <v>#REF!</v>
      </c>
      <c r="F30" s="3" t="e">
        <f t="shared" si="3"/>
        <v>#REF!</v>
      </c>
      <c r="G30" s="3" t="e">
        <f t="shared" si="4"/>
        <v>#REF!</v>
      </c>
      <c r="H30" s="3" t="e">
        <f t="shared" si="5"/>
        <v>#REF!</v>
      </c>
      <c r="I30" s="3" t="e">
        <f t="shared" si="6"/>
        <v>#REF!</v>
      </c>
      <c r="J30" s="3" t="e">
        <f t="shared" si="7"/>
        <v>#REF!</v>
      </c>
      <c r="K30" s="3" t="e">
        <f t="shared" si="8"/>
        <v>#REF!</v>
      </c>
      <c r="L30" s="3" t="e">
        <f t="shared" si="9"/>
        <v>#REF!</v>
      </c>
      <c r="M30" s="3" t="e">
        <f t="shared" si="10"/>
        <v>#REF!</v>
      </c>
      <c r="N30" s="3" t="e">
        <f t="shared" si="11"/>
        <v>#REF!</v>
      </c>
      <c r="O30" s="6" t="e">
        <f t="shared" si="12"/>
        <v>#REF!</v>
      </c>
      <c r="P30" s="19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7"/>
      <c r="AC30" s="8"/>
    </row>
    <row r="31" spans="1:34" hidden="1" outlineLevel="1" x14ac:dyDescent="0.3">
      <c r="A31" s="2" t="e">
        <f>IF(B31=0,"",A30)</f>
        <v>#REF!</v>
      </c>
      <c r="B31" s="3" t="e">
        <f>'Model names'!#REF!</f>
        <v>#REF!</v>
      </c>
      <c r="C31" s="3" t="e">
        <f t="shared" si="0"/>
        <v>#REF!</v>
      </c>
      <c r="D31" s="3" t="e">
        <f t="shared" si="1"/>
        <v>#REF!</v>
      </c>
      <c r="E31" s="3" t="e">
        <f t="shared" si="2"/>
        <v>#REF!</v>
      </c>
      <c r="F31" s="3" t="e">
        <f t="shared" si="3"/>
        <v>#REF!</v>
      </c>
      <c r="G31" s="3" t="e">
        <f t="shared" si="4"/>
        <v>#REF!</v>
      </c>
      <c r="H31" s="3" t="e">
        <f t="shared" si="5"/>
        <v>#REF!</v>
      </c>
      <c r="I31" s="3" t="e">
        <f t="shared" si="6"/>
        <v>#REF!</v>
      </c>
      <c r="J31" s="3" t="e">
        <f t="shared" si="7"/>
        <v>#REF!</v>
      </c>
      <c r="K31" s="3" t="e">
        <f t="shared" si="8"/>
        <v>#REF!</v>
      </c>
      <c r="L31" s="3" t="e">
        <f t="shared" si="9"/>
        <v>#REF!</v>
      </c>
      <c r="M31" s="3" t="e">
        <f t="shared" si="10"/>
        <v>#REF!</v>
      </c>
      <c r="N31" s="3" t="e">
        <f t="shared" si="11"/>
        <v>#REF!</v>
      </c>
      <c r="O31" s="6" t="e">
        <f t="shared" si="12"/>
        <v>#REF!</v>
      </c>
      <c r="P31" s="19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7"/>
      <c r="AC31" s="8"/>
    </row>
    <row r="32" spans="1:34" hidden="1" outlineLevel="1" x14ac:dyDescent="0.3">
      <c r="A32" s="2"/>
      <c r="B32" s="3" t="e">
        <f>'Model names'!#REF!</f>
        <v>#REF!</v>
      </c>
      <c r="C32" s="3" t="e">
        <f t="shared" si="0"/>
        <v>#REF!</v>
      </c>
      <c r="D32" s="3" t="e">
        <f t="shared" si="1"/>
        <v>#REF!</v>
      </c>
      <c r="E32" s="3" t="e">
        <f t="shared" si="2"/>
        <v>#REF!</v>
      </c>
      <c r="F32" s="3" t="e">
        <f t="shared" si="3"/>
        <v>#REF!</v>
      </c>
      <c r="G32" s="3" t="e">
        <f t="shared" si="4"/>
        <v>#REF!</v>
      </c>
      <c r="H32" s="3" t="e">
        <f t="shared" si="5"/>
        <v>#REF!</v>
      </c>
      <c r="I32" s="3" t="e">
        <f t="shared" si="6"/>
        <v>#REF!</v>
      </c>
      <c r="J32" s="3" t="e">
        <f t="shared" si="7"/>
        <v>#REF!</v>
      </c>
      <c r="K32" s="3" t="e">
        <f t="shared" si="8"/>
        <v>#REF!</v>
      </c>
      <c r="L32" s="3" t="e">
        <f t="shared" si="9"/>
        <v>#REF!</v>
      </c>
      <c r="M32" s="3" t="e">
        <f t="shared" si="10"/>
        <v>#REF!</v>
      </c>
      <c r="N32" s="3" t="e">
        <f t="shared" si="11"/>
        <v>#REF!</v>
      </c>
      <c r="O32" s="6" t="e">
        <f t="shared" si="12"/>
        <v>#REF!</v>
      </c>
      <c r="P32" s="3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7"/>
      <c r="AC32" s="8"/>
    </row>
    <row r="33" spans="1:29" hidden="1" outlineLevel="1" x14ac:dyDescent="0.3">
      <c r="A33" s="2"/>
      <c r="B33" s="3">
        <f>'Model names'!B31</f>
        <v>0</v>
      </c>
      <c r="C33" s="3">
        <f t="shared" si="0"/>
        <v>0</v>
      </c>
      <c r="D33" s="3" t="str">
        <f t="shared" si="1"/>
        <v/>
      </c>
      <c r="E33" s="3" t="str">
        <f t="shared" si="2"/>
        <v/>
      </c>
      <c r="F33" s="3" t="str">
        <f t="shared" si="3"/>
        <v/>
      </c>
      <c r="G33" s="3" t="str">
        <f t="shared" si="4"/>
        <v/>
      </c>
      <c r="H33" s="3" t="str">
        <f t="shared" si="5"/>
        <v/>
      </c>
      <c r="I33" s="3" t="str">
        <f t="shared" si="6"/>
        <v/>
      </c>
      <c r="J33" s="3" t="str">
        <f t="shared" si="7"/>
        <v/>
      </c>
      <c r="K33" s="3" t="str">
        <f t="shared" si="8"/>
        <v/>
      </c>
      <c r="L33" s="3" t="str">
        <f t="shared" si="9"/>
        <v/>
      </c>
      <c r="M33" s="3" t="str">
        <f t="shared" si="10"/>
        <v/>
      </c>
      <c r="N33" s="3" t="str">
        <f t="shared" si="11"/>
        <v/>
      </c>
      <c r="O33" s="6" t="str">
        <f t="shared" si="12"/>
        <v/>
      </c>
      <c r="P33" s="3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7"/>
      <c r="AC33" s="8"/>
    </row>
    <row r="34" spans="1:29" collapsed="1" x14ac:dyDescent="0.3">
      <c r="R34" s="8"/>
      <c r="S34" s="8"/>
      <c r="T34" s="8"/>
      <c r="U34" s="8"/>
      <c r="V34" s="8"/>
      <c r="W34" s="8"/>
      <c r="X34" s="8"/>
      <c r="Y34" s="8"/>
      <c r="Z34" s="8"/>
      <c r="AA34" s="8"/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48" priority="3" operator="equal">
      <formula>"On"</formula>
    </cfRule>
  </conditionalFormatting>
  <conditionalFormatting sqref="V21:AA23">
    <cfRule type="cellIs" dxfId="47" priority="2" operator="equal">
      <formula>"On"</formula>
    </cfRule>
  </conditionalFormatting>
  <conditionalFormatting sqref="R21:R23">
    <cfRule type="cellIs" dxfId="46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17409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7409" r:id="rId4" name="CommandButton2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/>
  </sheetPr>
  <dimension ref="A1:AH40"/>
  <sheetViews>
    <sheetView zoomScale="70" zoomScaleNormal="70" workbookViewId="0">
      <selection activeCell="D4" sqref="D4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14.33203125" customWidth="1"/>
    <col min="18" max="18" width="15.44140625" customWidth="1"/>
    <col min="19" max="19" width="10" customWidth="1"/>
    <col min="20" max="20" width="16" customWidth="1"/>
    <col min="21" max="21" width="10" customWidth="1"/>
    <col min="22" max="22" width="16.6640625" customWidth="1" outlineLevel="1"/>
    <col min="23" max="23" width="11" customWidth="1" outlineLevel="1"/>
    <col min="24" max="24" width="16.33203125" customWidth="1" outlineLevel="1"/>
    <col min="25" max="25" width="10" customWidth="1" outlineLevel="1"/>
    <col min="26" max="26" width="15.33203125" customWidth="1" outlineLevel="1"/>
    <col min="27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ht="28.8" x14ac:dyDescent="0.3">
      <c r="A2">
        <f>COUNTIF(A4:A33,"&gt;""")</f>
        <v>19</v>
      </c>
      <c r="B2">
        <f>P2</f>
        <v>10</v>
      </c>
      <c r="P2" s="1">
        <v>10</v>
      </c>
      <c r="Q2" s="11" t="s">
        <v>85</v>
      </c>
      <c r="R2" s="11" t="s">
        <v>85</v>
      </c>
      <c r="S2" s="11" t="s">
        <v>85</v>
      </c>
      <c r="T2" s="11" t="s">
        <v>85</v>
      </c>
      <c r="U2" s="11" t="s">
        <v>85</v>
      </c>
      <c r="V2" s="11" t="s">
        <v>85</v>
      </c>
      <c r="W2" s="11" t="s">
        <v>85</v>
      </c>
      <c r="X2" s="11" t="s">
        <v>85</v>
      </c>
      <c r="Y2" s="11" t="s">
        <v>85</v>
      </c>
      <c r="Z2" s="11" t="s">
        <v>85</v>
      </c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12">
        <f>'Model names'!J1</f>
        <v>2018</v>
      </c>
      <c r="R3" s="12">
        <f>'Model names'!K1</f>
        <v>2019</v>
      </c>
      <c r="S3" s="12">
        <f>'Model names'!L1</f>
        <v>2020</v>
      </c>
      <c r="T3" s="12">
        <f>'Model names'!M1</f>
        <v>2021</v>
      </c>
      <c r="U3" s="12">
        <f>'Model names'!N1</f>
        <v>2022</v>
      </c>
      <c r="V3" s="12">
        <f>'Model names'!O1</f>
        <v>2023</v>
      </c>
      <c r="W3" s="12">
        <f>'Model names'!P1</f>
        <v>2024</v>
      </c>
      <c r="X3" s="12">
        <f>'Model names'!Q1</f>
        <v>2025</v>
      </c>
      <c r="Y3" s="12">
        <f>'Model names'!R1</f>
        <v>2026</v>
      </c>
      <c r="Z3" s="12">
        <f>'Model names'!S1</f>
        <v>2027</v>
      </c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51</v>
      </c>
      <c r="D4" s="3" t="s">
        <v>76</v>
      </c>
      <c r="E4" s="3" t="s">
        <v>75</v>
      </c>
      <c r="F4" s="3" t="s">
        <v>77</v>
      </c>
      <c r="G4" s="3" t="s">
        <v>78</v>
      </c>
      <c r="H4" s="3" t="s">
        <v>79</v>
      </c>
      <c r="I4" s="3" t="s">
        <v>80</v>
      </c>
      <c r="J4" s="3" t="s">
        <v>81</v>
      </c>
      <c r="K4" s="3" t="s">
        <v>82</v>
      </c>
      <c r="L4" s="3" t="s">
        <v>83</v>
      </c>
      <c r="M4" s="3" t="s">
        <v>84</v>
      </c>
      <c r="N4" s="6"/>
      <c r="O4" s="6"/>
      <c r="P4" s="3" t="str">
        <f>'Model names'!C2</f>
        <v>BFW</v>
      </c>
      <c r="Q4" s="8">
        <f>[15]Growth_Inputs!D372</f>
        <v>0</v>
      </c>
      <c r="R4" s="8">
        <f>[15]Growth_Inputs!E372</f>
        <v>0</v>
      </c>
      <c r="S4" s="8">
        <f>[15]Growth_Inputs!F372</f>
        <v>0</v>
      </c>
      <c r="T4" s="8">
        <f>[15]Growth_Inputs!G372</f>
        <v>0</v>
      </c>
      <c r="U4" s="8">
        <f>[15]Growth_Inputs!H372</f>
        <v>0</v>
      </c>
      <c r="V4" s="8">
        <f>[15]Growth_Inputs!I372</f>
        <v>0</v>
      </c>
      <c r="W4" s="8">
        <f>[15]Growth_Inputs!J372</f>
        <v>0</v>
      </c>
      <c r="X4" s="8">
        <f>[15]Growth_Inputs!K372</f>
        <v>0</v>
      </c>
      <c r="Y4" s="8">
        <f>[15]Growth_Inputs!L372</f>
        <v>0</v>
      </c>
      <c r="Z4" s="8">
        <f>[15]Growth_Inputs!M372</f>
        <v>0</v>
      </c>
      <c r="AA4" s="7"/>
      <c r="AB4" s="7"/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51</v>
      </c>
      <c r="D5" s="3" t="s">
        <v>76</v>
      </c>
      <c r="E5" s="3" t="s">
        <v>75</v>
      </c>
      <c r="F5" s="3" t="s">
        <v>77</v>
      </c>
      <c r="G5" s="3" t="s">
        <v>78</v>
      </c>
      <c r="H5" s="3" t="s">
        <v>79</v>
      </c>
      <c r="I5" s="3" t="s">
        <v>80</v>
      </c>
      <c r="J5" s="3" t="s">
        <v>81</v>
      </c>
      <c r="K5" s="3" t="s">
        <v>82</v>
      </c>
      <c r="L5" s="3" t="s">
        <v>83</v>
      </c>
      <c r="M5" s="3" t="s">
        <v>84</v>
      </c>
      <c r="N5" s="6"/>
      <c r="O5" s="6"/>
      <c r="P5" s="3" t="str">
        <f>'Model names'!C3</f>
        <v>CA</v>
      </c>
      <c r="Q5" s="8">
        <f>[17]Growth_Inputs!D372</f>
        <v>90.362763994464899</v>
      </c>
      <c r="R5" s="8">
        <f>[17]Growth_Inputs!E372</f>
        <v>212</v>
      </c>
      <c r="S5" s="8">
        <f>[17]Growth_Inputs!F372</f>
        <v>758</v>
      </c>
      <c r="T5" s="8">
        <f>[17]Growth_Inputs!G372</f>
        <v>2772.489</v>
      </c>
      <c r="U5" s="8">
        <f>[17]Growth_Inputs!H372</f>
        <v>3424.0839999999998</v>
      </c>
      <c r="V5" s="8">
        <f>[17]Growth_Inputs!I372</f>
        <v>3874.0839999999998</v>
      </c>
      <c r="W5" s="8">
        <f>[17]Growth_Inputs!J372</f>
        <v>4324.0839999999998</v>
      </c>
      <c r="X5" s="8">
        <f>[17]Growth_Inputs!K372</f>
        <v>4774.0839999999998</v>
      </c>
      <c r="Y5" s="8">
        <f>[17]Growth_Inputs!L372</f>
        <v>5224.0839999999998</v>
      </c>
      <c r="Z5" s="8">
        <f>[17]Growth_Inputs!M372</f>
        <v>6674.0839999999998</v>
      </c>
      <c r="AA5" s="7"/>
      <c r="AB5" s="7"/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51</v>
      </c>
      <c r="D6" s="3" t="s">
        <v>76</v>
      </c>
      <c r="E6" s="3" t="s">
        <v>75</v>
      </c>
      <c r="F6" s="3" t="s">
        <v>77</v>
      </c>
      <c r="G6" s="3" t="s">
        <v>78</v>
      </c>
      <c r="H6" s="3" t="s">
        <v>79</v>
      </c>
      <c r="I6" s="3" t="s">
        <v>80</v>
      </c>
      <c r="J6" s="3" t="s">
        <v>81</v>
      </c>
      <c r="K6" s="3" t="s">
        <v>82</v>
      </c>
      <c r="L6" s="3" t="s">
        <v>83</v>
      </c>
      <c r="M6" s="3" t="s">
        <v>84</v>
      </c>
      <c r="N6" s="6"/>
      <c r="O6" s="6"/>
      <c r="P6" s="3" t="str">
        <f>'Model names'!C4</f>
        <v>ETS</v>
      </c>
      <c r="Q6" s="8">
        <f>[19]Growth_Inputs!D372</f>
        <v>0</v>
      </c>
      <c r="R6" s="8">
        <f>[19]Growth_Inputs!E372</f>
        <v>0</v>
      </c>
      <c r="S6" s="8">
        <f>[19]Growth_Inputs!F372</f>
        <v>0</v>
      </c>
      <c r="T6" s="8">
        <f>[19]Growth_Inputs!G372</f>
        <v>0</v>
      </c>
      <c r="U6" s="8">
        <f>[19]Growth_Inputs!H372</f>
        <v>0</v>
      </c>
      <c r="V6" s="8">
        <f>[19]Growth_Inputs!I372</f>
        <v>0</v>
      </c>
      <c r="W6" s="8">
        <f>[19]Growth_Inputs!J372</f>
        <v>0</v>
      </c>
      <c r="X6" s="8">
        <f>[19]Growth_Inputs!K372</f>
        <v>0</v>
      </c>
      <c r="Y6" s="8">
        <f>[19]Growth_Inputs!L372</f>
        <v>0</v>
      </c>
      <c r="Z6" s="8">
        <f>[19]Growth_Inputs!M372</f>
        <v>0</v>
      </c>
      <c r="AA6" s="7"/>
      <c r="AB6" s="7"/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51</v>
      </c>
      <c r="D7" s="3" t="s">
        <v>76</v>
      </c>
      <c r="E7" s="3" t="s">
        <v>75</v>
      </c>
      <c r="F7" s="3" t="s">
        <v>77</v>
      </c>
      <c r="G7" s="3" t="s">
        <v>78</v>
      </c>
      <c r="H7" s="3" t="s">
        <v>79</v>
      </c>
      <c r="I7" s="3" t="s">
        <v>80</v>
      </c>
      <c r="J7" s="3" t="s">
        <v>81</v>
      </c>
      <c r="K7" s="3" t="s">
        <v>82</v>
      </c>
      <c r="L7" s="3" t="s">
        <v>83</v>
      </c>
      <c r="M7" s="3" t="s">
        <v>84</v>
      </c>
      <c r="N7" s="6"/>
      <c r="O7" s="6"/>
      <c r="P7" s="3" t="str">
        <f>'Model names'!C5</f>
        <v>HI</v>
      </c>
      <c r="Q7" s="8">
        <f>[21]Growth_Inputs!D372</f>
        <v>1.5623333333332985</v>
      </c>
      <c r="R7" s="8">
        <f>[21]Growth_Inputs!E372</f>
        <v>25</v>
      </c>
      <c r="S7" s="8">
        <f>[21]Growth_Inputs!F372</f>
        <v>26</v>
      </c>
      <c r="T7" s="8">
        <f>[21]Growth_Inputs!G372</f>
        <v>27</v>
      </c>
      <c r="U7" s="8">
        <f>[21]Growth_Inputs!H372</f>
        <v>53</v>
      </c>
      <c r="V7" s="8">
        <f>[21]Growth_Inputs!I372</f>
        <v>55</v>
      </c>
      <c r="W7" s="8">
        <f>[21]Growth_Inputs!J372</f>
        <v>57</v>
      </c>
      <c r="X7" s="8">
        <f>[21]Growth_Inputs!K372</f>
        <v>59</v>
      </c>
      <c r="Y7" s="8">
        <f>[21]Growth_Inputs!L372</f>
        <v>61</v>
      </c>
      <c r="Z7" s="8">
        <f>[21]Growth_Inputs!M372</f>
        <v>88</v>
      </c>
      <c r="AA7" s="7"/>
      <c r="AB7" s="7"/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51</v>
      </c>
      <c r="D8" s="3" t="s">
        <v>76</v>
      </c>
      <c r="E8" s="3" t="s">
        <v>75</v>
      </c>
      <c r="F8" s="3" t="s">
        <v>77</v>
      </c>
      <c r="G8" s="3" t="s">
        <v>78</v>
      </c>
      <c r="H8" s="3" t="s">
        <v>79</v>
      </c>
      <c r="I8" s="3" t="s">
        <v>80</v>
      </c>
      <c r="J8" s="3" t="s">
        <v>81</v>
      </c>
      <c r="K8" s="3" t="s">
        <v>82</v>
      </c>
      <c r="L8" s="3" t="s">
        <v>83</v>
      </c>
      <c r="M8" s="3" t="s">
        <v>84</v>
      </c>
      <c r="N8" s="6"/>
      <c r="O8" s="6"/>
      <c r="P8" s="3" t="str">
        <f>'Model names'!C6</f>
        <v>IA</v>
      </c>
      <c r="Q8" s="8">
        <f>[23]Growth_Inputs!D372</f>
        <v>-17.588476425113384</v>
      </c>
      <c r="R8" s="8">
        <f>[23]Growth_Inputs!E372</f>
        <v>54</v>
      </c>
      <c r="S8" s="8">
        <f>[23]Growth_Inputs!F372</f>
        <v>171</v>
      </c>
      <c r="T8" s="8">
        <f>[23]Growth_Inputs!G372</f>
        <v>238</v>
      </c>
      <c r="U8" s="8">
        <f>[23]Growth_Inputs!H372</f>
        <v>383</v>
      </c>
      <c r="V8" s="8">
        <f>[23]Growth_Inputs!I372</f>
        <v>528</v>
      </c>
      <c r="W8" s="8">
        <f>[23]Growth_Inputs!J372</f>
        <v>673</v>
      </c>
      <c r="X8" s="8">
        <f>[23]Growth_Inputs!K372</f>
        <v>818</v>
      </c>
      <c r="Y8" s="8">
        <f>[23]Growth_Inputs!L372</f>
        <v>963</v>
      </c>
      <c r="Z8" s="8">
        <f>[23]Growth_Inputs!M372</f>
        <v>1108</v>
      </c>
      <c r="AA8" s="7"/>
      <c r="AB8" s="7"/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51</v>
      </c>
      <c r="D9" s="3" t="s">
        <v>76</v>
      </c>
      <c r="E9" s="3" t="s">
        <v>75</v>
      </c>
      <c r="F9" s="3" t="s">
        <v>77</v>
      </c>
      <c r="G9" s="3" t="s">
        <v>78</v>
      </c>
      <c r="H9" s="3" t="s">
        <v>79</v>
      </c>
      <c r="I9" s="3" t="s">
        <v>80</v>
      </c>
      <c r="J9" s="3" t="s">
        <v>81</v>
      </c>
      <c r="K9" s="3" t="s">
        <v>82</v>
      </c>
      <c r="L9" s="3" t="s">
        <v>83</v>
      </c>
      <c r="M9" s="3" t="s">
        <v>84</v>
      </c>
      <c r="N9" s="6"/>
      <c r="O9" s="6"/>
      <c r="P9" s="3" t="str">
        <f>'Model names'!C7</f>
        <v>IL</v>
      </c>
      <c r="Q9" s="8">
        <f>[25]Growth_Inputs!D372</f>
        <v>-10.336448003814155</v>
      </c>
      <c r="R9" s="8">
        <f>[25]Growth_Inputs!E372</f>
        <v>760</v>
      </c>
      <c r="S9" s="8">
        <f>[25]Growth_Inputs!F372</f>
        <v>1500</v>
      </c>
      <c r="T9" s="8">
        <f>[25]Growth_Inputs!G372</f>
        <v>2650</v>
      </c>
      <c r="U9" s="8">
        <f>[25]Growth_Inputs!H372</f>
        <v>3880</v>
      </c>
      <c r="V9" s="8">
        <f>[25]Growth_Inputs!I372</f>
        <v>4850</v>
      </c>
      <c r="W9" s="8">
        <f>[25]Growth_Inputs!J372</f>
        <v>5866</v>
      </c>
      <c r="X9" s="8">
        <f>[25]Growth_Inputs!K372</f>
        <v>6569</v>
      </c>
      <c r="Y9" s="8">
        <f>[25]Growth_Inputs!L372</f>
        <v>8081</v>
      </c>
      <c r="Z9" s="8">
        <f>[25]Growth_Inputs!M372</f>
        <v>9635</v>
      </c>
      <c r="AA9" s="7"/>
      <c r="AB9" s="7"/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51</v>
      </c>
      <c r="D10" s="3" t="s">
        <v>76</v>
      </c>
      <c r="E10" s="3" t="s">
        <v>75</v>
      </c>
      <c r="F10" s="3" t="s">
        <v>77</v>
      </c>
      <c r="G10" s="3" t="s">
        <v>78</v>
      </c>
      <c r="H10" s="3" t="s">
        <v>79</v>
      </c>
      <c r="I10" s="3" t="s">
        <v>80</v>
      </c>
      <c r="J10" s="3" t="s">
        <v>81</v>
      </c>
      <c r="K10" s="3" t="s">
        <v>82</v>
      </c>
      <c r="L10" s="3" t="s">
        <v>83</v>
      </c>
      <c r="M10" s="3" t="s">
        <v>84</v>
      </c>
      <c r="N10" s="6"/>
      <c r="O10" s="6"/>
      <c r="P10" s="3" t="str">
        <f>'Model names'!C8</f>
        <v>IN</v>
      </c>
      <c r="Q10" s="8">
        <f>[27]Growth_Inputs!D372</f>
        <v>429.29587891728374</v>
      </c>
      <c r="R10" s="8">
        <f>[27]Growth_Inputs!E372</f>
        <v>1570.1424999999999</v>
      </c>
      <c r="S10" s="8">
        <f>[27]Growth_Inputs!F372</f>
        <v>4640.2849999999999</v>
      </c>
      <c r="T10" s="8">
        <f>[27]Growth_Inputs!G372</f>
        <v>5140.2849999999999</v>
      </c>
      <c r="U10" s="8">
        <f>[27]Growth_Inputs!H372</f>
        <v>6140.2849999999999</v>
      </c>
      <c r="V10" s="8">
        <f>[27]Growth_Inputs!I372</f>
        <v>6640.2849999999999</v>
      </c>
      <c r="W10" s="8">
        <f>[27]Growth_Inputs!J372</f>
        <v>9640.2849999999999</v>
      </c>
      <c r="X10" s="8">
        <f>[27]Growth_Inputs!K372</f>
        <v>10340.285</v>
      </c>
      <c r="Y10" s="8">
        <f>[27]Growth_Inputs!L372</f>
        <v>11040.285</v>
      </c>
      <c r="Z10" s="8">
        <f>[27]Growth_Inputs!M372</f>
        <v>11740.285</v>
      </c>
      <c r="AA10" s="7"/>
      <c r="AB10" s="7"/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51</v>
      </c>
      <c r="D11" s="3" t="s">
        <v>76</v>
      </c>
      <c r="E11" s="3" t="s">
        <v>75</v>
      </c>
      <c r="F11" s="3" t="s">
        <v>77</v>
      </c>
      <c r="G11" s="3" t="s">
        <v>78</v>
      </c>
      <c r="H11" s="3" t="s">
        <v>79</v>
      </c>
      <c r="I11" s="3" t="s">
        <v>80</v>
      </c>
      <c r="J11" s="3" t="s">
        <v>81</v>
      </c>
      <c r="K11" s="3" t="s">
        <v>82</v>
      </c>
      <c r="L11" s="3" t="s">
        <v>83</v>
      </c>
      <c r="M11" s="3" t="s">
        <v>84</v>
      </c>
      <c r="N11" s="6"/>
      <c r="O11" s="6"/>
      <c r="P11" s="3" t="str">
        <f>'Model names'!C9</f>
        <v>KY</v>
      </c>
      <c r="Q11" s="8">
        <f>[29]Growth_Inputs!D372</f>
        <v>149.05071841580832</v>
      </c>
      <c r="R11" s="8">
        <f>[29]Growth_Inputs!E372</f>
        <v>479.80071841580832</v>
      </c>
      <c r="S11" s="8">
        <f>[29]Growth_Inputs!F372</f>
        <v>878.71738508247495</v>
      </c>
      <c r="T11" s="8">
        <f>[29]Growth_Inputs!G372</f>
        <v>1140.1392628844865</v>
      </c>
      <c r="U11" s="8">
        <f>[29]Growth_Inputs!H372</f>
        <v>1367.6444001236805</v>
      </c>
      <c r="V11" s="8">
        <f>[29]Growth_Inputs!I372</f>
        <v>1918.2106632011469</v>
      </c>
      <c r="W11" s="8">
        <f>[29]Growth_Inputs!J372</f>
        <v>2418.9574770727577</v>
      </c>
      <c r="X11" s="8">
        <f>[29]Growth_Inputs!K372</f>
        <v>3679.2889147855649</v>
      </c>
      <c r="Y11" s="8">
        <f>[29]Growth_Inputs!L372</f>
        <v>4237.9106651678485</v>
      </c>
      <c r="Z11" s="8">
        <f>[29]Growth_Inputs!M372</f>
        <v>5137.2969515980521</v>
      </c>
      <c r="AA11" s="7"/>
      <c r="AB11" s="7"/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51</v>
      </c>
      <c r="D12" s="3" t="s">
        <v>76</v>
      </c>
      <c r="E12" s="3" t="s">
        <v>75</v>
      </c>
      <c r="F12" s="3" t="s">
        <v>77</v>
      </c>
      <c r="G12" s="3" t="s">
        <v>78</v>
      </c>
      <c r="H12" s="3" t="s">
        <v>79</v>
      </c>
      <c r="I12" s="3" t="s">
        <v>80</v>
      </c>
      <c r="J12" s="3" t="s">
        <v>81</v>
      </c>
      <c r="K12" s="3" t="s">
        <v>82</v>
      </c>
      <c r="L12" s="3" t="s">
        <v>83</v>
      </c>
      <c r="M12" s="3" t="s">
        <v>84</v>
      </c>
      <c r="N12" s="6"/>
      <c r="O12" s="6"/>
      <c r="P12" s="3" t="str">
        <f>'Model names'!C10</f>
        <v>Liberty</v>
      </c>
      <c r="Q12" s="8">
        <f>[31]Growth_Inputs!D372</f>
        <v>0</v>
      </c>
      <c r="R12" s="8">
        <f>[31]Growth_Inputs!E372</f>
        <v>0</v>
      </c>
      <c r="S12" s="8">
        <f>[31]Growth_Inputs!F372</f>
        <v>0</v>
      </c>
      <c r="T12" s="8">
        <f>[31]Growth_Inputs!G372</f>
        <v>0</v>
      </c>
      <c r="U12" s="8">
        <f>[31]Growth_Inputs!H372</f>
        <v>0</v>
      </c>
      <c r="V12" s="8">
        <f>[31]Growth_Inputs!I372</f>
        <v>0</v>
      </c>
      <c r="W12" s="8">
        <f>[31]Growth_Inputs!J372</f>
        <v>0</v>
      </c>
      <c r="X12" s="8">
        <f>[31]Growth_Inputs!K372</f>
        <v>0</v>
      </c>
      <c r="Y12" s="8">
        <f>[31]Growth_Inputs!L372</f>
        <v>0</v>
      </c>
      <c r="Z12" s="8">
        <f>[31]Growth_Inputs!M372</f>
        <v>0</v>
      </c>
      <c r="AA12" s="7"/>
      <c r="AB12" s="7"/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51</v>
      </c>
      <c r="D13" s="3" t="s">
        <v>76</v>
      </c>
      <c r="E13" s="3" t="s">
        <v>75</v>
      </c>
      <c r="F13" s="3" t="s">
        <v>77</v>
      </c>
      <c r="G13" s="3" t="s">
        <v>78</v>
      </c>
      <c r="H13" s="3" t="s">
        <v>79</v>
      </c>
      <c r="I13" s="3" t="s">
        <v>80</v>
      </c>
      <c r="J13" s="3" t="s">
        <v>81</v>
      </c>
      <c r="K13" s="3" t="s">
        <v>82</v>
      </c>
      <c r="L13" s="3" t="s">
        <v>83</v>
      </c>
      <c r="M13" s="3" t="s">
        <v>84</v>
      </c>
      <c r="N13" s="6"/>
      <c r="O13" s="6"/>
      <c r="P13" s="3" t="str">
        <f>'Model names'!C11</f>
        <v>LW</v>
      </c>
      <c r="Q13" s="8">
        <f>[33]Growth_Inputs!D372</f>
        <v>0</v>
      </c>
      <c r="R13" s="8">
        <f>[33]Growth_Inputs!E372</f>
        <v>0</v>
      </c>
      <c r="S13" s="8">
        <f>[33]Growth_Inputs!F372</f>
        <v>0</v>
      </c>
      <c r="T13" s="8">
        <f>[33]Growth_Inputs!G372</f>
        <v>0</v>
      </c>
      <c r="U13" s="8">
        <f>[33]Growth_Inputs!H372</f>
        <v>0</v>
      </c>
      <c r="V13" s="8">
        <f>[33]Growth_Inputs!I372</f>
        <v>0</v>
      </c>
      <c r="W13" s="8">
        <f>[33]Growth_Inputs!J372</f>
        <v>0</v>
      </c>
      <c r="X13" s="8">
        <f>[33]Growth_Inputs!K372</f>
        <v>0</v>
      </c>
      <c r="Y13" s="8">
        <f>[33]Growth_Inputs!L372</f>
        <v>0</v>
      </c>
      <c r="Z13" s="8">
        <f>[33]Growth_Inputs!M372</f>
        <v>0</v>
      </c>
      <c r="AA13" s="7"/>
      <c r="AB13" s="7"/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tr">
        <f>IF(B14=0,"",C13)</f>
        <v>Growth_Inputs</v>
      </c>
      <c r="D14" s="3" t="s">
        <v>76</v>
      </c>
      <c r="E14" s="3" t="s">
        <v>75</v>
      </c>
      <c r="F14" s="3" t="s">
        <v>77</v>
      </c>
      <c r="G14" s="3" t="s">
        <v>78</v>
      </c>
      <c r="H14" s="3" t="s">
        <v>79</v>
      </c>
      <c r="I14" s="3" t="s">
        <v>80</v>
      </c>
      <c r="J14" s="3" t="s">
        <v>81</v>
      </c>
      <c r="K14" s="3" t="s">
        <v>82</v>
      </c>
      <c r="L14" s="3" t="s">
        <v>83</v>
      </c>
      <c r="M14" s="3" t="s">
        <v>84</v>
      </c>
      <c r="N14" s="6"/>
      <c r="O14" s="6"/>
      <c r="P14" s="3" t="str">
        <f>'Model names'!C12</f>
        <v>MD</v>
      </c>
      <c r="Q14" s="8">
        <f>[35]Growth_Inputs!D372</f>
        <v>5.7574290005984032</v>
      </c>
      <c r="R14" s="8">
        <f>[35]Growth_Inputs!E372</f>
        <v>85.168999999999997</v>
      </c>
      <c r="S14" s="8">
        <f>[35]Growth_Inputs!F372</f>
        <v>114.169</v>
      </c>
      <c r="T14" s="8">
        <f>[35]Growth_Inputs!G372</f>
        <v>122.169</v>
      </c>
      <c r="U14" s="8">
        <f>[35]Growth_Inputs!H372</f>
        <v>124.169</v>
      </c>
      <c r="V14" s="8">
        <f>[35]Growth_Inputs!I372</f>
        <v>135.16899999999998</v>
      </c>
      <c r="W14" s="8">
        <f>[35]Growth_Inputs!J372</f>
        <v>146.16899999999998</v>
      </c>
      <c r="X14" s="8">
        <f>[35]Growth_Inputs!K372</f>
        <v>157.16899999999998</v>
      </c>
      <c r="Y14" s="8">
        <f>[35]Growth_Inputs!L372</f>
        <v>168.16899999999998</v>
      </c>
      <c r="Z14" s="8">
        <f>[35]Growth_Inputs!M372</f>
        <v>179.16899999999998</v>
      </c>
      <c r="AA14" s="7"/>
      <c r="AB14" s="7"/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tr">
        <f t="shared" ref="C15:C20" si="0">IF(B15=0,"",C14)</f>
        <v>Growth_Inputs</v>
      </c>
      <c r="D15" s="3" t="s">
        <v>76</v>
      </c>
      <c r="E15" s="3" t="s">
        <v>75</v>
      </c>
      <c r="F15" s="3" t="s">
        <v>77</v>
      </c>
      <c r="G15" s="3" t="s">
        <v>78</v>
      </c>
      <c r="H15" s="3" t="s">
        <v>79</v>
      </c>
      <c r="I15" s="3" t="s">
        <v>80</v>
      </c>
      <c r="J15" s="3" t="s">
        <v>81</v>
      </c>
      <c r="K15" s="3" t="s">
        <v>82</v>
      </c>
      <c r="L15" s="3" t="s">
        <v>83</v>
      </c>
      <c r="M15" s="3" t="s">
        <v>84</v>
      </c>
      <c r="N15" s="6"/>
      <c r="O15" s="6"/>
      <c r="P15" s="3" t="str">
        <f>'Model names'!C13</f>
        <v>MI</v>
      </c>
      <c r="Q15" s="8">
        <f>[37]Growth_Inputs!D372</f>
        <v>0</v>
      </c>
      <c r="R15" s="8">
        <f>[37]Growth_Inputs!E372</f>
        <v>0</v>
      </c>
      <c r="S15" s="8">
        <f>[37]Growth_Inputs!F372</f>
        <v>0</v>
      </c>
      <c r="T15" s="8">
        <f>[37]Growth_Inputs!G372</f>
        <v>0</v>
      </c>
      <c r="U15" s="8">
        <f>[37]Growth_Inputs!H372</f>
        <v>0</v>
      </c>
      <c r="V15" s="8">
        <f>[37]Growth_Inputs!I372</f>
        <v>0</v>
      </c>
      <c r="W15" s="8">
        <f>[37]Growth_Inputs!J372</f>
        <v>0</v>
      </c>
      <c r="X15" s="8">
        <f>[37]Growth_Inputs!K372</f>
        <v>0</v>
      </c>
      <c r="Y15" s="8">
        <f>[37]Growth_Inputs!L372</f>
        <v>0</v>
      </c>
      <c r="Z15" s="8">
        <f>[37]Growth_Inputs!M372</f>
        <v>0</v>
      </c>
      <c r="AA15" s="7"/>
      <c r="AB15" s="7"/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tr">
        <f t="shared" si="0"/>
        <v>Growth_Inputs</v>
      </c>
      <c r="D16" s="3" t="s">
        <v>76</v>
      </c>
      <c r="E16" s="3" t="s">
        <v>75</v>
      </c>
      <c r="F16" s="3" t="s">
        <v>77</v>
      </c>
      <c r="G16" s="3" t="s">
        <v>78</v>
      </c>
      <c r="H16" s="3" t="s">
        <v>79</v>
      </c>
      <c r="I16" s="3" t="s">
        <v>80</v>
      </c>
      <c r="J16" s="3" t="s">
        <v>81</v>
      </c>
      <c r="K16" s="3" t="s">
        <v>82</v>
      </c>
      <c r="L16" s="3" t="s">
        <v>83</v>
      </c>
      <c r="M16" s="3" t="s">
        <v>84</v>
      </c>
      <c r="N16" s="6"/>
      <c r="O16" s="6"/>
      <c r="P16" s="3" t="str">
        <f>'Model names'!C14</f>
        <v>MO</v>
      </c>
      <c r="Q16" s="8">
        <f>[39]Growth_Inputs!D372</f>
        <v>470.10299634262674</v>
      </c>
      <c r="R16" s="8">
        <f>[39]Growth_Inputs!E372</f>
        <v>1071.1544349338506</v>
      </c>
      <c r="S16" s="8">
        <f>[39]Growth_Inputs!F372</f>
        <v>1887.7418319837309</v>
      </c>
      <c r="T16" s="8">
        <f>[39]Growth_Inputs!G372</f>
        <v>2824.6911352602206</v>
      </c>
      <c r="U16" s="8">
        <f>[39]Growth_Inputs!H372</f>
        <v>3856.6903475336649</v>
      </c>
      <c r="V16" s="8">
        <f>[39]Growth_Inputs!I372</f>
        <v>5007.310949340138</v>
      </c>
      <c r="W16" s="8">
        <f>[39]Growth_Inputs!J372</f>
        <v>6269.7994388537154</v>
      </c>
      <c r="X16" s="8">
        <f>[39]Growth_Inputs!K372</f>
        <v>7632.9946418326899</v>
      </c>
      <c r="Y16" s="8">
        <f>[39]Growth_Inputs!L372</f>
        <v>9096.3537809280242</v>
      </c>
      <c r="Z16" s="8">
        <f>[39]Growth_Inputs!M372</f>
        <v>10707.770683590637</v>
      </c>
      <c r="AA16" s="7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tr">
        <f t="shared" si="0"/>
        <v>Growth_Inputs</v>
      </c>
      <c r="D17" s="3" t="s">
        <v>76</v>
      </c>
      <c r="E17" s="3" t="s">
        <v>75</v>
      </c>
      <c r="F17" s="3" t="s">
        <v>77</v>
      </c>
      <c r="G17" s="3" t="s">
        <v>78</v>
      </c>
      <c r="H17" s="3" t="s">
        <v>79</v>
      </c>
      <c r="I17" s="3" t="s">
        <v>80</v>
      </c>
      <c r="J17" s="3" t="s">
        <v>81</v>
      </c>
      <c r="K17" s="3" t="s">
        <v>82</v>
      </c>
      <c r="L17" s="3" t="s">
        <v>83</v>
      </c>
      <c r="M17" s="3" t="s">
        <v>84</v>
      </c>
      <c r="N17" s="6"/>
      <c r="O17" s="6"/>
      <c r="P17" s="3" t="str">
        <f>'Model names'!C15</f>
        <v>NJ</v>
      </c>
      <c r="Q17" s="8">
        <f>[41]Growth_Inputs!D372</f>
        <v>0.61427028808930118</v>
      </c>
      <c r="R17" s="8">
        <f>[41]Growth_Inputs!E372</f>
        <v>1000.6142702880893</v>
      </c>
      <c r="S17" s="8">
        <f>[41]Growth_Inputs!F372</f>
        <v>2400</v>
      </c>
      <c r="T17" s="8">
        <f>[41]Growth_Inputs!G372</f>
        <v>4400</v>
      </c>
      <c r="U17" s="8">
        <f>[41]Growth_Inputs!H372</f>
        <v>10250</v>
      </c>
      <c r="V17" s="8">
        <f>[41]Growth_Inputs!I372</f>
        <v>10250</v>
      </c>
      <c r="W17" s="8">
        <f>[41]Growth_Inputs!J372</f>
        <v>10250</v>
      </c>
      <c r="X17" s="8">
        <f>[41]Growth_Inputs!K372</f>
        <v>12250</v>
      </c>
      <c r="Y17" s="8">
        <f>[41]Growth_Inputs!L372</f>
        <v>12250</v>
      </c>
      <c r="Z17" s="8">
        <f>[41]Growth_Inputs!M372</f>
        <v>12250</v>
      </c>
      <c r="AA17" s="7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tr">
        <f t="shared" si="0"/>
        <v>Growth_Inputs</v>
      </c>
      <c r="D18" s="3" t="s">
        <v>76</v>
      </c>
      <c r="E18" s="3" t="s">
        <v>75</v>
      </c>
      <c r="F18" s="3" t="s">
        <v>77</v>
      </c>
      <c r="G18" s="3" t="s">
        <v>78</v>
      </c>
      <c r="H18" s="3" t="s">
        <v>79</v>
      </c>
      <c r="I18" s="3" t="s">
        <v>80</v>
      </c>
      <c r="J18" s="3" t="s">
        <v>81</v>
      </c>
      <c r="K18" s="3" t="s">
        <v>82</v>
      </c>
      <c r="L18" s="3" t="s">
        <v>83</v>
      </c>
      <c r="M18" s="3" t="s">
        <v>84</v>
      </c>
      <c r="N18" s="6"/>
      <c r="O18" s="6"/>
      <c r="P18" s="3" t="str">
        <f>'Model names'!C16</f>
        <v>NY</v>
      </c>
      <c r="Q18" s="8">
        <f>[43]Growth_Inputs!D372</f>
        <v>10.032629097639173</v>
      </c>
      <c r="R18" s="8">
        <f>[43]Growth_Inputs!E372</f>
        <v>111.07203999999999</v>
      </c>
      <c r="S18" s="8">
        <f>[43]Growth_Inputs!F372</f>
        <v>166.79768199999998</v>
      </c>
      <c r="T18" s="8">
        <f>[43]Growth_Inputs!G372</f>
        <v>348.32838343749995</v>
      </c>
      <c r="U18" s="8">
        <f>[43]Growth_Inputs!H372</f>
        <v>477.96762139562486</v>
      </c>
      <c r="V18" s="8">
        <f>[43]Growth_Inputs!I372</f>
        <v>613.94361601200762</v>
      </c>
      <c r="W18" s="8">
        <f>[43]Growth_Inputs!J372</f>
        <v>756.49218059583723</v>
      </c>
      <c r="X18" s="8">
        <f>[43]Growth_Inputs!K372</f>
        <v>905.85695864885076</v>
      </c>
      <c r="Y18" s="8">
        <f>[43]Growth_Inputs!L372</f>
        <v>1062.2896679916425</v>
      </c>
      <c r="Z18" s="8">
        <f>[43]Growth_Inputs!M372</f>
        <v>1226.0503522024183</v>
      </c>
      <c r="AA18" s="7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tr">
        <f t="shared" si="0"/>
        <v>Growth_Inputs</v>
      </c>
      <c r="D19" s="3" t="s">
        <v>76</v>
      </c>
      <c r="E19" s="3" t="s">
        <v>75</v>
      </c>
      <c r="F19" s="3" t="s">
        <v>77</v>
      </c>
      <c r="G19" s="3" t="s">
        <v>78</v>
      </c>
      <c r="H19" s="3" t="s">
        <v>79</v>
      </c>
      <c r="I19" s="3" t="s">
        <v>80</v>
      </c>
      <c r="J19" s="3" t="s">
        <v>81</v>
      </c>
      <c r="K19" s="3" t="s">
        <v>82</v>
      </c>
      <c r="L19" s="3" t="s">
        <v>83</v>
      </c>
      <c r="M19" s="3" t="s">
        <v>84</v>
      </c>
      <c r="N19" s="6"/>
      <c r="O19" s="6"/>
      <c r="P19" s="3" t="str">
        <f>'Model names'!C17</f>
        <v>PA</v>
      </c>
      <c r="Q19" s="8">
        <f>[45]Growth_Inputs!D372</f>
        <v>1179.0853555746285</v>
      </c>
      <c r="R19" s="8">
        <f>[45]Growth_Inputs!E372</f>
        <v>3760.4388363244061</v>
      </c>
      <c r="S19" s="8">
        <f>[45]Growth_Inputs!F372</f>
        <v>6481.4920179906348</v>
      </c>
      <c r="T19" s="8">
        <f>[45]Growth_Inputs!G372</f>
        <v>15007.183273789136</v>
      </c>
      <c r="U19" s="8">
        <f>[45]Growth_Inputs!H372</f>
        <v>18275.992044439259</v>
      </c>
      <c r="V19" s="8">
        <f>[45]Growth_Inputs!I372</f>
        <v>21555.755931192136</v>
      </c>
      <c r="W19" s="8">
        <f>[45]Growth_Inputs!J372</f>
        <v>31795.955449660425</v>
      </c>
      <c r="X19" s="8">
        <f>[45]Growth_Inputs!K372</f>
        <v>35630.531776873853</v>
      </c>
      <c r="Y19" s="8">
        <f>[45]Growth_Inputs!L372</f>
        <v>39489.072766962039</v>
      </c>
      <c r="Z19" s="8">
        <f>[45]Growth_Inputs!M372</f>
        <v>51736.553827137461</v>
      </c>
      <c r="AA19" s="7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tr">
        <f t="shared" si="0"/>
        <v>Growth_Inputs</v>
      </c>
      <c r="D20" s="3" t="s">
        <v>76</v>
      </c>
      <c r="E20" s="3" t="s">
        <v>75</v>
      </c>
      <c r="F20" s="3" t="s">
        <v>77</v>
      </c>
      <c r="G20" s="3" t="s">
        <v>78</v>
      </c>
      <c r="H20" s="3" t="s">
        <v>79</v>
      </c>
      <c r="I20" s="3" t="s">
        <v>80</v>
      </c>
      <c r="J20" s="3" t="s">
        <v>81</v>
      </c>
      <c r="K20" s="3" t="s">
        <v>82</v>
      </c>
      <c r="L20" s="3" t="s">
        <v>83</v>
      </c>
      <c r="M20" s="3" t="s">
        <v>84</v>
      </c>
      <c r="N20" s="6"/>
      <c r="O20" s="6"/>
      <c r="P20" s="3" t="str">
        <f>'Model names'!C18</f>
        <v>TN</v>
      </c>
      <c r="Q20" s="8">
        <f>[47]Growth_Inputs!D372</f>
        <v>91.075407183036702</v>
      </c>
      <c r="R20" s="8">
        <f>[47]Growth_Inputs!E372</f>
        <v>232.96300833333333</v>
      </c>
      <c r="S20" s="8">
        <f>[47]Growth_Inputs!F372</f>
        <v>673.67709166666668</v>
      </c>
      <c r="T20" s="8">
        <f>[47]Growth_Inputs!G372</f>
        <v>1268.2550916666667</v>
      </c>
      <c r="U20" s="8">
        <f>[47]Growth_Inputs!H372</f>
        <v>1645.527425</v>
      </c>
      <c r="V20" s="8">
        <f>[47]Growth_Inputs!I372</f>
        <v>3193.544425</v>
      </c>
      <c r="W20" s="8">
        <f>[47]Growth_Inputs!J372</f>
        <v>3758.5888416666667</v>
      </c>
      <c r="X20" s="8">
        <f>[47]Growth_Inputs!K372</f>
        <v>5574.7310083333332</v>
      </c>
      <c r="Y20" s="8">
        <f>[47]Growth_Inputs!L372</f>
        <v>7523.971258333333</v>
      </c>
      <c r="Z20" s="8">
        <f>[47]Growth_Inputs!M372</f>
        <v>8584.8498416666662</v>
      </c>
      <c r="AA20" s="7"/>
      <c r="AB20" s="7"/>
      <c r="AC20" s="8"/>
      <c r="AG20" s="5"/>
      <c r="AH20" s="5"/>
    </row>
    <row r="21" spans="1:34" hidden="1" outlineLevel="1" x14ac:dyDescent="0.3">
      <c r="A21" s="2" t="str">
        <f t="shared" ref="A21:A33" si="1">IF(B21=0,"",A20)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tr">
        <f t="shared" ref="C21:C33" si="2">IF(B21=0,"",C20)</f>
        <v>Growth_Inputs</v>
      </c>
      <c r="D21" s="3" t="s">
        <v>76</v>
      </c>
      <c r="E21" s="3" t="s">
        <v>75</v>
      </c>
      <c r="F21" s="3" t="s">
        <v>77</v>
      </c>
      <c r="G21" s="3" t="s">
        <v>78</v>
      </c>
      <c r="H21" s="3" t="s">
        <v>79</v>
      </c>
      <c r="I21" s="3" t="s">
        <v>80</v>
      </c>
      <c r="J21" s="3" t="s">
        <v>81</v>
      </c>
      <c r="K21" s="3" t="s">
        <v>82</v>
      </c>
      <c r="L21" s="3" t="s">
        <v>83</v>
      </c>
      <c r="M21" s="3" t="s">
        <v>84</v>
      </c>
      <c r="N21" s="6"/>
      <c r="O21" s="6"/>
      <c r="P21" s="3" t="str">
        <f>'Model names'!C19</f>
        <v>VA</v>
      </c>
      <c r="Q21" s="8">
        <f>[49]Growth_Inputs!D372</f>
        <v>47.571267161396293</v>
      </c>
      <c r="R21" s="8">
        <f>[49]Growth_Inputs!E372</f>
        <v>516</v>
      </c>
      <c r="S21" s="8">
        <f>[49]Growth_Inputs!F372</f>
        <v>609</v>
      </c>
      <c r="T21" s="8">
        <f>[49]Growth_Inputs!G372</f>
        <v>609</v>
      </c>
      <c r="U21" s="8">
        <f>[49]Growth_Inputs!H372</f>
        <v>609</v>
      </c>
      <c r="V21" s="8">
        <f>[49]Growth_Inputs!I372</f>
        <v>709</v>
      </c>
      <c r="W21" s="8">
        <f>[49]Growth_Inputs!J372</f>
        <v>709</v>
      </c>
      <c r="X21" s="8">
        <f>[49]Growth_Inputs!K372</f>
        <v>709</v>
      </c>
      <c r="Y21" s="8">
        <f>[49]Growth_Inputs!L372</f>
        <v>809</v>
      </c>
      <c r="Z21" s="8">
        <f>[49]Growth_Inputs!M372</f>
        <v>1009</v>
      </c>
      <c r="AA21" s="8"/>
      <c r="AB21" s="8"/>
      <c r="AC21" s="8"/>
    </row>
    <row r="22" spans="1:34" hidden="1" outlineLevel="1" x14ac:dyDescent="0.3">
      <c r="A22" s="2" t="str">
        <f t="shared" si="1"/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tr">
        <f t="shared" si="2"/>
        <v>Growth_Inputs</v>
      </c>
      <c r="D22" s="3" t="s">
        <v>76</v>
      </c>
      <c r="E22" s="3" t="s">
        <v>75</v>
      </c>
      <c r="F22" s="3" t="s">
        <v>77</v>
      </c>
      <c r="G22" s="3" t="s">
        <v>78</v>
      </c>
      <c r="H22" s="3" t="s">
        <v>79</v>
      </c>
      <c r="I22" s="3" t="s">
        <v>80</v>
      </c>
      <c r="J22" s="3" t="s">
        <v>81</v>
      </c>
      <c r="K22" s="3" t="s">
        <v>82</v>
      </c>
      <c r="L22" s="3" t="s">
        <v>83</v>
      </c>
      <c r="M22" s="3" t="s">
        <v>84</v>
      </c>
      <c r="N22" s="6"/>
      <c r="O22" s="6"/>
      <c r="P22" s="3" t="str">
        <f>'Model names'!C20</f>
        <v>WV</v>
      </c>
      <c r="Q22" s="8">
        <f>[51]Growth_Inputs!D372</f>
        <v>380.7795376551212</v>
      </c>
      <c r="R22" s="8">
        <f>[51]Growth_Inputs!E372</f>
        <v>943</v>
      </c>
      <c r="S22" s="8">
        <f>[51]Growth_Inputs!F372</f>
        <v>1172.45</v>
      </c>
      <c r="T22" s="8">
        <f>[51]Growth_Inputs!G372</f>
        <v>2190</v>
      </c>
      <c r="U22" s="8">
        <f>[51]Growth_Inputs!H372</f>
        <v>2490</v>
      </c>
      <c r="V22" s="8">
        <f>[51]Growth_Inputs!I372</f>
        <v>2880.15</v>
      </c>
      <c r="W22" s="8">
        <f>[51]Growth_Inputs!J372</f>
        <v>3484.6724999999997</v>
      </c>
      <c r="X22" s="8">
        <f>[51]Growth_Inputs!K372</f>
        <v>3877.269225</v>
      </c>
      <c r="Y22" s="8">
        <f>[51]Growth_Inputs!L372</f>
        <v>4270.0419172500006</v>
      </c>
      <c r="Z22" s="8">
        <f>[51]Growth_Inputs!M372</f>
        <v>4662.9923364224996</v>
      </c>
      <c r="AA22" s="8"/>
      <c r="AB22" s="8"/>
      <c r="AC22" s="8"/>
    </row>
    <row r="23" spans="1:34" hidden="1" outlineLevel="1" x14ac:dyDescent="0.3">
      <c r="A23" s="2" t="str">
        <f t="shared" si="1"/>
        <v/>
      </c>
      <c r="B23" s="3">
        <f>'Model names'!B21</f>
        <v>0</v>
      </c>
      <c r="C23" s="3" t="str">
        <f t="shared" si="2"/>
        <v/>
      </c>
      <c r="D23" s="3" t="s">
        <v>76</v>
      </c>
      <c r="E23" s="3" t="s">
        <v>75</v>
      </c>
      <c r="F23" s="3" t="s">
        <v>77</v>
      </c>
      <c r="G23" s="3" t="s">
        <v>78</v>
      </c>
      <c r="H23" s="3" t="s">
        <v>79</v>
      </c>
      <c r="I23" s="3" t="s">
        <v>80</v>
      </c>
      <c r="J23" s="3" t="s">
        <v>81</v>
      </c>
      <c r="K23" s="3" t="s">
        <v>82</v>
      </c>
      <c r="L23" s="3" t="s">
        <v>83</v>
      </c>
      <c r="M23" s="3" t="s">
        <v>84</v>
      </c>
      <c r="N23" s="6"/>
      <c r="O23" s="6"/>
      <c r="P23" s="3">
        <f>'Model names'!C21</f>
        <v>0</v>
      </c>
      <c r="Q23" s="8">
        <f>[53]Growth_Inputs!D372</f>
        <v>110.77149980172919</v>
      </c>
      <c r="R23" s="8">
        <f>[53]Growth_Inputs!E372</f>
        <v>664.62899881037515</v>
      </c>
      <c r="S23" s="8">
        <f>[53]Growth_Inputs!F372</f>
        <v>964.62899881037515</v>
      </c>
      <c r="T23" s="8">
        <f>[53]Growth_Inputs!G372</f>
        <v>1114.6289988103752</v>
      </c>
      <c r="U23" s="8">
        <f>[53]Growth_Inputs!H372</f>
        <v>1564.6289988103752</v>
      </c>
      <c r="V23" s="8">
        <f>[53]Growth_Inputs!I372</f>
        <v>1714.6289988103752</v>
      </c>
      <c r="W23" s="8">
        <f>[53]Growth_Inputs!J372</f>
        <v>1864.6289988103752</v>
      </c>
      <c r="X23" s="8">
        <f>[53]Growth_Inputs!K372</f>
        <v>2014.6289988103752</v>
      </c>
      <c r="Y23" s="8">
        <f>[53]Growth_Inputs!L372</f>
        <v>2164.6289988103754</v>
      </c>
      <c r="Z23" s="8">
        <f>[53]Growth_Inputs!M372</f>
        <v>2314.6289988103754</v>
      </c>
      <c r="AA23" s="8"/>
      <c r="AB23" s="8"/>
      <c r="AC23" s="8"/>
    </row>
    <row r="24" spans="1:34" hidden="1" outlineLevel="1" x14ac:dyDescent="0.3">
      <c r="A24" s="2" t="e">
        <f t="shared" si="1"/>
        <v>#REF!</v>
      </c>
      <c r="B24" s="3" t="e">
        <f>'Model names'!#REF!</f>
        <v>#REF!</v>
      </c>
      <c r="C24" s="3" t="e">
        <f t="shared" si="2"/>
        <v>#REF!</v>
      </c>
      <c r="D24" s="3" t="s">
        <v>76</v>
      </c>
      <c r="E24" s="3" t="s">
        <v>75</v>
      </c>
      <c r="F24" s="3" t="s">
        <v>77</v>
      </c>
      <c r="G24" s="3" t="s">
        <v>78</v>
      </c>
      <c r="H24" s="3" t="s">
        <v>79</v>
      </c>
      <c r="I24" s="3" t="s">
        <v>80</v>
      </c>
      <c r="J24" s="3" t="s">
        <v>81</v>
      </c>
      <c r="K24" s="3" t="s">
        <v>82</v>
      </c>
      <c r="L24" s="3" t="s">
        <v>83</v>
      </c>
      <c r="M24" s="3" t="s">
        <v>84</v>
      </c>
      <c r="N24" s="6"/>
      <c r="O24" s="6"/>
      <c r="P24" s="3" t="e">
        <f>'Model names'!#REF!</f>
        <v>#REF!</v>
      </c>
      <c r="Q24" s="8">
        <f>[54]Growth_Inputs!D372</f>
        <v>4106.0134159539284</v>
      </c>
      <c r="R24" s="8">
        <f>[54]Growth_Inputs!E372</f>
        <v>6617.2634159539284</v>
      </c>
      <c r="S24" s="8">
        <f>[54]Growth_Inputs!F372</f>
        <v>9989.5134159539266</v>
      </c>
      <c r="T24" s="8">
        <f>[54]Growth_Inputs!G372</f>
        <v>13528.806384703927</v>
      </c>
      <c r="U24" s="8">
        <f>[54]Growth_Inputs!H372</f>
        <v>17241.386814391422</v>
      </c>
      <c r="V24" s="8">
        <f>[54]Growth_Inputs!I372</f>
        <v>21529.699894469544</v>
      </c>
      <c r="W24" s="8">
        <f>[54]Growth_Inputs!J372</f>
        <v>26024.219020177552</v>
      </c>
      <c r="X24" s="8">
        <f>[54]Growth_Inputs!K372</f>
        <v>30732.574298121886</v>
      </c>
      <c r="Y24" s="8">
        <f>[54]Growth_Inputs!L372</f>
        <v>35662.648461460791</v>
      </c>
      <c r="Z24" s="8">
        <f>[54]Growth_Inputs!M372</f>
        <v>40822.584732415293</v>
      </c>
      <c r="AA24" s="8"/>
      <c r="AB24" s="8"/>
      <c r="AC24" s="8"/>
    </row>
    <row r="25" spans="1:34" hidden="1" outlineLevel="1" x14ac:dyDescent="0.3">
      <c r="A25" s="2" t="e">
        <f t="shared" si="1"/>
        <v>#REF!</v>
      </c>
      <c r="B25" s="3" t="e">
        <f>'Model names'!#REF!</f>
        <v>#REF!</v>
      </c>
      <c r="C25" s="3" t="e">
        <f t="shared" si="2"/>
        <v>#REF!</v>
      </c>
      <c r="D25" s="3" t="s">
        <v>76</v>
      </c>
      <c r="E25" s="3" t="s">
        <v>75</v>
      </c>
      <c r="F25" s="3" t="s">
        <v>77</v>
      </c>
      <c r="G25" s="3" t="s">
        <v>78</v>
      </c>
      <c r="H25" s="3" t="s">
        <v>79</v>
      </c>
      <c r="I25" s="3" t="s">
        <v>80</v>
      </c>
      <c r="J25" s="3" t="s">
        <v>81</v>
      </c>
      <c r="K25" s="3" t="s">
        <v>82</v>
      </c>
      <c r="L25" s="3" t="s">
        <v>83</v>
      </c>
      <c r="M25" s="3" t="s">
        <v>84</v>
      </c>
      <c r="N25" s="6"/>
      <c r="O25" s="6"/>
      <c r="P25" s="3" t="e">
        <f>'Model names'!#REF!</f>
        <v>#REF!</v>
      </c>
      <c r="Q25" s="8">
        <f>[55]Growth_Inputs!D372</f>
        <v>75.800454055535198</v>
      </c>
      <c r="R25" s="8">
        <f>[55]Growth_Inputs!E372</f>
        <v>120.02715405553519</v>
      </c>
      <c r="S25" s="8">
        <f>[55]Growth_Inputs!F372</f>
        <v>166.46518905553518</v>
      </c>
      <c r="T25" s="8">
        <f>[55]Growth_Inputs!G372</f>
        <v>215.19748411803516</v>
      </c>
      <c r="U25" s="8">
        <f>[55]Growth_Inputs!H372</f>
        <v>266.30972847428512</v>
      </c>
      <c r="V25" s="8">
        <f>[55]Growth_Inputs!I372</f>
        <v>319.89046190455855</v>
      </c>
      <c r="W25" s="8">
        <f>[55]Growth_Inputs!J372</f>
        <v>376.03116370983389</v>
      </c>
      <c r="X25" s="8">
        <f>[55]Growth_Inputs!K372</f>
        <v>434.82634435046737</v>
      </c>
      <c r="Y25" s="8">
        <f>[55]Growth_Inputs!L372</f>
        <v>496.37363982959857</v>
      </c>
      <c r="Z25" s="8">
        <f>[55]Growth_Inputs!M372</f>
        <v>560.77390890125196</v>
      </c>
      <c r="AA25" s="8"/>
      <c r="AB25" s="8"/>
      <c r="AC25" s="8"/>
    </row>
    <row r="26" spans="1:34" hidden="1" outlineLevel="1" x14ac:dyDescent="0.3">
      <c r="A26" s="2" t="e">
        <f t="shared" si="1"/>
        <v>#REF!</v>
      </c>
      <c r="B26" s="3" t="e">
        <f>'Model names'!#REF!</f>
        <v>#REF!</v>
      </c>
      <c r="C26" s="3" t="e">
        <f t="shared" si="2"/>
        <v>#REF!</v>
      </c>
      <c r="D26" s="3" t="e">
        <f t="shared" ref="D26:D33" si="3">IF(C26=0,"",D25)</f>
        <v>#REF!</v>
      </c>
      <c r="E26" s="3" t="e">
        <f t="shared" ref="E26:E33" si="4">IF(D26=0,"",E25)</f>
        <v>#REF!</v>
      </c>
      <c r="F26" s="3" t="e">
        <f t="shared" ref="F26:F33" si="5">IF(E26=0,"",F25)</f>
        <v>#REF!</v>
      </c>
      <c r="G26" s="3" t="e">
        <f t="shared" ref="G26:G33" si="6">IF(F26=0,"",G25)</f>
        <v>#REF!</v>
      </c>
      <c r="H26" s="3" t="e">
        <f t="shared" ref="H26:H33" si="7">IF(G26=0,"",H25)</f>
        <v>#REF!</v>
      </c>
      <c r="I26" s="3" t="e">
        <f t="shared" ref="I26:I33" si="8">IF(H26=0,"",I25)</f>
        <v>#REF!</v>
      </c>
      <c r="J26" s="3" t="e">
        <f t="shared" ref="J26:J33" si="9">IF(I26=0,"",J25)</f>
        <v>#REF!</v>
      </c>
      <c r="K26" s="3" t="e">
        <f t="shared" ref="K26:K33" si="10">IF(J26=0,"",K25)</f>
        <v>#REF!</v>
      </c>
      <c r="L26" s="3" t="e">
        <f t="shared" ref="L26:L33" si="11">IF(K26=0,"",L25)</f>
        <v>#REF!</v>
      </c>
      <c r="M26" s="3" t="e">
        <f t="shared" ref="M26:M33" si="12">IF(L26=0,"",M25)</f>
        <v>#REF!</v>
      </c>
      <c r="N26" s="6" t="e">
        <f t="shared" ref="N26:N33" si="13">IF(M26=0,"",N25)</f>
        <v>#REF!</v>
      </c>
      <c r="O26" s="6"/>
      <c r="P26" s="3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2" t="e">
        <f t="shared" si="1"/>
        <v>#REF!</v>
      </c>
      <c r="B27" s="3" t="e">
        <f>'Model names'!#REF!</f>
        <v>#REF!</v>
      </c>
      <c r="C27" s="3" t="e">
        <f t="shared" si="2"/>
        <v>#REF!</v>
      </c>
      <c r="D27" s="3" t="e">
        <f t="shared" si="3"/>
        <v>#REF!</v>
      </c>
      <c r="E27" s="3" t="e">
        <f t="shared" si="4"/>
        <v>#REF!</v>
      </c>
      <c r="F27" s="3" t="e">
        <f t="shared" si="5"/>
        <v>#REF!</v>
      </c>
      <c r="G27" s="3" t="e">
        <f t="shared" si="6"/>
        <v>#REF!</v>
      </c>
      <c r="H27" s="3" t="e">
        <f t="shared" si="7"/>
        <v>#REF!</v>
      </c>
      <c r="I27" s="3" t="e">
        <f t="shared" si="8"/>
        <v>#REF!</v>
      </c>
      <c r="J27" s="3" t="e">
        <f t="shared" si="9"/>
        <v>#REF!</v>
      </c>
      <c r="K27" s="3" t="e">
        <f t="shared" si="10"/>
        <v>#REF!</v>
      </c>
      <c r="L27" s="3" t="e">
        <f t="shared" si="11"/>
        <v>#REF!</v>
      </c>
      <c r="M27" s="3" t="e">
        <f t="shared" si="12"/>
        <v>#REF!</v>
      </c>
      <c r="N27" s="6" t="e">
        <f t="shared" si="13"/>
        <v>#REF!</v>
      </c>
      <c r="O27" s="6"/>
      <c r="P27" s="3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2" t="e">
        <f t="shared" si="1"/>
        <v>#REF!</v>
      </c>
      <c r="B28" s="3" t="e">
        <f>'Model names'!#REF!</f>
        <v>#REF!</v>
      </c>
      <c r="C28" s="3" t="e">
        <f t="shared" si="2"/>
        <v>#REF!</v>
      </c>
      <c r="D28" s="3" t="e">
        <f t="shared" si="3"/>
        <v>#REF!</v>
      </c>
      <c r="E28" s="3" t="e">
        <f t="shared" si="4"/>
        <v>#REF!</v>
      </c>
      <c r="F28" s="3" t="e">
        <f t="shared" si="5"/>
        <v>#REF!</v>
      </c>
      <c r="G28" s="3" t="e">
        <f t="shared" si="6"/>
        <v>#REF!</v>
      </c>
      <c r="H28" s="3" t="e">
        <f t="shared" si="7"/>
        <v>#REF!</v>
      </c>
      <c r="I28" s="3" t="e">
        <f t="shared" si="8"/>
        <v>#REF!</v>
      </c>
      <c r="J28" s="3" t="e">
        <f t="shared" si="9"/>
        <v>#REF!</v>
      </c>
      <c r="K28" s="3" t="e">
        <f t="shared" si="10"/>
        <v>#REF!</v>
      </c>
      <c r="L28" s="3" t="e">
        <f t="shared" si="11"/>
        <v>#REF!</v>
      </c>
      <c r="M28" s="3" t="e">
        <f t="shared" si="12"/>
        <v>#REF!</v>
      </c>
      <c r="N28" s="6" t="e">
        <f t="shared" si="13"/>
        <v>#REF!</v>
      </c>
      <c r="O28" s="6"/>
      <c r="P28" s="3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2" t="e">
        <f t="shared" si="1"/>
        <v>#REF!</v>
      </c>
      <c r="B29" s="3" t="e">
        <f>'Model names'!#REF!</f>
        <v>#REF!</v>
      </c>
      <c r="C29" s="3" t="e">
        <f t="shared" si="2"/>
        <v>#REF!</v>
      </c>
      <c r="D29" s="3" t="e">
        <f t="shared" si="3"/>
        <v>#REF!</v>
      </c>
      <c r="E29" s="3" t="e">
        <f t="shared" si="4"/>
        <v>#REF!</v>
      </c>
      <c r="F29" s="3" t="e">
        <f t="shared" si="5"/>
        <v>#REF!</v>
      </c>
      <c r="G29" s="3" t="e">
        <f t="shared" si="6"/>
        <v>#REF!</v>
      </c>
      <c r="H29" s="3" t="e">
        <f t="shared" si="7"/>
        <v>#REF!</v>
      </c>
      <c r="I29" s="3" t="e">
        <f t="shared" si="8"/>
        <v>#REF!</v>
      </c>
      <c r="J29" s="3" t="e">
        <f t="shared" si="9"/>
        <v>#REF!</v>
      </c>
      <c r="K29" s="3" t="e">
        <f t="shared" si="10"/>
        <v>#REF!</v>
      </c>
      <c r="L29" s="3" t="e">
        <f t="shared" si="11"/>
        <v>#REF!</v>
      </c>
      <c r="M29" s="3" t="e">
        <f t="shared" si="12"/>
        <v>#REF!</v>
      </c>
      <c r="N29" s="6" t="e">
        <f t="shared" si="13"/>
        <v>#REF!</v>
      </c>
      <c r="O29" s="6"/>
      <c r="P29" s="3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2" t="e">
        <f t="shared" si="1"/>
        <v>#REF!</v>
      </c>
      <c r="B30" s="3" t="e">
        <f>'Model names'!#REF!</f>
        <v>#REF!</v>
      </c>
      <c r="C30" s="3" t="e">
        <f t="shared" si="2"/>
        <v>#REF!</v>
      </c>
      <c r="D30" s="3" t="e">
        <f t="shared" si="3"/>
        <v>#REF!</v>
      </c>
      <c r="E30" s="3" t="e">
        <f t="shared" si="4"/>
        <v>#REF!</v>
      </c>
      <c r="F30" s="3" t="e">
        <f t="shared" si="5"/>
        <v>#REF!</v>
      </c>
      <c r="G30" s="3" t="e">
        <f t="shared" si="6"/>
        <v>#REF!</v>
      </c>
      <c r="H30" s="3" t="e">
        <f t="shared" si="7"/>
        <v>#REF!</v>
      </c>
      <c r="I30" s="3" t="e">
        <f t="shared" si="8"/>
        <v>#REF!</v>
      </c>
      <c r="J30" s="3" t="e">
        <f t="shared" si="9"/>
        <v>#REF!</v>
      </c>
      <c r="K30" s="3" t="e">
        <f t="shared" si="10"/>
        <v>#REF!</v>
      </c>
      <c r="L30" s="3" t="e">
        <f t="shared" si="11"/>
        <v>#REF!</v>
      </c>
      <c r="M30" s="3" t="e">
        <f t="shared" si="12"/>
        <v>#REF!</v>
      </c>
      <c r="N30" s="6" t="e">
        <f t="shared" si="13"/>
        <v>#REF!</v>
      </c>
      <c r="O30" s="6"/>
      <c r="P30" s="3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2" t="e">
        <f t="shared" si="1"/>
        <v>#REF!</v>
      </c>
      <c r="B31" s="3" t="e">
        <f>'Model names'!#REF!</f>
        <v>#REF!</v>
      </c>
      <c r="C31" s="3" t="e">
        <f t="shared" si="2"/>
        <v>#REF!</v>
      </c>
      <c r="D31" s="3" t="e">
        <f t="shared" si="3"/>
        <v>#REF!</v>
      </c>
      <c r="E31" s="3" t="e">
        <f t="shared" si="4"/>
        <v>#REF!</v>
      </c>
      <c r="F31" s="3" t="e">
        <f t="shared" si="5"/>
        <v>#REF!</v>
      </c>
      <c r="G31" s="3" t="e">
        <f t="shared" si="6"/>
        <v>#REF!</v>
      </c>
      <c r="H31" s="3" t="e">
        <f t="shared" si="7"/>
        <v>#REF!</v>
      </c>
      <c r="I31" s="3" t="e">
        <f t="shared" si="8"/>
        <v>#REF!</v>
      </c>
      <c r="J31" s="3" t="e">
        <f t="shared" si="9"/>
        <v>#REF!</v>
      </c>
      <c r="K31" s="3" t="e">
        <f t="shared" si="10"/>
        <v>#REF!</v>
      </c>
      <c r="L31" s="3" t="e">
        <f t="shared" si="11"/>
        <v>#REF!</v>
      </c>
      <c r="M31" s="3" t="e">
        <f t="shared" si="12"/>
        <v>#REF!</v>
      </c>
      <c r="N31" s="6" t="e">
        <f t="shared" si="13"/>
        <v>#REF!</v>
      </c>
      <c r="O31" s="6"/>
      <c r="P31" s="3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2" t="e">
        <f t="shared" si="1"/>
        <v>#REF!</v>
      </c>
      <c r="B32" s="3" t="e">
        <f>'Model names'!#REF!</f>
        <v>#REF!</v>
      </c>
      <c r="C32" s="3" t="e">
        <f t="shared" si="2"/>
        <v>#REF!</v>
      </c>
      <c r="D32" s="3" t="e">
        <f t="shared" si="3"/>
        <v>#REF!</v>
      </c>
      <c r="E32" s="3" t="e">
        <f t="shared" si="4"/>
        <v>#REF!</v>
      </c>
      <c r="F32" s="3" t="e">
        <f t="shared" si="5"/>
        <v>#REF!</v>
      </c>
      <c r="G32" s="3" t="e">
        <f t="shared" si="6"/>
        <v>#REF!</v>
      </c>
      <c r="H32" s="3" t="e">
        <f t="shared" si="7"/>
        <v>#REF!</v>
      </c>
      <c r="I32" s="3" t="e">
        <f t="shared" si="8"/>
        <v>#REF!</v>
      </c>
      <c r="J32" s="3" t="e">
        <f t="shared" si="9"/>
        <v>#REF!</v>
      </c>
      <c r="K32" s="3" t="e">
        <f t="shared" si="10"/>
        <v>#REF!</v>
      </c>
      <c r="L32" s="3" t="e">
        <f t="shared" si="11"/>
        <v>#REF!</v>
      </c>
      <c r="M32" s="3" t="e">
        <f t="shared" si="12"/>
        <v>#REF!</v>
      </c>
      <c r="N32" s="6" t="e">
        <f t="shared" si="13"/>
        <v>#REF!</v>
      </c>
      <c r="O32" s="6"/>
      <c r="P32" s="3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2" t="str">
        <f t="shared" si="1"/>
        <v/>
      </c>
      <c r="B33" s="3">
        <f>'Model names'!B31</f>
        <v>0</v>
      </c>
      <c r="C33" s="3" t="str">
        <f t="shared" si="2"/>
        <v/>
      </c>
      <c r="D33" s="3" t="e">
        <f t="shared" si="3"/>
        <v>#REF!</v>
      </c>
      <c r="E33" s="3" t="e">
        <f t="shared" si="4"/>
        <v>#REF!</v>
      </c>
      <c r="F33" s="3" t="e">
        <f t="shared" si="5"/>
        <v>#REF!</v>
      </c>
      <c r="G33" s="3" t="e">
        <f t="shared" si="6"/>
        <v>#REF!</v>
      </c>
      <c r="H33" s="3" t="e">
        <f t="shared" si="7"/>
        <v>#REF!</v>
      </c>
      <c r="I33" s="3" t="e">
        <f t="shared" si="8"/>
        <v>#REF!</v>
      </c>
      <c r="J33" s="3" t="e">
        <f t="shared" si="9"/>
        <v>#REF!</v>
      </c>
      <c r="K33" s="3" t="e">
        <f t="shared" si="10"/>
        <v>#REF!</v>
      </c>
      <c r="L33" s="3" t="e">
        <f t="shared" si="11"/>
        <v>#REF!</v>
      </c>
      <c r="M33" s="3" t="e">
        <f t="shared" si="12"/>
        <v>#REF!</v>
      </c>
      <c r="N33" s="6" t="e">
        <f t="shared" si="13"/>
        <v>#REF!</v>
      </c>
      <c r="O33" s="6"/>
      <c r="P33" s="3">
        <f>'Model names'!C31</f>
        <v>0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45" priority="3" operator="equal">
      <formula>"On"</formula>
    </cfRule>
  </conditionalFormatting>
  <conditionalFormatting sqref="V21:AA23">
    <cfRule type="cellIs" dxfId="44" priority="2" operator="equal">
      <formula>"On"</formula>
    </cfRule>
  </conditionalFormatting>
  <conditionalFormatting sqref="R21:R23">
    <cfRule type="cellIs" dxfId="43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10241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0241" r:id="rId4" name="CommandButton2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A1:AH40"/>
  <sheetViews>
    <sheetView tabSelected="1" topLeftCell="F1" zoomScale="70" zoomScaleNormal="70" workbookViewId="0">
      <selection activeCell="W39" sqref="W39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14.33203125" customWidth="1"/>
    <col min="18" max="18" width="15.44140625" customWidth="1"/>
    <col min="19" max="19" width="10" customWidth="1"/>
    <col min="20" max="20" width="16" customWidth="1"/>
    <col min="21" max="21" width="11.109375" bestFit="1" customWidth="1"/>
    <col min="22" max="22" width="16.6640625" customWidth="1" outlineLevel="1"/>
    <col min="23" max="23" width="11" customWidth="1" outlineLevel="1"/>
    <col min="24" max="24" width="16.33203125" customWidth="1" outlineLevel="1"/>
    <col min="25" max="25" width="10" customWidth="1" outlineLevel="1"/>
    <col min="26" max="26" width="15.33203125" customWidth="1" outlineLevel="1"/>
    <col min="27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ht="28.8" x14ac:dyDescent="0.3">
      <c r="A2">
        <f>COUNTIF(A4:A33,"&gt;""")</f>
        <v>19</v>
      </c>
      <c r="B2">
        <f>P2</f>
        <v>10</v>
      </c>
      <c r="P2" s="1">
        <v>10</v>
      </c>
      <c r="Q2" s="11" t="s">
        <v>85</v>
      </c>
      <c r="R2" s="11" t="s">
        <v>85</v>
      </c>
      <c r="S2" s="11" t="s">
        <v>85</v>
      </c>
      <c r="T2" s="11" t="s">
        <v>85</v>
      </c>
      <c r="U2" s="11" t="s">
        <v>85</v>
      </c>
      <c r="V2" s="11" t="s">
        <v>85</v>
      </c>
      <c r="W2" s="11" t="s">
        <v>85</v>
      </c>
      <c r="X2" s="11" t="s">
        <v>85</v>
      </c>
      <c r="Y2" s="11" t="s">
        <v>85</v>
      </c>
      <c r="Z2" s="11" t="s">
        <v>85</v>
      </c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12">
        <f>'Model names'!J1</f>
        <v>2018</v>
      </c>
      <c r="R3" s="12">
        <f>'Model names'!K1</f>
        <v>2019</v>
      </c>
      <c r="S3" s="12">
        <f>'Model names'!L1</f>
        <v>2020</v>
      </c>
      <c r="T3" s="12">
        <f>'Model names'!M1</f>
        <v>2021</v>
      </c>
      <c r="U3" s="12">
        <f>'Model names'!N1</f>
        <v>2022</v>
      </c>
      <c r="V3" s="12">
        <f>'Model names'!O1</f>
        <v>2023</v>
      </c>
      <c r="W3" s="12">
        <f>'Model names'!P1</f>
        <v>2024</v>
      </c>
      <c r="X3" s="12">
        <f>'Model names'!Q1</f>
        <v>2025</v>
      </c>
      <c r="Y3" s="12">
        <f>'Model names'!R1</f>
        <v>2026</v>
      </c>
      <c r="Z3" s="12">
        <f>'Model names'!S1</f>
        <v>2027</v>
      </c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16</v>
      </c>
      <c r="D4" s="3" t="s">
        <v>86</v>
      </c>
      <c r="E4" s="3" t="s">
        <v>87</v>
      </c>
      <c r="F4" s="3" t="s">
        <v>88</v>
      </c>
      <c r="G4" s="3" t="s">
        <v>89</v>
      </c>
      <c r="H4" s="3" t="s">
        <v>90</v>
      </c>
      <c r="I4" s="3" t="s">
        <v>91</v>
      </c>
      <c r="J4" s="3" t="s">
        <v>92</v>
      </c>
      <c r="K4" s="3" t="s">
        <v>93</v>
      </c>
      <c r="L4" s="3" t="s">
        <v>94</v>
      </c>
      <c r="M4" s="3" t="s">
        <v>95</v>
      </c>
      <c r="N4" s="3" t="s">
        <v>675</v>
      </c>
      <c r="O4" s="6"/>
      <c r="P4" s="3" t="str">
        <f>'Model names'!C2</f>
        <v>BFW</v>
      </c>
      <c r="Q4" s="8">
        <f>[15]Total_Reports!C182</f>
        <v>-26.20464731719936</v>
      </c>
      <c r="R4" s="8">
        <f ca="1">[15]Total_Reports!D182</f>
        <v>-10.524675965855652</v>
      </c>
      <c r="S4" s="8">
        <f ca="1">[15]Total_Reports!E182</f>
        <v>2.1779991757852635</v>
      </c>
      <c r="T4" s="8">
        <f ca="1">[15]Total_Reports!F182</f>
        <v>1.834495392929238</v>
      </c>
      <c r="U4" s="117">
        <f ca="1">[15]Total_Reports!G182</f>
        <v>6.1887524986712581</v>
      </c>
      <c r="V4" s="8">
        <f ca="1">[15]Total_Reports!H182</f>
        <v>10.664329936052688</v>
      </c>
      <c r="W4" s="8">
        <f ca="1">[15]Total_Reports!I182</f>
        <v>10.756319327329575</v>
      </c>
      <c r="X4" s="8">
        <f ca="1">[15]Total_Reports!J182</f>
        <v>11.453194099059159</v>
      </c>
      <c r="Y4" s="8">
        <f ca="1">[15]Total_Reports!K182</f>
        <v>12.78154772031864</v>
      </c>
      <c r="Z4" s="8">
        <f ca="1">[15]Total_Reports!L182</f>
        <v>12.719882783654139</v>
      </c>
      <c r="AA4" s="7"/>
      <c r="AB4" s="7"/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16</v>
      </c>
      <c r="D5" s="3" t="s">
        <v>86</v>
      </c>
      <c r="E5" s="3" t="s">
        <v>87</v>
      </c>
      <c r="F5" s="3" t="s">
        <v>88</v>
      </c>
      <c r="G5" s="3" t="s">
        <v>89</v>
      </c>
      <c r="H5" s="3" t="s">
        <v>90</v>
      </c>
      <c r="I5" s="3" t="s">
        <v>91</v>
      </c>
      <c r="J5" s="3" t="s">
        <v>92</v>
      </c>
      <c r="K5" s="3" t="s">
        <v>93</v>
      </c>
      <c r="L5" s="3" t="s">
        <v>94</v>
      </c>
      <c r="M5" s="3" t="s">
        <v>95</v>
      </c>
      <c r="N5" s="3" t="s">
        <v>675</v>
      </c>
      <c r="O5" s="6"/>
      <c r="P5" s="3" t="str">
        <f>'Model names'!C3</f>
        <v>CA</v>
      </c>
      <c r="Q5" s="8">
        <f>[17]Total_Reports!C182</f>
        <v>32471.123173441127</v>
      </c>
      <c r="R5" s="8">
        <f>[17]Total_Reports!D182</f>
        <v>34533.29560519314</v>
      </c>
      <c r="S5" s="8">
        <f>[17]Total_Reports!E182</f>
        <v>38199.990154503816</v>
      </c>
      <c r="T5" s="8">
        <f>[17]Total_Reports!F182</f>
        <v>40591.902009016354</v>
      </c>
      <c r="U5" s="117">
        <f>[17]Total_Reports!G182</f>
        <v>41135.904537434064</v>
      </c>
      <c r="V5" s="8">
        <f>[17]Total_Reports!H182</f>
        <v>42178.07860994566</v>
      </c>
      <c r="W5" s="8">
        <f>[17]Total_Reports!I182</f>
        <v>44063.660070516729</v>
      </c>
      <c r="X5" s="8">
        <f>[17]Total_Reports!J182</f>
        <v>44787.389689242293</v>
      </c>
      <c r="Y5" s="8">
        <f>[17]Total_Reports!K182</f>
        <v>46242.088235390416</v>
      </c>
      <c r="Z5" s="8">
        <f>[17]Total_Reports!L182</f>
        <v>48223.049881193787</v>
      </c>
      <c r="AA5" s="7"/>
      <c r="AB5" s="7"/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16</v>
      </c>
      <c r="D6" s="3" t="s">
        <v>86</v>
      </c>
      <c r="E6" s="3" t="s">
        <v>87</v>
      </c>
      <c r="F6" s="3" t="s">
        <v>88</v>
      </c>
      <c r="G6" s="3" t="s">
        <v>89</v>
      </c>
      <c r="H6" s="3" t="s">
        <v>90</v>
      </c>
      <c r="I6" s="3" t="s">
        <v>91</v>
      </c>
      <c r="J6" s="3" t="s">
        <v>92</v>
      </c>
      <c r="K6" s="3" t="s">
        <v>93</v>
      </c>
      <c r="L6" s="3" t="s">
        <v>94</v>
      </c>
      <c r="M6" s="3" t="s">
        <v>95</v>
      </c>
      <c r="N6" s="3" t="s">
        <v>675</v>
      </c>
      <c r="O6" s="6"/>
      <c r="P6" s="3" t="str">
        <f>'Model names'!C4</f>
        <v>ETS</v>
      </c>
      <c r="Q6" s="8">
        <f>[19]Total_Reports!C182</f>
        <v>233.14008364240254</v>
      </c>
      <c r="R6" s="8">
        <f>[19]Total_Reports!D182</f>
        <v>249.25157209879663</v>
      </c>
      <c r="S6" s="8">
        <f>[19]Total_Reports!E182</f>
        <v>262.93770428987227</v>
      </c>
      <c r="T6" s="8">
        <f>[19]Total_Reports!F182</f>
        <v>286.87568069182464</v>
      </c>
      <c r="U6" s="8">
        <f>[19]Total_Reports!G182</f>
        <v>131.56833614284332</v>
      </c>
      <c r="V6" s="8">
        <f>[19]Total_Reports!H182</f>
        <v>0</v>
      </c>
      <c r="W6" s="8">
        <f>[19]Total_Reports!I182</f>
        <v>0</v>
      </c>
      <c r="X6" s="8">
        <f>[19]Total_Reports!J182</f>
        <v>0</v>
      </c>
      <c r="Y6" s="8">
        <f>[19]Total_Reports!K182</f>
        <v>0</v>
      </c>
      <c r="Z6" s="8">
        <f>[19]Total_Reports!L182</f>
        <v>0</v>
      </c>
      <c r="AA6" s="7"/>
      <c r="AB6" s="7"/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16</v>
      </c>
      <c r="D7" s="3" t="s">
        <v>86</v>
      </c>
      <c r="E7" s="3" t="s">
        <v>87</v>
      </c>
      <c r="F7" s="3" t="s">
        <v>88</v>
      </c>
      <c r="G7" s="3" t="s">
        <v>89</v>
      </c>
      <c r="H7" s="3" t="s">
        <v>90</v>
      </c>
      <c r="I7" s="3" t="s">
        <v>91</v>
      </c>
      <c r="J7" s="3" t="s">
        <v>92</v>
      </c>
      <c r="K7" s="3" t="s">
        <v>93</v>
      </c>
      <c r="L7" s="3" t="s">
        <v>94</v>
      </c>
      <c r="M7" s="3" t="s">
        <v>95</v>
      </c>
      <c r="N7" s="3" t="s">
        <v>675</v>
      </c>
      <c r="O7" s="6"/>
      <c r="P7" s="3" t="str">
        <f>'Model names'!C5</f>
        <v>HI</v>
      </c>
      <c r="Q7" s="8">
        <f>[21]Total_Reports!C182</f>
        <v>1527.9749435612175</v>
      </c>
      <c r="R7" s="8">
        <f>[21]Total_Reports!D182</f>
        <v>1228.9464205865506</v>
      </c>
      <c r="S7" s="8">
        <f>[21]Total_Reports!E182</f>
        <v>1758.5141462975312</v>
      </c>
      <c r="T7" s="8">
        <f>[21]Total_Reports!F182</f>
        <v>1623.7244454138938</v>
      </c>
      <c r="U7" s="117">
        <f>[21]Total_Reports!G182</f>
        <v>2100.9789946514602</v>
      </c>
      <c r="V7" s="8">
        <f>[21]Total_Reports!H182</f>
        <v>2069.6615842942197</v>
      </c>
      <c r="W7" s="8">
        <f>[21]Total_Reports!I182</f>
        <v>2599.2542780143303</v>
      </c>
      <c r="X7" s="8">
        <f>[21]Total_Reports!J182</f>
        <v>2417.5238094840538</v>
      </c>
      <c r="Y7" s="8">
        <f>[21]Total_Reports!K182</f>
        <v>2223.5742358890921</v>
      </c>
      <c r="Z7" s="8">
        <f>[21]Total_Reports!L182</f>
        <v>3084.4425547568326</v>
      </c>
      <c r="AA7" s="7"/>
      <c r="AB7" s="7"/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16</v>
      </c>
      <c r="D8" s="3" t="s">
        <v>86</v>
      </c>
      <c r="E8" s="3" t="s">
        <v>87</v>
      </c>
      <c r="F8" s="3" t="s">
        <v>88</v>
      </c>
      <c r="G8" s="3" t="s">
        <v>89</v>
      </c>
      <c r="H8" s="3" t="s">
        <v>90</v>
      </c>
      <c r="I8" s="3" t="s">
        <v>91</v>
      </c>
      <c r="J8" s="3" t="s">
        <v>92</v>
      </c>
      <c r="K8" s="3" t="s">
        <v>93</v>
      </c>
      <c r="L8" s="3" t="s">
        <v>94</v>
      </c>
      <c r="M8" s="3" t="s">
        <v>95</v>
      </c>
      <c r="N8" s="3" t="s">
        <v>675</v>
      </c>
      <c r="O8" s="6"/>
      <c r="P8" s="3" t="str">
        <f>'Model names'!C6</f>
        <v>IA</v>
      </c>
      <c r="Q8" s="8">
        <f>[23]Total_Reports!C182</f>
        <v>6182.2288731520594</v>
      </c>
      <c r="R8" s="8">
        <f>[23]Total_Reports!D182</f>
        <v>6492.231949614752</v>
      </c>
      <c r="S8" s="8">
        <f>[23]Total_Reports!E182</f>
        <v>6687.9153253991681</v>
      </c>
      <c r="T8" s="8">
        <f>[23]Total_Reports!F182</f>
        <v>7193.2935448542466</v>
      </c>
      <c r="U8" s="117">
        <f>[23]Total_Reports!G182</f>
        <v>7356.3755225832556</v>
      </c>
      <c r="V8" s="8">
        <f>[23]Total_Reports!H182</f>
        <v>7716.0396029086351</v>
      </c>
      <c r="W8" s="8">
        <f>[23]Total_Reports!I182</f>
        <v>8030.8799312338606</v>
      </c>
      <c r="X8" s="8">
        <f>[23]Total_Reports!J182</f>
        <v>8721.3312327732492</v>
      </c>
      <c r="Y8" s="8">
        <f>[23]Total_Reports!K182</f>
        <v>8986.6700416324529</v>
      </c>
      <c r="Z8" s="8">
        <f>[23]Total_Reports!L182</f>
        <v>9343.1787315784386</v>
      </c>
      <c r="AA8" s="7"/>
      <c r="AB8" s="7"/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16</v>
      </c>
      <c r="D9" s="3" t="s">
        <v>86</v>
      </c>
      <c r="E9" s="3" t="s">
        <v>87</v>
      </c>
      <c r="F9" s="3" t="s">
        <v>88</v>
      </c>
      <c r="G9" s="3" t="s">
        <v>89</v>
      </c>
      <c r="H9" s="3" t="s">
        <v>90</v>
      </c>
      <c r="I9" s="3" t="s">
        <v>91</v>
      </c>
      <c r="J9" s="3" t="s">
        <v>92</v>
      </c>
      <c r="K9" s="3" t="s">
        <v>93</v>
      </c>
      <c r="L9" s="3" t="s">
        <v>94</v>
      </c>
      <c r="M9" s="3" t="s">
        <v>95</v>
      </c>
      <c r="N9" s="3" t="s">
        <v>675</v>
      </c>
      <c r="O9" s="6"/>
      <c r="P9" s="3" t="str">
        <f>'Model names'!C7</f>
        <v>IL</v>
      </c>
      <c r="Q9" s="8">
        <f>[25]Total_Reports!C182</f>
        <v>47705.743718051352</v>
      </c>
      <c r="R9" s="8">
        <f>[25]Total_Reports!D182</f>
        <v>50358.942937469365</v>
      </c>
      <c r="S9" s="8">
        <f>[25]Total_Reports!E182</f>
        <v>53318.048733594514</v>
      </c>
      <c r="T9" s="8">
        <f>[25]Total_Reports!F182</f>
        <v>57214.711865053308</v>
      </c>
      <c r="U9" s="117">
        <f>[25]Total_Reports!G182</f>
        <v>59904.942925886833</v>
      </c>
      <c r="V9" s="8">
        <f>[25]Total_Reports!H182</f>
        <v>62896.221406500779</v>
      </c>
      <c r="W9" s="8">
        <f>[25]Total_Reports!I182</f>
        <v>65350.629482341566</v>
      </c>
      <c r="X9" s="8">
        <f>[25]Total_Reports!J182</f>
        <v>70168.412778683254</v>
      </c>
      <c r="Y9" s="8">
        <f>[25]Total_Reports!K182</f>
        <v>73612.560082703218</v>
      </c>
      <c r="Z9" s="8">
        <f>[25]Total_Reports!L182</f>
        <v>77566.154647875912</v>
      </c>
      <c r="AA9" s="7"/>
      <c r="AB9" s="7"/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16</v>
      </c>
      <c r="D10" s="3" t="s">
        <v>86</v>
      </c>
      <c r="E10" s="3" t="s">
        <v>87</v>
      </c>
      <c r="F10" s="3" t="s">
        <v>88</v>
      </c>
      <c r="G10" s="3" t="s">
        <v>89</v>
      </c>
      <c r="H10" s="3" t="s">
        <v>90</v>
      </c>
      <c r="I10" s="3" t="s">
        <v>91</v>
      </c>
      <c r="J10" s="3" t="s">
        <v>92</v>
      </c>
      <c r="K10" s="3" t="s">
        <v>93</v>
      </c>
      <c r="L10" s="3" t="s">
        <v>94</v>
      </c>
      <c r="M10" s="3" t="s">
        <v>95</v>
      </c>
      <c r="N10" s="3" t="s">
        <v>675</v>
      </c>
      <c r="O10" s="6"/>
      <c r="P10" s="3" t="str">
        <f>'Model names'!C8</f>
        <v>IN</v>
      </c>
      <c r="Q10" s="8">
        <f>[27]Total_Reports!C182</f>
        <v>40593.616254212786</v>
      </c>
      <c r="R10" s="8">
        <f>[27]Total_Reports!D182</f>
        <v>42466.011008328205</v>
      </c>
      <c r="S10" s="8">
        <f>[27]Total_Reports!E182</f>
        <v>50440.126456391219</v>
      </c>
      <c r="T10" s="8">
        <f>[27]Total_Reports!F182</f>
        <v>53047.343807930025</v>
      </c>
      <c r="U10" s="117">
        <f>[27]Total_Reports!G182</f>
        <v>52415.300995578975</v>
      </c>
      <c r="V10" s="8">
        <f>[27]Total_Reports!H182</f>
        <v>53924.101747618362</v>
      </c>
      <c r="W10" s="8">
        <f>[27]Total_Reports!I182</f>
        <v>59769.562260096915</v>
      </c>
      <c r="X10" s="8">
        <f>[27]Total_Reports!J182</f>
        <v>66850.01658940551</v>
      </c>
      <c r="Y10" s="8">
        <f>[27]Total_Reports!K182</f>
        <v>69576.160830645385</v>
      </c>
      <c r="Z10" s="8">
        <f>[27]Total_Reports!L182</f>
        <v>68689.943522685586</v>
      </c>
      <c r="AA10" s="7"/>
      <c r="AB10" s="7"/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16</v>
      </c>
      <c r="D11" s="3" t="s">
        <v>86</v>
      </c>
      <c r="E11" s="3" t="s">
        <v>87</v>
      </c>
      <c r="F11" s="3" t="s">
        <v>88</v>
      </c>
      <c r="G11" s="3" t="s">
        <v>89</v>
      </c>
      <c r="H11" s="3" t="s">
        <v>90</v>
      </c>
      <c r="I11" s="3" t="s">
        <v>91</v>
      </c>
      <c r="J11" s="3" t="s">
        <v>92</v>
      </c>
      <c r="K11" s="3" t="s">
        <v>93</v>
      </c>
      <c r="L11" s="3" t="s">
        <v>94</v>
      </c>
      <c r="M11" s="3" t="s">
        <v>95</v>
      </c>
      <c r="N11" s="3" t="s">
        <v>675</v>
      </c>
      <c r="O11" s="6"/>
      <c r="P11" s="3" t="str">
        <f>'Model names'!C9</f>
        <v>KY</v>
      </c>
      <c r="Q11" s="8">
        <f>[29]Total_Reports!C182</f>
        <v>19412.577273752297</v>
      </c>
      <c r="R11" s="8">
        <f>[29]Total_Reports!D182</f>
        <v>20154.998991449564</v>
      </c>
      <c r="S11" s="8">
        <f>[29]Total_Reports!E182</f>
        <v>21785.156483500959</v>
      </c>
      <c r="T11" s="8">
        <f>[29]Total_Reports!F182</f>
        <v>22750.513723919437</v>
      </c>
      <c r="U11" s="117">
        <f>[29]Total_Reports!G182</f>
        <v>23937.663612063792</v>
      </c>
      <c r="V11" s="8">
        <f>[29]Total_Reports!H182</f>
        <v>25037.340693580532</v>
      </c>
      <c r="W11" s="8">
        <f>[29]Total_Reports!I182</f>
        <v>26033.143771280756</v>
      </c>
      <c r="X11" s="8">
        <f>[29]Total_Reports!J182</f>
        <v>27931.087519114135</v>
      </c>
      <c r="Y11" s="8">
        <f>[29]Total_Reports!K182</f>
        <v>29979.542881006797</v>
      </c>
      <c r="Z11" s="8">
        <f>[29]Total_Reports!L182</f>
        <v>31294.026457639979</v>
      </c>
      <c r="AA11" s="7"/>
      <c r="AB11" s="7"/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16</v>
      </c>
      <c r="D12" s="3" t="s">
        <v>86</v>
      </c>
      <c r="E12" s="3" t="s">
        <v>87</v>
      </c>
      <c r="F12" s="3" t="s">
        <v>88</v>
      </c>
      <c r="G12" s="3" t="s">
        <v>89</v>
      </c>
      <c r="H12" s="3" t="s">
        <v>90</v>
      </c>
      <c r="I12" s="3" t="s">
        <v>91</v>
      </c>
      <c r="J12" s="3" t="s">
        <v>92</v>
      </c>
      <c r="K12" s="3" t="s">
        <v>93</v>
      </c>
      <c r="L12" s="3" t="s">
        <v>94</v>
      </c>
      <c r="M12" s="3" t="s">
        <v>95</v>
      </c>
      <c r="N12" s="3" t="s">
        <v>675</v>
      </c>
      <c r="O12" s="6"/>
      <c r="P12" s="3" t="str">
        <f>'Model names'!C10</f>
        <v>Liberty</v>
      </c>
      <c r="Q12" s="8">
        <f>[31]Total_Reports!C182</f>
        <v>2031.0878314749741</v>
      </c>
      <c r="R12" s="8">
        <f>[31]Total_Reports!D182</f>
        <v>2195.3104089253652</v>
      </c>
      <c r="S12" s="8">
        <f>[31]Total_Reports!E182</f>
        <v>2360.5649791375795</v>
      </c>
      <c r="T12" s="8">
        <f>[31]Total_Reports!F182</f>
        <v>2503.596274190405</v>
      </c>
      <c r="U12" s="8">
        <f>[31]Total_Reports!G182</f>
        <v>2643.0095963577987</v>
      </c>
      <c r="V12" s="8">
        <f>[31]Total_Reports!H182</f>
        <v>2778.5094145695712</v>
      </c>
      <c r="W12" s="8">
        <f>[31]Total_Reports!I182</f>
        <v>2938.296994380401</v>
      </c>
      <c r="X12" s="8">
        <f>[31]Total_Reports!J182</f>
        <v>3117.8557899510747</v>
      </c>
      <c r="Y12" s="8">
        <f>[31]Total_Reports!K182</f>
        <v>3301.710678100445</v>
      </c>
      <c r="Z12" s="8">
        <f>[31]Total_Reports!L182</f>
        <v>3493.6262519872544</v>
      </c>
      <c r="AA12" s="7"/>
      <c r="AB12" s="7"/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16</v>
      </c>
      <c r="D13" s="3" t="s">
        <v>86</v>
      </c>
      <c r="E13" s="3" t="s">
        <v>87</v>
      </c>
      <c r="F13" s="3" t="s">
        <v>88</v>
      </c>
      <c r="G13" s="3" t="s">
        <v>89</v>
      </c>
      <c r="H13" s="3" t="s">
        <v>90</v>
      </c>
      <c r="I13" s="3" t="s">
        <v>91</v>
      </c>
      <c r="J13" s="3" t="s">
        <v>92</v>
      </c>
      <c r="K13" s="3" t="s">
        <v>93</v>
      </c>
      <c r="L13" s="3" t="s">
        <v>94</v>
      </c>
      <c r="M13" s="3" t="s">
        <v>95</v>
      </c>
      <c r="N13" s="3" t="s">
        <v>675</v>
      </c>
      <c r="O13" s="6"/>
      <c r="P13" s="3" t="str">
        <f>'Model names'!C11</f>
        <v>LW</v>
      </c>
      <c r="Q13" s="8">
        <f>[33]Total_Reports!C182</f>
        <v>3441.7317986645603</v>
      </c>
      <c r="R13" s="8">
        <f>[33]Total_Reports!D182</f>
        <v>4083.4416357806695</v>
      </c>
      <c r="S13" s="8">
        <f>[33]Total_Reports!E182</f>
        <v>4161.387712133057</v>
      </c>
      <c r="T13" s="8">
        <f>[33]Total_Reports!F182</f>
        <v>4263.3309121862567</v>
      </c>
      <c r="U13" s="117">
        <f>[33]Total_Reports!G182</f>
        <v>4734.2929327172697</v>
      </c>
      <c r="V13" s="8">
        <f>[33]Total_Reports!H182</f>
        <v>4841.277831751444</v>
      </c>
      <c r="W13" s="8">
        <f>[33]Total_Reports!I182</f>
        <v>4948.1792737133646</v>
      </c>
      <c r="X13" s="8">
        <f>[33]Total_Reports!J182</f>
        <v>5430.8759569021931</v>
      </c>
      <c r="Y13" s="8">
        <f>[33]Total_Reports!K182</f>
        <v>5542.2201368779006</v>
      </c>
      <c r="Z13" s="8">
        <f>[33]Total_Reports!L182</f>
        <v>5650.0617495069855</v>
      </c>
      <c r="AA13" s="7"/>
      <c r="AB13" s="7"/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16</v>
      </c>
      <c r="D14" s="3" t="s">
        <v>86</v>
      </c>
      <c r="E14" s="3" t="s">
        <v>87</v>
      </c>
      <c r="F14" s="3" t="s">
        <v>88</v>
      </c>
      <c r="G14" s="3" t="s">
        <v>89</v>
      </c>
      <c r="H14" s="3" t="s">
        <v>90</v>
      </c>
      <c r="I14" s="3" t="s">
        <v>91</v>
      </c>
      <c r="J14" s="3" t="s">
        <v>92</v>
      </c>
      <c r="K14" s="3" t="s">
        <v>93</v>
      </c>
      <c r="L14" s="3" t="s">
        <v>94</v>
      </c>
      <c r="M14" s="3" t="s">
        <v>95</v>
      </c>
      <c r="N14" s="3" t="s">
        <v>675</v>
      </c>
      <c r="O14" s="6"/>
      <c r="P14" s="3" t="str">
        <f>'Model names'!C12</f>
        <v>MD</v>
      </c>
      <c r="Q14" s="8">
        <f>[35]Total_Reports!C182</f>
        <v>1012.9191794229387</v>
      </c>
      <c r="R14" s="8">
        <f>[35]Total_Reports!D182</f>
        <v>940.16110320871564</v>
      </c>
      <c r="S14" s="8">
        <f>[35]Total_Reports!E182</f>
        <v>1363.4794392963909</v>
      </c>
      <c r="T14" s="8">
        <f>[35]Total_Reports!F182</f>
        <v>1658.4687479076722</v>
      </c>
      <c r="U14" s="117">
        <f>[35]Total_Reports!G182</f>
        <v>1819.1480666584216</v>
      </c>
      <c r="V14" s="8">
        <f>[35]Total_Reports!H182</f>
        <v>1902.3485512585451</v>
      </c>
      <c r="W14" s="8">
        <f>[35]Total_Reports!I182</f>
        <v>1913.5532191430104</v>
      </c>
      <c r="X14" s="8">
        <f>[35]Total_Reports!J182</f>
        <v>2023.4975634473176</v>
      </c>
      <c r="Y14" s="8">
        <f>[35]Total_Reports!K182</f>
        <v>2072.995336892835</v>
      </c>
      <c r="Z14" s="8">
        <f>[35]Total_Reports!L182</f>
        <v>2239.8875593691919</v>
      </c>
      <c r="AA14" s="7"/>
      <c r="AB14" s="7"/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16</v>
      </c>
      <c r="D15" s="3" t="s">
        <v>86</v>
      </c>
      <c r="E15" s="3" t="s">
        <v>87</v>
      </c>
      <c r="F15" s="3" t="s">
        <v>88</v>
      </c>
      <c r="G15" s="3" t="s">
        <v>89</v>
      </c>
      <c r="H15" s="3" t="s">
        <v>90</v>
      </c>
      <c r="I15" s="3" t="s">
        <v>91</v>
      </c>
      <c r="J15" s="3" t="s">
        <v>92</v>
      </c>
      <c r="K15" s="3" t="s">
        <v>93</v>
      </c>
      <c r="L15" s="3" t="s">
        <v>94</v>
      </c>
      <c r="M15" s="3" t="s">
        <v>95</v>
      </c>
      <c r="N15" s="3" t="s">
        <v>675</v>
      </c>
      <c r="O15" s="6"/>
      <c r="P15" s="3" t="str">
        <f>'Model names'!C13</f>
        <v>MI</v>
      </c>
      <c r="Q15" s="8">
        <f>[37]Total_Reports!C182</f>
        <v>250.02296730298016</v>
      </c>
      <c r="R15" s="8">
        <f>[37]Total_Reports!D182</f>
        <v>256.35683354066794</v>
      </c>
      <c r="S15" s="8">
        <f>[37]Total_Reports!E182</f>
        <v>255.98260779788166</v>
      </c>
      <c r="T15" s="8">
        <f>[37]Total_Reports!F182</f>
        <v>290.64916734848987</v>
      </c>
      <c r="U15" s="117">
        <f>[37]Total_Reports!G182</f>
        <v>290.79257000675534</v>
      </c>
      <c r="V15" s="8">
        <f>[37]Total_Reports!H182</f>
        <v>319.93090462743157</v>
      </c>
      <c r="W15" s="8">
        <f>[37]Total_Reports!I182</f>
        <v>320.03792051277151</v>
      </c>
      <c r="X15" s="8">
        <f>[37]Total_Reports!J182</f>
        <v>388.98781201908173</v>
      </c>
      <c r="Y15" s="8">
        <f>[37]Total_Reports!K182</f>
        <v>387.25276261721478</v>
      </c>
      <c r="Z15" s="8">
        <f>[37]Total_Reports!L182</f>
        <v>403.89642538591795</v>
      </c>
      <c r="AA15" s="7"/>
      <c r="AB15" s="7"/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16</v>
      </c>
      <c r="D16" s="3" t="s">
        <v>86</v>
      </c>
      <c r="E16" s="3" t="s">
        <v>87</v>
      </c>
      <c r="F16" s="3" t="s">
        <v>88</v>
      </c>
      <c r="G16" s="3" t="s">
        <v>89</v>
      </c>
      <c r="H16" s="3" t="s">
        <v>90</v>
      </c>
      <c r="I16" s="3" t="s">
        <v>91</v>
      </c>
      <c r="J16" s="3" t="s">
        <v>92</v>
      </c>
      <c r="K16" s="3" t="s">
        <v>93</v>
      </c>
      <c r="L16" s="3" t="s">
        <v>94</v>
      </c>
      <c r="M16" s="3" t="s">
        <v>95</v>
      </c>
      <c r="N16" s="3" t="s">
        <v>675</v>
      </c>
      <c r="O16" s="6"/>
      <c r="P16" s="3" t="str">
        <f>'Model names'!C14</f>
        <v>MO</v>
      </c>
      <c r="Q16" s="8">
        <f>[39]Total_Reports!C182</f>
        <v>48084.115087297905</v>
      </c>
      <c r="R16" s="8">
        <f>[39]Total_Reports!D182</f>
        <v>54439.159803325361</v>
      </c>
      <c r="S16" s="8">
        <f>[39]Total_Reports!E182</f>
        <v>62463.286885099318</v>
      </c>
      <c r="T16" s="8">
        <f>[39]Total_Reports!F182</f>
        <v>68799.947484896285</v>
      </c>
      <c r="U16" s="117">
        <f>[39]Total_Reports!G182</f>
        <v>76708.040120431528</v>
      </c>
      <c r="V16" s="8">
        <f>[39]Total_Reports!H182</f>
        <v>84165.899300905148</v>
      </c>
      <c r="W16" s="8">
        <f>[39]Total_Reports!I182</f>
        <v>90879.680198598304</v>
      </c>
      <c r="X16" s="8">
        <f>[39]Total_Reports!J182</f>
        <v>97557.275939688945</v>
      </c>
      <c r="Y16" s="8">
        <f>[39]Total_Reports!K182</f>
        <v>107427.79351084087</v>
      </c>
      <c r="Z16" s="8">
        <f>[39]Total_Reports!L182</f>
        <v>109560.57383186856</v>
      </c>
      <c r="AA16" s="7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16</v>
      </c>
      <c r="D17" s="3" t="s">
        <v>86</v>
      </c>
      <c r="E17" s="3" t="s">
        <v>87</v>
      </c>
      <c r="F17" s="3" t="s">
        <v>88</v>
      </c>
      <c r="G17" s="3" t="s">
        <v>89</v>
      </c>
      <c r="H17" s="3" t="s">
        <v>90</v>
      </c>
      <c r="I17" s="3" t="s">
        <v>91</v>
      </c>
      <c r="J17" s="3" t="s">
        <v>92</v>
      </c>
      <c r="K17" s="3" t="s">
        <v>93</v>
      </c>
      <c r="L17" s="3" t="s">
        <v>94</v>
      </c>
      <c r="M17" s="3" t="s">
        <v>95</v>
      </c>
      <c r="N17" s="3" t="s">
        <v>675</v>
      </c>
      <c r="O17" s="6"/>
      <c r="P17" s="3" t="str">
        <f>'Model names'!C15</f>
        <v>NJ</v>
      </c>
      <c r="Q17" s="8">
        <f>[41]Total_Reports!C182</f>
        <v>137110.20809689717</v>
      </c>
      <c r="R17" s="8">
        <f>[41]Total_Reports!D182</f>
        <v>149062.66125875383</v>
      </c>
      <c r="S17" s="8">
        <f>[41]Total_Reports!E182</f>
        <v>160196.13558555866</v>
      </c>
      <c r="T17" s="8">
        <f>[41]Total_Reports!F182</f>
        <v>173550.90576932282</v>
      </c>
      <c r="U17" s="117">
        <f>[41]Total_Reports!G182</f>
        <v>189965.27728940395</v>
      </c>
      <c r="V17" s="8">
        <f>[41]Total_Reports!H182</f>
        <v>203354.73145083134</v>
      </c>
      <c r="W17" s="8">
        <f>[41]Total_Reports!I182</f>
        <v>206428.29737240099</v>
      </c>
      <c r="X17" s="8">
        <f>[41]Total_Reports!J182</f>
        <v>218060.3771489801</v>
      </c>
      <c r="Y17" s="8">
        <f>[41]Total_Reports!K182</f>
        <v>234615.51484594081</v>
      </c>
      <c r="Z17" s="8">
        <f>[41]Total_Reports!L182</f>
        <v>239672.78023126407</v>
      </c>
      <c r="AA17" s="7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16</v>
      </c>
      <c r="D18" s="3" t="s">
        <v>86</v>
      </c>
      <c r="E18" s="3" t="s">
        <v>87</v>
      </c>
      <c r="F18" s="3" t="s">
        <v>88</v>
      </c>
      <c r="G18" s="3" t="s">
        <v>89</v>
      </c>
      <c r="H18" s="3" t="s">
        <v>90</v>
      </c>
      <c r="I18" s="3" t="s">
        <v>91</v>
      </c>
      <c r="J18" s="3" t="s">
        <v>92</v>
      </c>
      <c r="K18" s="3" t="s">
        <v>93</v>
      </c>
      <c r="L18" s="3" t="s">
        <v>94</v>
      </c>
      <c r="M18" s="3" t="s">
        <v>95</v>
      </c>
      <c r="N18" s="3" t="s">
        <v>675</v>
      </c>
      <c r="O18" s="6"/>
      <c r="P18" s="3" t="str">
        <f>'Model names'!C16</f>
        <v>NY</v>
      </c>
      <c r="Q18" s="8">
        <f>[43]Total_Reports!C182</f>
        <v>11682.788701013653</v>
      </c>
      <c r="R18" s="8">
        <f>[43]Total_Reports!D182</f>
        <v>12249.052070489643</v>
      </c>
      <c r="S18" s="8">
        <f>[43]Total_Reports!E182</f>
        <v>13201.460292997466</v>
      </c>
      <c r="T18" s="8">
        <f>[43]Total_Reports!F182</f>
        <v>14499.236718561629</v>
      </c>
      <c r="U18" s="117">
        <f>[43]Total_Reports!G182</f>
        <v>15193.985937348869</v>
      </c>
      <c r="V18" s="8">
        <f>[43]Total_Reports!H182</f>
        <v>16512.916561406935</v>
      </c>
      <c r="W18" s="8">
        <f>[43]Total_Reports!I182</f>
        <v>17940.555202413059</v>
      </c>
      <c r="X18" s="8">
        <f>[43]Total_Reports!J182</f>
        <v>18466.459681883585</v>
      </c>
      <c r="Y18" s="8">
        <f>[43]Total_Reports!K182</f>
        <v>19925.040852913626</v>
      </c>
      <c r="Z18" s="8">
        <f>[43]Total_Reports!L182</f>
        <v>21196.293867791283</v>
      </c>
      <c r="AA18" s="7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16</v>
      </c>
      <c r="D19" s="3" t="s">
        <v>86</v>
      </c>
      <c r="E19" s="3" t="s">
        <v>87</v>
      </c>
      <c r="F19" s="3" t="s">
        <v>88</v>
      </c>
      <c r="G19" s="3" t="s">
        <v>89</v>
      </c>
      <c r="H19" s="3" t="s">
        <v>90</v>
      </c>
      <c r="I19" s="3" t="s">
        <v>91</v>
      </c>
      <c r="J19" s="3" t="s">
        <v>92</v>
      </c>
      <c r="K19" s="3" t="s">
        <v>93</v>
      </c>
      <c r="L19" s="3" t="s">
        <v>94</v>
      </c>
      <c r="M19" s="3" t="s">
        <v>95</v>
      </c>
      <c r="N19" s="3" t="s">
        <v>675</v>
      </c>
      <c r="O19" s="6"/>
      <c r="P19" s="3" t="str">
        <f>'Model names'!C17</f>
        <v>PA</v>
      </c>
      <c r="Q19" s="8">
        <f>[45]Total_Reports!C182</f>
        <v>172090.23204998515</v>
      </c>
      <c r="R19" s="8">
        <f>[45]Total_Reports!D182</f>
        <v>181403.54544441536</v>
      </c>
      <c r="S19" s="8">
        <f>[45]Total_Reports!E182</f>
        <v>189459.80568441108</v>
      </c>
      <c r="T19" s="8">
        <f>[45]Total_Reports!F182</f>
        <v>217920.58471000826</v>
      </c>
      <c r="U19" s="117">
        <f>[45]Total_Reports!G182</f>
        <v>218650.92578352528</v>
      </c>
      <c r="V19" s="8">
        <f>[45]Total_Reports!H182</f>
        <v>227559.9892992955</v>
      </c>
      <c r="W19" s="8">
        <f>[45]Total_Reports!I182</f>
        <v>255638.4218142282</v>
      </c>
      <c r="X19" s="8">
        <f>[45]Total_Reports!J182</f>
        <v>257236.06600587876</v>
      </c>
      <c r="Y19" s="8">
        <f>[45]Total_Reports!K182</f>
        <v>272166.24578167615</v>
      </c>
      <c r="Z19" s="8">
        <f>[45]Total_Reports!L182</f>
        <v>302039.24857275444</v>
      </c>
      <c r="AA19" s="7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16</v>
      </c>
      <c r="D20" s="3" t="s">
        <v>86</v>
      </c>
      <c r="E20" s="3" t="s">
        <v>87</v>
      </c>
      <c r="F20" s="3" t="s">
        <v>88</v>
      </c>
      <c r="G20" s="3" t="s">
        <v>89</v>
      </c>
      <c r="H20" s="3" t="s">
        <v>90</v>
      </c>
      <c r="I20" s="3" t="s">
        <v>91</v>
      </c>
      <c r="J20" s="3" t="s">
        <v>92</v>
      </c>
      <c r="K20" s="3" t="s">
        <v>93</v>
      </c>
      <c r="L20" s="3" t="s">
        <v>94</v>
      </c>
      <c r="M20" s="3" t="s">
        <v>95</v>
      </c>
      <c r="N20" s="3" t="s">
        <v>675</v>
      </c>
      <c r="O20" s="6"/>
      <c r="P20" s="3" t="str">
        <f>'Model names'!C18</f>
        <v>TN</v>
      </c>
      <c r="Q20" s="8">
        <f>[47]Total_Reports!C182</f>
        <v>8779.591885751699</v>
      </c>
      <c r="R20" s="8">
        <f>[47]Total_Reports!D182</f>
        <v>9901.1909438607399</v>
      </c>
      <c r="S20" s="8">
        <f>[47]Total_Reports!E182</f>
        <v>10850.26254405568</v>
      </c>
      <c r="T20" s="8">
        <f>[47]Total_Reports!F182</f>
        <v>11748.336253615604</v>
      </c>
      <c r="U20" s="117">
        <f>[47]Total_Reports!G182</f>
        <v>12763.970444239849</v>
      </c>
      <c r="V20" s="8">
        <f>[47]Total_Reports!H182</f>
        <v>14437.186030423325</v>
      </c>
      <c r="W20" s="8">
        <f>[47]Total_Reports!I182</f>
        <v>16122.492400034536</v>
      </c>
      <c r="X20" s="8">
        <f>[47]Total_Reports!J182</f>
        <v>18152.058542373401</v>
      </c>
      <c r="Y20" s="8">
        <f>[47]Total_Reports!K182</f>
        <v>20441.208102741028</v>
      </c>
      <c r="Z20" s="8">
        <f>[47]Total_Reports!L182</f>
        <v>22113.888075380688</v>
      </c>
      <c r="AA20" s="7"/>
      <c r="AB20" s="7"/>
      <c r="AC20" s="8"/>
      <c r="AG20" s="5"/>
      <c r="AH20" s="5"/>
    </row>
    <row r="21" spans="1:34" x14ac:dyDescent="0.3">
      <c r="A21" s="2" t="str">
        <f t="shared" ref="A21:A33" si="0">IF(B21=0,"",A20)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tr">
        <f t="shared" ref="C15:N30" si="1">IF(B21=0,"",C20)</f>
        <v>Total_Reports</v>
      </c>
      <c r="D21" s="3" t="s">
        <v>86</v>
      </c>
      <c r="E21" s="3" t="s">
        <v>87</v>
      </c>
      <c r="F21" s="3" t="s">
        <v>88</v>
      </c>
      <c r="G21" s="3" t="s">
        <v>89</v>
      </c>
      <c r="H21" s="3" t="s">
        <v>90</v>
      </c>
      <c r="I21" s="3" t="s">
        <v>91</v>
      </c>
      <c r="J21" s="3" t="s">
        <v>92</v>
      </c>
      <c r="K21" s="3" t="s">
        <v>93</v>
      </c>
      <c r="L21" s="3" t="s">
        <v>94</v>
      </c>
      <c r="M21" s="3" t="s">
        <v>95</v>
      </c>
      <c r="N21" s="3" t="s">
        <v>675</v>
      </c>
      <c r="O21" s="6"/>
      <c r="P21" s="3" t="str">
        <f>'Model names'!C19</f>
        <v>VA</v>
      </c>
      <c r="Q21" s="8">
        <f>[49]Total_Reports!C182</f>
        <v>7652.0288455772616</v>
      </c>
      <c r="R21" s="8">
        <f>[49]Total_Reports!D182</f>
        <v>7793.9504781483829</v>
      </c>
      <c r="S21" s="8">
        <f>[49]Total_Reports!E182</f>
        <v>8821.8811746214415</v>
      </c>
      <c r="T21" s="8">
        <f>[49]Total_Reports!F182</f>
        <v>8177.9951884126212</v>
      </c>
      <c r="U21" s="117">
        <f>[49]Total_Reports!G182</f>
        <v>10227.222019635639</v>
      </c>
      <c r="V21" s="8">
        <f>[49]Total_Reports!H182</f>
        <v>10531.363862256016</v>
      </c>
      <c r="W21" s="8">
        <f>[49]Total_Reports!I182</f>
        <v>9675.8790073385208</v>
      </c>
      <c r="X21" s="8">
        <f>[49]Total_Reports!J182</f>
        <v>10922.875028525004</v>
      </c>
      <c r="Y21" s="8">
        <f>[49]Total_Reports!K182</f>
        <v>12291.332884886897</v>
      </c>
      <c r="Z21" s="8">
        <f>[49]Total_Reports!L182</f>
        <v>12645.741871545011</v>
      </c>
      <c r="AA21" s="8"/>
      <c r="AB21" s="8"/>
      <c r="AC21" s="8"/>
    </row>
    <row r="22" spans="1:34" x14ac:dyDescent="0.3">
      <c r="A22" s="2" t="str">
        <f t="shared" si="0"/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tr">
        <f t="shared" si="1"/>
        <v>Total_Reports</v>
      </c>
      <c r="D22" s="3" t="s">
        <v>86</v>
      </c>
      <c r="E22" s="3" t="s">
        <v>87</v>
      </c>
      <c r="F22" s="3" t="s">
        <v>88</v>
      </c>
      <c r="G22" s="3" t="s">
        <v>89</v>
      </c>
      <c r="H22" s="3" t="s">
        <v>90</v>
      </c>
      <c r="I22" s="3" t="s">
        <v>91</v>
      </c>
      <c r="J22" s="3" t="s">
        <v>92</v>
      </c>
      <c r="K22" s="3" t="s">
        <v>93</v>
      </c>
      <c r="L22" s="3" t="s">
        <v>94</v>
      </c>
      <c r="M22" s="3" t="s">
        <v>95</v>
      </c>
      <c r="N22" s="3" t="s">
        <v>675</v>
      </c>
      <c r="O22" s="6"/>
      <c r="P22" s="3" t="str">
        <f>'Model names'!C20</f>
        <v>WV</v>
      </c>
      <c r="Q22" s="8">
        <f>[51]Total_Reports!C182</f>
        <v>17263.23584411804</v>
      </c>
      <c r="R22" s="8">
        <f>[51]Total_Reports!D182</f>
        <v>22182.419755018782</v>
      </c>
      <c r="S22" s="8">
        <f>[51]Total_Reports!E182</f>
        <v>23900.406841531192</v>
      </c>
      <c r="T22" s="8">
        <f>[51]Total_Reports!F182</f>
        <v>24199.765462960844</v>
      </c>
      <c r="U22" s="117">
        <f>[51]Total_Reports!G182</f>
        <v>29586.300810430814</v>
      </c>
      <c r="V22" s="8">
        <f>[51]Total_Reports!H182</f>
        <v>32270.221514492776</v>
      </c>
      <c r="W22" s="8">
        <f>[51]Total_Reports!I182</f>
        <v>31201.139145787893</v>
      </c>
      <c r="X22" s="8">
        <f>[51]Total_Reports!J182</f>
        <v>35623.371862989719</v>
      </c>
      <c r="Y22" s="8">
        <f>[51]Total_Reports!K182</f>
        <v>37199.004820427392</v>
      </c>
      <c r="Z22" s="8">
        <f>[51]Total_Reports!L182</f>
        <v>37058.178928312409</v>
      </c>
      <c r="AA22" s="8"/>
      <c r="AB22" s="8"/>
      <c r="AC22" s="8"/>
    </row>
    <row r="23" spans="1:34" hidden="1" outlineLevel="1" x14ac:dyDescent="0.3">
      <c r="A23" s="2" t="str">
        <f t="shared" si="0"/>
        <v/>
      </c>
      <c r="B23" s="3">
        <f>'Model names'!B21</f>
        <v>0</v>
      </c>
      <c r="C23" s="3" t="str">
        <f t="shared" si="1"/>
        <v/>
      </c>
      <c r="D23" s="3" t="s">
        <v>86</v>
      </c>
      <c r="E23" s="3" t="s">
        <v>87</v>
      </c>
      <c r="F23" s="3" t="s">
        <v>88</v>
      </c>
      <c r="G23" s="3" t="s">
        <v>89</v>
      </c>
      <c r="H23" s="3" t="s">
        <v>90</v>
      </c>
      <c r="I23" s="3" t="s">
        <v>91</v>
      </c>
      <c r="J23" s="3" t="s">
        <v>92</v>
      </c>
      <c r="K23" s="3" t="s">
        <v>93</v>
      </c>
      <c r="L23" s="3" t="s">
        <v>94</v>
      </c>
      <c r="M23" s="3" t="s">
        <v>95</v>
      </c>
      <c r="N23" s="3" t="s">
        <v>675</v>
      </c>
      <c r="O23" s="6"/>
      <c r="P23" s="3">
        <f>'Model names'!C21</f>
        <v>0</v>
      </c>
      <c r="Q23" s="8">
        <f>[53]Growth_Inputs!D372</f>
        <v>110.77149980172919</v>
      </c>
      <c r="R23" s="8">
        <f>[53]Growth_Inputs!E372</f>
        <v>664.62899881037515</v>
      </c>
      <c r="S23" s="8">
        <f>[53]Growth_Inputs!F372</f>
        <v>964.62899881037515</v>
      </c>
      <c r="T23" s="8">
        <f>[53]Growth_Inputs!G372</f>
        <v>1114.6289988103752</v>
      </c>
      <c r="U23" s="8">
        <f>[53]Growth_Inputs!H372</f>
        <v>1564.6289988103752</v>
      </c>
      <c r="V23" s="8">
        <f>[53]Growth_Inputs!I372</f>
        <v>1714.6289988103752</v>
      </c>
      <c r="W23" s="8">
        <f>[53]Growth_Inputs!J372</f>
        <v>1864.6289988103752</v>
      </c>
      <c r="X23" s="8">
        <f>[53]Growth_Inputs!K372</f>
        <v>2014.6289988103752</v>
      </c>
      <c r="Y23" s="8">
        <f>[53]Growth_Inputs!L372</f>
        <v>2164.6289988103754</v>
      </c>
      <c r="Z23" s="8">
        <f>[53]Growth_Inputs!M372</f>
        <v>2314.6289988103754</v>
      </c>
      <c r="AA23" s="8"/>
      <c r="AB23" s="8"/>
      <c r="AC23" s="8"/>
    </row>
    <row r="24" spans="1:34" hidden="1" outlineLevel="1" x14ac:dyDescent="0.3">
      <c r="A24" s="2" t="e">
        <f t="shared" si="0"/>
        <v>#REF!</v>
      </c>
      <c r="B24" s="3" t="e">
        <f>'Model names'!#REF!</f>
        <v>#REF!</v>
      </c>
      <c r="C24" s="3" t="e">
        <f t="shared" si="1"/>
        <v>#REF!</v>
      </c>
      <c r="D24" s="3" t="s">
        <v>86</v>
      </c>
      <c r="E24" s="3" t="s">
        <v>87</v>
      </c>
      <c r="F24" s="3" t="s">
        <v>88</v>
      </c>
      <c r="G24" s="3" t="s">
        <v>89</v>
      </c>
      <c r="H24" s="3" t="s">
        <v>90</v>
      </c>
      <c r="I24" s="3" t="s">
        <v>91</v>
      </c>
      <c r="J24" s="3" t="s">
        <v>92</v>
      </c>
      <c r="K24" s="3" t="s">
        <v>93</v>
      </c>
      <c r="L24" s="3" t="s">
        <v>94</v>
      </c>
      <c r="M24" s="3" t="s">
        <v>95</v>
      </c>
      <c r="N24" s="3" t="s">
        <v>675</v>
      </c>
      <c r="O24" s="6"/>
      <c r="P24" s="3" t="e">
        <f>'Model names'!#REF!</f>
        <v>#REF!</v>
      </c>
      <c r="Q24" s="8">
        <f>[54]Growth_Inputs!D372</f>
        <v>4106.0134159539284</v>
      </c>
      <c r="R24" s="8">
        <f>[54]Growth_Inputs!E372</f>
        <v>6617.2634159539284</v>
      </c>
      <c r="S24" s="8">
        <f>[54]Growth_Inputs!F372</f>
        <v>9989.5134159539266</v>
      </c>
      <c r="T24" s="8">
        <f>[54]Growth_Inputs!G372</f>
        <v>13528.806384703927</v>
      </c>
      <c r="U24" s="8">
        <f>[54]Growth_Inputs!H372</f>
        <v>17241.386814391422</v>
      </c>
      <c r="V24" s="8">
        <f>[54]Growth_Inputs!I372</f>
        <v>21529.699894469544</v>
      </c>
      <c r="W24" s="8">
        <f>[54]Growth_Inputs!J372</f>
        <v>26024.219020177552</v>
      </c>
      <c r="X24" s="8">
        <f>[54]Growth_Inputs!K372</f>
        <v>30732.574298121886</v>
      </c>
      <c r="Y24" s="8">
        <f>[54]Growth_Inputs!L372</f>
        <v>35662.648461460791</v>
      </c>
      <c r="Z24" s="8">
        <f>[54]Growth_Inputs!M372</f>
        <v>40822.584732415293</v>
      </c>
      <c r="AA24" s="8"/>
      <c r="AB24" s="8"/>
      <c r="AC24" s="8"/>
    </row>
    <row r="25" spans="1:34" hidden="1" outlineLevel="1" x14ac:dyDescent="0.3">
      <c r="A25" s="2" t="e">
        <f t="shared" si="0"/>
        <v>#REF!</v>
      </c>
      <c r="B25" s="3" t="e">
        <f>'Model names'!#REF!</f>
        <v>#REF!</v>
      </c>
      <c r="C25" s="3" t="e">
        <f t="shared" si="1"/>
        <v>#REF!</v>
      </c>
      <c r="D25" s="3" t="s">
        <v>86</v>
      </c>
      <c r="E25" s="3" t="s">
        <v>87</v>
      </c>
      <c r="F25" s="3" t="s">
        <v>88</v>
      </c>
      <c r="G25" s="3" t="s">
        <v>89</v>
      </c>
      <c r="H25" s="3" t="s">
        <v>90</v>
      </c>
      <c r="I25" s="3" t="s">
        <v>91</v>
      </c>
      <c r="J25" s="3" t="s">
        <v>92</v>
      </c>
      <c r="K25" s="3" t="s">
        <v>93</v>
      </c>
      <c r="L25" s="3" t="s">
        <v>94</v>
      </c>
      <c r="M25" s="3" t="s">
        <v>95</v>
      </c>
      <c r="N25" s="3" t="s">
        <v>675</v>
      </c>
      <c r="O25" s="6"/>
      <c r="P25" s="3" t="e">
        <f>'Model names'!#REF!</f>
        <v>#REF!</v>
      </c>
      <c r="Q25" s="8">
        <f>[55]Growth_Inputs!D372</f>
        <v>75.800454055535198</v>
      </c>
      <c r="R25" s="8">
        <f>[55]Growth_Inputs!E372</f>
        <v>120.02715405553519</v>
      </c>
      <c r="S25" s="8">
        <f>[55]Growth_Inputs!F372</f>
        <v>166.46518905553518</v>
      </c>
      <c r="T25" s="8">
        <f>[55]Growth_Inputs!G372</f>
        <v>215.19748411803516</v>
      </c>
      <c r="U25" s="8">
        <f>[55]Growth_Inputs!H372</f>
        <v>266.30972847428512</v>
      </c>
      <c r="V25" s="8">
        <f>[55]Growth_Inputs!I372</f>
        <v>319.89046190455855</v>
      </c>
      <c r="W25" s="8">
        <f>[55]Growth_Inputs!J372</f>
        <v>376.03116370983389</v>
      </c>
      <c r="X25" s="8">
        <f>[55]Growth_Inputs!K372</f>
        <v>434.82634435046737</v>
      </c>
      <c r="Y25" s="8">
        <f>[55]Growth_Inputs!L372</f>
        <v>496.37363982959857</v>
      </c>
      <c r="Z25" s="8">
        <f>[55]Growth_Inputs!M372</f>
        <v>560.77390890125196</v>
      </c>
      <c r="AA25" s="8"/>
      <c r="AB25" s="8"/>
      <c r="AC25" s="8"/>
    </row>
    <row r="26" spans="1:34" hidden="1" outlineLevel="1" x14ac:dyDescent="0.3">
      <c r="A26" s="2" t="e">
        <f t="shared" si="0"/>
        <v>#REF!</v>
      </c>
      <c r="B26" s="3" t="e">
        <f>'Model names'!#REF!</f>
        <v>#REF!</v>
      </c>
      <c r="C26" s="3" t="e">
        <f t="shared" si="1"/>
        <v>#REF!</v>
      </c>
      <c r="D26" s="3" t="s">
        <v>86</v>
      </c>
      <c r="E26" s="3" t="s">
        <v>87</v>
      </c>
      <c r="F26" s="3" t="s">
        <v>88</v>
      </c>
      <c r="G26" s="3" t="s">
        <v>89</v>
      </c>
      <c r="H26" s="3" t="s">
        <v>90</v>
      </c>
      <c r="I26" s="3" t="s">
        <v>91</v>
      </c>
      <c r="J26" s="3" t="s">
        <v>92</v>
      </c>
      <c r="K26" s="3" t="s">
        <v>93</v>
      </c>
      <c r="L26" s="3" t="s">
        <v>94</v>
      </c>
      <c r="M26" s="3" t="s">
        <v>95</v>
      </c>
      <c r="N26" s="3" t="s">
        <v>675</v>
      </c>
      <c r="O26" s="6"/>
      <c r="P26" s="3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2" t="e">
        <f t="shared" si="0"/>
        <v>#REF!</v>
      </c>
      <c r="B27" s="3" t="e">
        <f>'Model names'!#REF!</f>
        <v>#REF!</v>
      </c>
      <c r="C27" s="3" t="e">
        <f t="shared" si="1"/>
        <v>#REF!</v>
      </c>
      <c r="D27" s="3" t="s">
        <v>86</v>
      </c>
      <c r="E27" s="3" t="s">
        <v>87</v>
      </c>
      <c r="F27" s="3" t="s">
        <v>88</v>
      </c>
      <c r="G27" s="3" t="s">
        <v>89</v>
      </c>
      <c r="H27" s="3" t="s">
        <v>90</v>
      </c>
      <c r="I27" s="3" t="s">
        <v>91</v>
      </c>
      <c r="J27" s="3" t="s">
        <v>92</v>
      </c>
      <c r="K27" s="3" t="s">
        <v>93</v>
      </c>
      <c r="L27" s="3" t="s">
        <v>94</v>
      </c>
      <c r="M27" s="3" t="s">
        <v>95</v>
      </c>
      <c r="N27" s="3" t="s">
        <v>675</v>
      </c>
      <c r="O27" s="6"/>
      <c r="P27" s="3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2" t="e">
        <f t="shared" si="0"/>
        <v>#REF!</v>
      </c>
      <c r="B28" s="3" t="e">
        <f>'Model names'!#REF!</f>
        <v>#REF!</v>
      </c>
      <c r="C28" s="3" t="e">
        <f t="shared" si="1"/>
        <v>#REF!</v>
      </c>
      <c r="D28" s="3" t="s">
        <v>86</v>
      </c>
      <c r="E28" s="3" t="s">
        <v>87</v>
      </c>
      <c r="F28" s="3" t="s">
        <v>88</v>
      </c>
      <c r="G28" s="3" t="s">
        <v>89</v>
      </c>
      <c r="H28" s="3" t="s">
        <v>90</v>
      </c>
      <c r="I28" s="3" t="s">
        <v>91</v>
      </c>
      <c r="J28" s="3" t="s">
        <v>92</v>
      </c>
      <c r="K28" s="3" t="s">
        <v>93</v>
      </c>
      <c r="L28" s="3" t="s">
        <v>94</v>
      </c>
      <c r="M28" s="3" t="s">
        <v>95</v>
      </c>
      <c r="N28" s="3" t="s">
        <v>675</v>
      </c>
      <c r="O28" s="6"/>
      <c r="P28" s="3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2" t="e">
        <f t="shared" si="0"/>
        <v>#REF!</v>
      </c>
      <c r="B29" s="3" t="e">
        <f>'Model names'!#REF!</f>
        <v>#REF!</v>
      </c>
      <c r="C29" s="3" t="e">
        <f t="shared" si="1"/>
        <v>#REF!</v>
      </c>
      <c r="D29" s="3" t="s">
        <v>86</v>
      </c>
      <c r="E29" s="3" t="s">
        <v>87</v>
      </c>
      <c r="F29" s="3" t="s">
        <v>88</v>
      </c>
      <c r="G29" s="3" t="s">
        <v>89</v>
      </c>
      <c r="H29" s="3" t="s">
        <v>90</v>
      </c>
      <c r="I29" s="3" t="s">
        <v>91</v>
      </c>
      <c r="J29" s="3" t="s">
        <v>92</v>
      </c>
      <c r="K29" s="3" t="s">
        <v>93</v>
      </c>
      <c r="L29" s="3" t="s">
        <v>94</v>
      </c>
      <c r="M29" s="3" t="s">
        <v>95</v>
      </c>
      <c r="N29" s="3" t="s">
        <v>675</v>
      </c>
      <c r="O29" s="6"/>
      <c r="P29" s="3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2" t="e">
        <f t="shared" si="0"/>
        <v>#REF!</v>
      </c>
      <c r="B30" s="3" t="e">
        <f>'Model names'!#REF!</f>
        <v>#REF!</v>
      </c>
      <c r="C30" s="3" t="e">
        <f t="shared" si="1"/>
        <v>#REF!</v>
      </c>
      <c r="D30" s="3" t="s">
        <v>86</v>
      </c>
      <c r="E30" s="3" t="s">
        <v>87</v>
      </c>
      <c r="F30" s="3" t="s">
        <v>88</v>
      </c>
      <c r="G30" s="3" t="s">
        <v>89</v>
      </c>
      <c r="H30" s="3" t="s">
        <v>90</v>
      </c>
      <c r="I30" s="3" t="s">
        <v>91</v>
      </c>
      <c r="J30" s="3" t="s">
        <v>92</v>
      </c>
      <c r="K30" s="3" t="s">
        <v>93</v>
      </c>
      <c r="L30" s="3" t="s">
        <v>94</v>
      </c>
      <c r="M30" s="3" t="s">
        <v>95</v>
      </c>
      <c r="N30" s="3" t="s">
        <v>675</v>
      </c>
      <c r="O30" s="6"/>
      <c r="P30" s="3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2" t="e">
        <f t="shared" si="0"/>
        <v>#REF!</v>
      </c>
      <c r="B31" s="3" t="e">
        <f>'Model names'!#REF!</f>
        <v>#REF!</v>
      </c>
      <c r="C31" s="3" t="e">
        <f t="shared" ref="C31:N33" si="2">IF(B31=0,"",C30)</f>
        <v>#REF!</v>
      </c>
      <c r="D31" s="3" t="s">
        <v>86</v>
      </c>
      <c r="E31" s="3" t="s">
        <v>87</v>
      </c>
      <c r="F31" s="3" t="s">
        <v>88</v>
      </c>
      <c r="G31" s="3" t="s">
        <v>89</v>
      </c>
      <c r="H31" s="3" t="s">
        <v>90</v>
      </c>
      <c r="I31" s="3" t="s">
        <v>91</v>
      </c>
      <c r="J31" s="3" t="s">
        <v>92</v>
      </c>
      <c r="K31" s="3" t="s">
        <v>93</v>
      </c>
      <c r="L31" s="3" t="s">
        <v>94</v>
      </c>
      <c r="M31" s="3" t="s">
        <v>95</v>
      </c>
      <c r="N31" s="3" t="s">
        <v>675</v>
      </c>
      <c r="O31" s="6"/>
      <c r="P31" s="3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2" t="e">
        <f t="shared" si="0"/>
        <v>#REF!</v>
      </c>
      <c r="B32" s="3" t="e">
        <f>'Model names'!#REF!</f>
        <v>#REF!</v>
      </c>
      <c r="C32" s="3" t="e">
        <f t="shared" si="2"/>
        <v>#REF!</v>
      </c>
      <c r="D32" s="3" t="s">
        <v>86</v>
      </c>
      <c r="E32" s="3" t="s">
        <v>87</v>
      </c>
      <c r="F32" s="3" t="s">
        <v>88</v>
      </c>
      <c r="G32" s="3" t="s">
        <v>89</v>
      </c>
      <c r="H32" s="3" t="s">
        <v>90</v>
      </c>
      <c r="I32" s="3" t="s">
        <v>91</v>
      </c>
      <c r="J32" s="3" t="s">
        <v>92</v>
      </c>
      <c r="K32" s="3" t="s">
        <v>93</v>
      </c>
      <c r="L32" s="3" t="s">
        <v>94</v>
      </c>
      <c r="M32" s="3" t="s">
        <v>95</v>
      </c>
      <c r="N32" s="3" t="s">
        <v>675</v>
      </c>
      <c r="O32" s="6"/>
      <c r="P32" s="3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2" t="str">
        <f t="shared" si="0"/>
        <v/>
      </c>
      <c r="B33" s="3">
        <f>'Model names'!B31</f>
        <v>0</v>
      </c>
      <c r="C33" s="3" t="str">
        <f t="shared" si="2"/>
        <v/>
      </c>
      <c r="D33" s="3" t="s">
        <v>86</v>
      </c>
      <c r="E33" s="3" t="s">
        <v>87</v>
      </c>
      <c r="F33" s="3" t="s">
        <v>88</v>
      </c>
      <c r="G33" s="3" t="s">
        <v>89</v>
      </c>
      <c r="H33" s="3" t="s">
        <v>90</v>
      </c>
      <c r="I33" s="3" t="s">
        <v>91</v>
      </c>
      <c r="J33" s="3" t="s">
        <v>92</v>
      </c>
      <c r="K33" s="3" t="s">
        <v>93</v>
      </c>
      <c r="L33" s="3" t="s">
        <v>94</v>
      </c>
      <c r="M33" s="3" t="s">
        <v>95</v>
      </c>
      <c r="N33" s="3" t="s">
        <v>675</v>
      </c>
      <c r="O33" s="6"/>
      <c r="P33" s="3">
        <f>'Model names'!C31</f>
        <v>0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2" priority="3" operator="equal">
      <formula>"On"</formula>
    </cfRule>
  </conditionalFormatting>
  <conditionalFormatting sqref="V21:AA23">
    <cfRule type="cellIs" dxfId="1" priority="2" operator="equal">
      <formula>"On"</formula>
    </cfRule>
  </conditionalFormatting>
  <conditionalFormatting sqref="R21:R23">
    <cfRule type="cellIs" dxfId="0" priority="1" operator="equal">
      <formula>"On"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4145" r:id="rId3" name="CommandButton21">
          <controlPr autoLine="0" r:id="rId4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34145" r:id="rId3" name="CommandButton2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6"/>
  </sheetPr>
  <dimension ref="A1:AH40"/>
  <sheetViews>
    <sheetView topLeftCell="B1" zoomScale="70" zoomScaleNormal="70" workbookViewId="0">
      <selection activeCell="Q15" sqref="Q15:U15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17" width="14.33203125" customWidth="1"/>
    <col min="18" max="21" width="10" customWidth="1"/>
    <col min="22" max="22" width="10" hidden="1" customWidth="1" outlineLevel="1"/>
    <col min="23" max="23" width="11" hidden="1" customWidth="1" outlineLevel="1"/>
    <col min="24" max="27" width="10" hidden="1" customWidth="1" outlineLevel="1"/>
    <col min="28" max="28" width="13.33203125" hidden="1" customWidth="1" outlineLevel="1"/>
    <col min="29" max="29" width="3.6640625" customWidth="1" collapsed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5</v>
      </c>
      <c r="P2" s="1">
        <v>5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 t="s">
        <v>169</v>
      </c>
      <c r="R3" s="2" t="s">
        <v>169</v>
      </c>
      <c r="S3" s="2" t="s">
        <v>170</v>
      </c>
      <c r="T3" s="2" t="s">
        <v>170</v>
      </c>
      <c r="U3" s="2" t="s">
        <v>170</v>
      </c>
      <c r="V3" s="2"/>
      <c r="W3" s="2"/>
      <c r="X3" s="2"/>
      <c r="Y3" s="2"/>
      <c r="Z3" s="2"/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106</v>
      </c>
      <c r="D4" s="3" t="s">
        <v>169</v>
      </c>
      <c r="E4" s="3" t="s">
        <v>169</v>
      </c>
      <c r="F4" s="3" t="s">
        <v>170</v>
      </c>
      <c r="G4" s="3" t="s">
        <v>170</v>
      </c>
      <c r="H4" s="3" t="s">
        <v>170</v>
      </c>
      <c r="I4" s="3"/>
      <c r="J4" s="3"/>
      <c r="K4" s="3"/>
      <c r="L4" s="3"/>
      <c r="M4" s="3"/>
      <c r="N4" s="3"/>
      <c r="O4" s="6" t="s">
        <v>168</v>
      </c>
      <c r="P4" s="3" t="str">
        <f>'Model names'!C2</f>
        <v>BFW</v>
      </c>
      <c r="Q4" s="29">
        <f>[15]Base_Inputs!AJ278</f>
        <v>1</v>
      </c>
      <c r="R4" s="29">
        <f>[15]Base_Inputs!AJ278</f>
        <v>1</v>
      </c>
      <c r="S4" s="29">
        <f>[15]Base_Inputs!AJ279</f>
        <v>1</v>
      </c>
      <c r="T4" s="29">
        <f>[15]Base_Inputs!AJ279</f>
        <v>1</v>
      </c>
      <c r="U4" s="29">
        <f>[15]Base_Inputs!AJ279</f>
        <v>1</v>
      </c>
      <c r="V4" s="15"/>
      <c r="W4" s="15"/>
      <c r="X4" s="15"/>
      <c r="Y4" s="15"/>
      <c r="Z4" s="15"/>
      <c r="AA4" s="15"/>
      <c r="AB4" s="7" t="s">
        <v>171</v>
      </c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106</v>
      </c>
      <c r="D5" s="3" t="s">
        <v>169</v>
      </c>
      <c r="E5" s="3" t="s">
        <v>169</v>
      </c>
      <c r="F5" s="3" t="s">
        <v>170</v>
      </c>
      <c r="G5" s="3" t="s">
        <v>170</v>
      </c>
      <c r="H5" s="3" t="s">
        <v>170</v>
      </c>
      <c r="I5" s="3"/>
      <c r="J5" s="3"/>
      <c r="K5" s="3"/>
      <c r="L5" s="3"/>
      <c r="M5" s="3"/>
      <c r="N5" s="3"/>
      <c r="O5" s="6" t="s">
        <v>168</v>
      </c>
      <c r="P5" s="18" t="str">
        <f>'Model names'!C3</f>
        <v>CA</v>
      </c>
      <c r="Q5" s="29">
        <f>[17]Base_Inputs!AJ278</f>
        <v>1</v>
      </c>
      <c r="R5" s="29">
        <f>[17]Base_Inputs!AJ278</f>
        <v>1</v>
      </c>
      <c r="S5" s="29">
        <f>[17]Base_Inputs!AJ279</f>
        <v>1</v>
      </c>
      <c r="T5" s="29">
        <f>[17]Base_Inputs!AJ279</f>
        <v>1</v>
      </c>
      <c r="U5" s="29">
        <f>[17]Base_Inputs!AJ279</f>
        <v>1</v>
      </c>
      <c r="V5" s="15"/>
      <c r="W5" s="15"/>
      <c r="X5" s="15"/>
      <c r="Y5" s="15"/>
      <c r="Z5" s="15"/>
      <c r="AA5" s="15"/>
      <c r="AB5" s="7" t="s">
        <v>172</v>
      </c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106</v>
      </c>
      <c r="D6" s="3" t="s">
        <v>169</v>
      </c>
      <c r="E6" s="3" t="s">
        <v>169</v>
      </c>
      <c r="F6" s="3" t="s">
        <v>170</v>
      </c>
      <c r="G6" s="3" t="s">
        <v>170</v>
      </c>
      <c r="H6" s="3" t="s">
        <v>170</v>
      </c>
      <c r="I6" s="3"/>
      <c r="J6" s="3"/>
      <c r="K6" s="3"/>
      <c r="L6" s="3"/>
      <c r="M6" s="3"/>
      <c r="N6" s="3"/>
      <c r="O6" s="6" t="s">
        <v>168</v>
      </c>
      <c r="P6" s="3" t="str">
        <f>'Model names'!C4</f>
        <v>ETS</v>
      </c>
      <c r="Q6" s="29">
        <f>[19]Base_Inputs!AJ278</f>
        <v>1</v>
      </c>
      <c r="R6" s="29">
        <f>[19]Base_Inputs!AJ278</f>
        <v>1</v>
      </c>
      <c r="S6" s="29">
        <f>[19]Base_Inputs!AJ279</f>
        <v>1</v>
      </c>
      <c r="T6" s="29">
        <f>[19]Base_Inputs!AJ279</f>
        <v>1</v>
      </c>
      <c r="U6" s="29">
        <f>[19]Base_Inputs!AJ279</f>
        <v>1</v>
      </c>
      <c r="V6" s="15"/>
      <c r="W6" s="15"/>
      <c r="X6" s="15"/>
      <c r="Y6" s="15"/>
      <c r="Z6" s="15"/>
      <c r="AA6" s="15"/>
      <c r="AB6" s="7" t="s">
        <v>173</v>
      </c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106</v>
      </c>
      <c r="D7" s="3" t="s">
        <v>169</v>
      </c>
      <c r="E7" s="3" t="s">
        <v>169</v>
      </c>
      <c r="F7" s="3" t="s">
        <v>170</v>
      </c>
      <c r="G7" s="3" t="s">
        <v>170</v>
      </c>
      <c r="H7" s="3" t="s">
        <v>170</v>
      </c>
      <c r="I7" s="3"/>
      <c r="J7" s="3"/>
      <c r="K7" s="3"/>
      <c r="L7" s="3"/>
      <c r="M7" s="3"/>
      <c r="N7" s="3"/>
      <c r="O7" s="6" t="s">
        <v>168</v>
      </c>
      <c r="P7" s="18" t="str">
        <f>'Model names'!C5</f>
        <v>HI</v>
      </c>
      <c r="Q7" s="29">
        <f>[21]Base_Inputs!AJ278</f>
        <v>1</v>
      </c>
      <c r="R7" s="29">
        <f>[21]Base_Inputs!AJ278</f>
        <v>1</v>
      </c>
      <c r="S7" s="29">
        <f>[21]Base_Inputs!AJ279</f>
        <v>1</v>
      </c>
      <c r="T7" s="29">
        <f>[21]Base_Inputs!AJ279</f>
        <v>1</v>
      </c>
      <c r="U7" s="29">
        <f>[21]Base_Inputs!AJ279</f>
        <v>1</v>
      </c>
      <c r="V7" s="15"/>
      <c r="W7" s="15"/>
      <c r="X7" s="15"/>
      <c r="Y7" s="15"/>
      <c r="Z7" s="15"/>
      <c r="AA7" s="15"/>
      <c r="AB7" s="7" t="s">
        <v>174</v>
      </c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106</v>
      </c>
      <c r="D8" s="3" t="s">
        <v>169</v>
      </c>
      <c r="E8" s="3" t="s">
        <v>169</v>
      </c>
      <c r="F8" s="3" t="s">
        <v>170</v>
      </c>
      <c r="G8" s="3" t="s">
        <v>170</v>
      </c>
      <c r="H8" s="3" t="s">
        <v>170</v>
      </c>
      <c r="I8" s="3"/>
      <c r="J8" s="3"/>
      <c r="K8" s="3"/>
      <c r="L8" s="3"/>
      <c r="M8" s="3"/>
      <c r="N8" s="3"/>
      <c r="O8" s="6" t="s">
        <v>168</v>
      </c>
      <c r="P8" s="18" t="str">
        <f>'Model names'!C6</f>
        <v>IA</v>
      </c>
      <c r="Q8" s="29">
        <f>[23]Base_Inputs!AJ278</f>
        <v>1</v>
      </c>
      <c r="R8" s="29">
        <f>[23]Base_Inputs!AJ278</f>
        <v>1</v>
      </c>
      <c r="S8" s="29">
        <f>[23]Base_Inputs!AJ279</f>
        <v>1</v>
      </c>
      <c r="T8" s="29">
        <f>[23]Base_Inputs!AJ279</f>
        <v>1</v>
      </c>
      <c r="U8" s="29">
        <f>[23]Base_Inputs!AJ279</f>
        <v>1</v>
      </c>
      <c r="V8" s="15"/>
      <c r="W8" s="15"/>
      <c r="X8" s="15"/>
      <c r="Y8" s="15"/>
      <c r="Z8" s="15"/>
      <c r="AA8" s="15"/>
      <c r="AB8" s="7" t="s">
        <v>175</v>
      </c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106</v>
      </c>
      <c r="D9" s="3" t="s">
        <v>169</v>
      </c>
      <c r="E9" s="3" t="s">
        <v>169</v>
      </c>
      <c r="F9" s="3" t="s">
        <v>170</v>
      </c>
      <c r="G9" s="3" t="s">
        <v>170</v>
      </c>
      <c r="H9" s="3" t="s">
        <v>170</v>
      </c>
      <c r="I9" s="3"/>
      <c r="J9" s="3"/>
      <c r="K9" s="3"/>
      <c r="L9" s="3"/>
      <c r="M9" s="3"/>
      <c r="N9" s="3"/>
      <c r="O9" s="6" t="s">
        <v>168</v>
      </c>
      <c r="P9" s="3" t="str">
        <f>'Model names'!C7</f>
        <v>IL</v>
      </c>
      <c r="Q9" s="29">
        <f>[25]Base_Inputs!AJ278</f>
        <v>0.99999999999999978</v>
      </c>
      <c r="R9" s="29">
        <f>[25]Base_Inputs!AJ278</f>
        <v>0.99999999999999978</v>
      </c>
      <c r="S9" s="29">
        <f>[25]Base_Inputs!AJ279</f>
        <v>0.99999999999999978</v>
      </c>
      <c r="T9" s="29">
        <f>[25]Base_Inputs!AJ279</f>
        <v>0.99999999999999978</v>
      </c>
      <c r="U9" s="29">
        <f>[25]Base_Inputs!AJ279</f>
        <v>0.99999999999999978</v>
      </c>
      <c r="V9" s="15"/>
      <c r="W9" s="15"/>
      <c r="X9" s="15"/>
      <c r="Y9" s="15"/>
      <c r="Z9" s="15"/>
      <c r="AA9" s="15"/>
      <c r="AB9" s="7" t="s">
        <v>176</v>
      </c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106</v>
      </c>
      <c r="D10" s="3" t="s">
        <v>169</v>
      </c>
      <c r="E10" s="3" t="s">
        <v>169</v>
      </c>
      <c r="F10" s="3" t="s">
        <v>170</v>
      </c>
      <c r="G10" s="3" t="s">
        <v>170</v>
      </c>
      <c r="H10" s="3" t="s">
        <v>170</v>
      </c>
      <c r="I10" s="3"/>
      <c r="J10" s="3"/>
      <c r="K10" s="3"/>
      <c r="L10" s="3"/>
      <c r="M10" s="3"/>
      <c r="N10" s="3"/>
      <c r="O10" s="6" t="s">
        <v>168</v>
      </c>
      <c r="P10" s="3" t="str">
        <f>'Model names'!C8</f>
        <v>IN</v>
      </c>
      <c r="Q10" s="29">
        <f>[27]Base_Inputs!AJ278</f>
        <v>1</v>
      </c>
      <c r="R10" s="29">
        <f>[27]Base_Inputs!AJ278</f>
        <v>1</v>
      </c>
      <c r="S10" s="29">
        <f>[27]Base_Inputs!AJ279</f>
        <v>1</v>
      </c>
      <c r="T10" s="29">
        <f>[27]Base_Inputs!AJ279</f>
        <v>1</v>
      </c>
      <c r="U10" s="29">
        <f>[27]Base_Inputs!AJ279</f>
        <v>1</v>
      </c>
      <c r="V10" s="15"/>
      <c r="W10" s="15"/>
      <c r="X10" s="15"/>
      <c r="Y10" s="15"/>
      <c r="Z10" s="15"/>
      <c r="AA10" s="15"/>
      <c r="AB10" s="7" t="s">
        <v>177</v>
      </c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106</v>
      </c>
      <c r="D11" s="3" t="s">
        <v>169</v>
      </c>
      <c r="E11" s="3" t="s">
        <v>169</v>
      </c>
      <c r="F11" s="3" t="s">
        <v>170</v>
      </c>
      <c r="G11" s="3" t="s">
        <v>170</v>
      </c>
      <c r="H11" s="3" t="s">
        <v>170</v>
      </c>
      <c r="I11" s="3"/>
      <c r="J11" s="3"/>
      <c r="K11" s="3"/>
      <c r="L11" s="3"/>
      <c r="M11" s="3"/>
      <c r="N11" s="3"/>
      <c r="O11" s="6" t="s">
        <v>168</v>
      </c>
      <c r="P11" s="3" t="str">
        <f>'Model names'!C9</f>
        <v>KY</v>
      </c>
      <c r="Q11" s="29">
        <f>[29]Base_Inputs!AJ278</f>
        <v>1</v>
      </c>
      <c r="R11" s="29">
        <f>[29]Base_Inputs!AJ278</f>
        <v>1</v>
      </c>
      <c r="S11" s="29">
        <f>[29]Base_Inputs!AJ279</f>
        <v>1</v>
      </c>
      <c r="T11" s="29">
        <f>[29]Base_Inputs!AJ279</f>
        <v>1</v>
      </c>
      <c r="U11" s="29">
        <f>[29]Base_Inputs!AJ279</f>
        <v>1</v>
      </c>
      <c r="V11" s="15"/>
      <c r="W11" s="15"/>
      <c r="X11" s="15"/>
      <c r="Y11" s="15"/>
      <c r="Z11" s="15"/>
      <c r="AA11" s="15"/>
      <c r="AB11" s="7" t="s">
        <v>178</v>
      </c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106</v>
      </c>
      <c r="D12" s="3" t="s">
        <v>169</v>
      </c>
      <c r="E12" s="3" t="s">
        <v>169</v>
      </c>
      <c r="F12" s="3" t="s">
        <v>170</v>
      </c>
      <c r="G12" s="3" t="s">
        <v>170</v>
      </c>
      <c r="H12" s="3" t="s">
        <v>170</v>
      </c>
      <c r="I12" s="3"/>
      <c r="J12" s="3"/>
      <c r="K12" s="3"/>
      <c r="L12" s="3"/>
      <c r="M12" s="3"/>
      <c r="N12" s="3"/>
      <c r="O12" s="6" t="s">
        <v>168</v>
      </c>
      <c r="P12" s="3" t="str">
        <f>'Model names'!C10</f>
        <v>Liberty</v>
      </c>
      <c r="Q12" s="29">
        <f>[31]Base_Inputs!AJ278</f>
        <v>1</v>
      </c>
      <c r="R12" s="29">
        <f>[31]Base_Inputs!AJ278</f>
        <v>1</v>
      </c>
      <c r="S12" s="29">
        <f>[31]Base_Inputs!AJ279</f>
        <v>1</v>
      </c>
      <c r="T12" s="29">
        <f>[31]Base_Inputs!AJ279</f>
        <v>1</v>
      </c>
      <c r="U12" s="29">
        <f>[31]Base_Inputs!AJ279</f>
        <v>1</v>
      </c>
      <c r="V12" s="15"/>
      <c r="W12" s="15"/>
      <c r="X12" s="15"/>
      <c r="Y12" s="15"/>
      <c r="Z12" s="15"/>
      <c r="AA12" s="15"/>
      <c r="AB12" s="7" t="s">
        <v>179</v>
      </c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106</v>
      </c>
      <c r="D13" s="3" t="s">
        <v>169</v>
      </c>
      <c r="E13" s="3" t="s">
        <v>169</v>
      </c>
      <c r="F13" s="3" t="s">
        <v>170</v>
      </c>
      <c r="G13" s="3" t="s">
        <v>170</v>
      </c>
      <c r="H13" s="3" t="s">
        <v>170</v>
      </c>
      <c r="I13" s="3"/>
      <c r="J13" s="3"/>
      <c r="K13" s="3"/>
      <c r="L13" s="3"/>
      <c r="M13" s="3"/>
      <c r="N13" s="3"/>
      <c r="O13" s="6" t="s">
        <v>168</v>
      </c>
      <c r="P13" s="3" t="str">
        <f>'Model names'!C11</f>
        <v>LW</v>
      </c>
      <c r="Q13" s="29">
        <f>[33]Base_Inputs!AJ278</f>
        <v>1</v>
      </c>
      <c r="R13" s="29">
        <f>[33]Base_Inputs!AJ278</f>
        <v>1</v>
      </c>
      <c r="S13" s="29">
        <f>[33]Base_Inputs!AJ279</f>
        <v>1</v>
      </c>
      <c r="T13" s="29">
        <f>[33]Base_Inputs!AJ279</f>
        <v>1</v>
      </c>
      <c r="U13" s="29">
        <f>[33]Base_Inputs!AJ279</f>
        <v>1</v>
      </c>
      <c r="V13" s="15"/>
      <c r="W13" s="15"/>
      <c r="X13" s="15"/>
      <c r="Y13" s="15"/>
      <c r="Z13" s="15"/>
      <c r="AA13" s="15"/>
      <c r="AB13" s="7" t="s">
        <v>180</v>
      </c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106</v>
      </c>
      <c r="D14" s="3" t="s">
        <v>169</v>
      </c>
      <c r="E14" s="3" t="s">
        <v>169</v>
      </c>
      <c r="F14" s="3" t="s">
        <v>170</v>
      </c>
      <c r="G14" s="3" t="s">
        <v>170</v>
      </c>
      <c r="H14" s="3" t="s">
        <v>170</v>
      </c>
      <c r="I14" s="3"/>
      <c r="J14" s="3"/>
      <c r="K14" s="3"/>
      <c r="L14" s="3"/>
      <c r="M14" s="3"/>
      <c r="N14" s="3"/>
      <c r="O14" s="6" t="str">
        <f t="shared" ref="D14:O29" si="0">IF(N14=0,"",O13)</f>
        <v/>
      </c>
      <c r="P14" s="3" t="str">
        <f>'Model names'!C12</f>
        <v>MD</v>
      </c>
      <c r="Q14" s="29">
        <f>[35]Base_Inputs!AJ278</f>
        <v>1</v>
      </c>
      <c r="R14" s="29">
        <f>[35]Base_Inputs!AJ278</f>
        <v>1</v>
      </c>
      <c r="S14" s="29">
        <f>[35]Base_Inputs!AJ279</f>
        <v>1</v>
      </c>
      <c r="T14" s="29">
        <f>[35]Base_Inputs!AJ279</f>
        <v>1</v>
      </c>
      <c r="U14" s="29">
        <f>[35]Base_Inputs!AJ279</f>
        <v>1</v>
      </c>
      <c r="V14" s="15"/>
      <c r="W14" s="15"/>
      <c r="X14" s="15"/>
      <c r="Y14" s="15"/>
      <c r="Z14" s="15"/>
      <c r="AA14" s="15"/>
      <c r="AB14" s="7" t="s">
        <v>181</v>
      </c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106</v>
      </c>
      <c r="D15" s="3" t="s">
        <v>169</v>
      </c>
      <c r="E15" s="3" t="s">
        <v>169</v>
      </c>
      <c r="F15" s="3" t="s">
        <v>170</v>
      </c>
      <c r="G15" s="3" t="s">
        <v>170</v>
      </c>
      <c r="H15" s="3" t="s">
        <v>170</v>
      </c>
      <c r="I15" s="3"/>
      <c r="J15" s="3"/>
      <c r="K15" s="3"/>
      <c r="L15" s="3"/>
      <c r="M15" s="3"/>
      <c r="N15" s="3"/>
      <c r="O15" s="6" t="str">
        <f t="shared" si="0"/>
        <v/>
      </c>
      <c r="P15" s="3" t="str">
        <f>'Model names'!C13</f>
        <v>MI</v>
      </c>
      <c r="Q15" s="29">
        <f>[37]Base_Inputs!AJ278</f>
        <v>1</v>
      </c>
      <c r="R15" s="29">
        <f>[37]Base_Inputs!AJ278</f>
        <v>1</v>
      </c>
      <c r="S15" s="29">
        <f>[37]Base_Inputs!AJ279</f>
        <v>1</v>
      </c>
      <c r="T15" s="29">
        <f>[37]Base_Inputs!AJ279</f>
        <v>1</v>
      </c>
      <c r="U15" s="29">
        <f>[37]Base_Inputs!AJ279</f>
        <v>1</v>
      </c>
      <c r="V15" s="23"/>
      <c r="W15" s="23"/>
      <c r="X15" s="23"/>
      <c r="Y15" s="23"/>
      <c r="Z15" s="23"/>
      <c r="AA15" s="23"/>
      <c r="AB15" s="7" t="s">
        <v>182</v>
      </c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106</v>
      </c>
      <c r="D16" s="3" t="s">
        <v>169</v>
      </c>
      <c r="E16" s="3" t="s">
        <v>169</v>
      </c>
      <c r="F16" s="3" t="s">
        <v>170</v>
      </c>
      <c r="G16" s="3" t="s">
        <v>170</v>
      </c>
      <c r="H16" s="3" t="s">
        <v>170</v>
      </c>
      <c r="I16" s="3"/>
      <c r="J16" s="3"/>
      <c r="K16" s="3"/>
      <c r="L16" s="3"/>
      <c r="M16" s="3"/>
      <c r="N16" s="3"/>
      <c r="O16" s="6" t="str">
        <f t="shared" si="0"/>
        <v/>
      </c>
      <c r="P16" s="3" t="str">
        <f>'Model names'!C14</f>
        <v>MO</v>
      </c>
      <c r="Q16" s="30">
        <f>[39]Base_Inputs!AJ278</f>
        <v>1</v>
      </c>
      <c r="R16" s="30">
        <f>[39]Base_Inputs!AJ278</f>
        <v>1</v>
      </c>
      <c r="S16" s="30">
        <f>[39]Base_Inputs!AJ279</f>
        <v>1</v>
      </c>
      <c r="T16" s="30">
        <f>[39]Base_Inputs!AJ279</f>
        <v>1</v>
      </c>
      <c r="U16" s="30">
        <f>[39]Base_Inputs!AJ279</f>
        <v>1</v>
      </c>
      <c r="V16" s="8"/>
      <c r="W16" s="8"/>
      <c r="X16" s="8"/>
      <c r="Y16" s="8"/>
      <c r="Z16" s="8"/>
      <c r="AA16" s="8"/>
      <c r="AB16" s="7" t="s">
        <v>183</v>
      </c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106</v>
      </c>
      <c r="D17" s="3" t="s">
        <v>169</v>
      </c>
      <c r="E17" s="3" t="s">
        <v>169</v>
      </c>
      <c r="F17" s="3" t="s">
        <v>170</v>
      </c>
      <c r="G17" s="3" t="s">
        <v>170</v>
      </c>
      <c r="H17" s="3" t="s">
        <v>170</v>
      </c>
      <c r="I17" s="3"/>
      <c r="J17" s="3"/>
      <c r="K17" s="3"/>
      <c r="L17" s="3"/>
      <c r="M17" s="3"/>
      <c r="N17" s="3"/>
      <c r="O17" s="6" t="str">
        <f t="shared" si="0"/>
        <v/>
      </c>
      <c r="P17" s="3" t="str">
        <f>'Model names'!C15</f>
        <v>NJ</v>
      </c>
      <c r="Q17" s="30">
        <f>[41]Base_Inputs!AJ278</f>
        <v>1</v>
      </c>
      <c r="R17" s="30">
        <f>[41]Base_Inputs!AJ278</f>
        <v>1</v>
      </c>
      <c r="S17" s="30">
        <f>[41]Base_Inputs!AJ279</f>
        <v>1</v>
      </c>
      <c r="T17" s="30">
        <f>[41]Base_Inputs!AJ279</f>
        <v>1</v>
      </c>
      <c r="U17" s="30">
        <f>[41]Base_Inputs!AJ279</f>
        <v>1</v>
      </c>
      <c r="V17" s="8"/>
      <c r="W17" s="8"/>
      <c r="X17" s="8"/>
      <c r="Y17" s="8"/>
      <c r="Z17" s="8"/>
      <c r="AA17" s="8"/>
      <c r="AB17" s="7" t="s">
        <v>184</v>
      </c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106</v>
      </c>
      <c r="D18" s="3" t="s">
        <v>169</v>
      </c>
      <c r="E18" s="3" t="s">
        <v>169</v>
      </c>
      <c r="F18" s="3" t="s">
        <v>170</v>
      </c>
      <c r="G18" s="3" t="s">
        <v>170</v>
      </c>
      <c r="H18" s="3" t="s">
        <v>170</v>
      </c>
      <c r="I18" s="3"/>
      <c r="J18" s="3"/>
      <c r="K18" s="3"/>
      <c r="L18" s="3"/>
      <c r="M18" s="3"/>
      <c r="N18" s="3"/>
      <c r="O18" s="6" t="str">
        <f t="shared" si="0"/>
        <v/>
      </c>
      <c r="P18" s="3" t="str">
        <f>'Model names'!C16</f>
        <v>NY</v>
      </c>
      <c r="Q18" s="30">
        <f>[43]Base_Inputs!AJ278</f>
        <v>1</v>
      </c>
      <c r="R18" s="30">
        <f>[43]Base_Inputs!AJ278</f>
        <v>1</v>
      </c>
      <c r="S18" s="30">
        <f>[43]Base_Inputs!AJ279</f>
        <v>1</v>
      </c>
      <c r="T18" s="30">
        <f>[43]Base_Inputs!AJ279</f>
        <v>1</v>
      </c>
      <c r="U18" s="30">
        <f>[43]Base_Inputs!AJ279</f>
        <v>1</v>
      </c>
      <c r="V18" s="8"/>
      <c r="W18" s="8"/>
      <c r="X18" s="8"/>
      <c r="Y18" s="8"/>
      <c r="Z18" s="8"/>
      <c r="AA18" s="8"/>
      <c r="AB18" s="7" t="s">
        <v>185</v>
      </c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106</v>
      </c>
      <c r="D19" s="3" t="s">
        <v>169</v>
      </c>
      <c r="E19" s="3" t="s">
        <v>169</v>
      </c>
      <c r="F19" s="3" t="s">
        <v>170</v>
      </c>
      <c r="G19" s="3" t="s">
        <v>170</v>
      </c>
      <c r="H19" s="3" t="s">
        <v>170</v>
      </c>
      <c r="I19" s="3"/>
      <c r="J19" s="3"/>
      <c r="K19" s="3"/>
      <c r="L19" s="3"/>
      <c r="M19" s="3"/>
      <c r="N19" s="3"/>
      <c r="O19" s="6" t="str">
        <f t="shared" si="0"/>
        <v/>
      </c>
      <c r="P19" s="3" t="str">
        <f>'Model names'!C17</f>
        <v>PA</v>
      </c>
      <c r="Q19" s="30">
        <f>[45]Base_Inputs!AJ278</f>
        <v>1</v>
      </c>
      <c r="R19" s="30">
        <f>[45]Base_Inputs!AJ278</f>
        <v>1</v>
      </c>
      <c r="S19" s="30">
        <f>[45]Base_Inputs!AJ279</f>
        <v>1</v>
      </c>
      <c r="T19" s="30">
        <f>[45]Base_Inputs!AJ279</f>
        <v>1</v>
      </c>
      <c r="U19" s="30">
        <f>[45]Base_Inputs!AJ279</f>
        <v>1</v>
      </c>
      <c r="V19" s="8"/>
      <c r="W19" s="8"/>
      <c r="X19" s="8"/>
      <c r="Y19" s="8"/>
      <c r="Z19" s="8"/>
      <c r="AA19" s="8"/>
      <c r="AB19" s="7" t="s">
        <v>186</v>
      </c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106</v>
      </c>
      <c r="D20" s="3" t="s">
        <v>169</v>
      </c>
      <c r="E20" s="3" t="s">
        <v>169</v>
      </c>
      <c r="F20" s="3" t="s">
        <v>170</v>
      </c>
      <c r="G20" s="3" t="s">
        <v>170</v>
      </c>
      <c r="H20" s="3" t="s">
        <v>170</v>
      </c>
      <c r="I20" s="3"/>
      <c r="J20" s="3"/>
      <c r="K20" s="3"/>
      <c r="L20" s="3"/>
      <c r="M20" s="3"/>
      <c r="N20" s="3"/>
      <c r="O20" s="6" t="str">
        <f t="shared" si="0"/>
        <v/>
      </c>
      <c r="P20" s="3" t="str">
        <f>'Model names'!C18</f>
        <v>TN</v>
      </c>
      <c r="Q20" s="30">
        <f>[47]Base_Inputs!AJ278</f>
        <v>1</v>
      </c>
      <c r="R20" s="30">
        <f>[47]Base_Inputs!AJ278</f>
        <v>1</v>
      </c>
      <c r="S20" s="30">
        <f>[47]Base_Inputs!AJ279</f>
        <v>1</v>
      </c>
      <c r="T20" s="30">
        <f>[47]Base_Inputs!AJ279</f>
        <v>1</v>
      </c>
      <c r="U20" s="30">
        <f>[47]Base_Inputs!AJ279</f>
        <v>1</v>
      </c>
      <c r="V20" s="8"/>
      <c r="W20" s="8"/>
      <c r="X20" s="8"/>
      <c r="Y20" s="8"/>
      <c r="Z20" s="8"/>
      <c r="AA20" s="8"/>
      <c r="AB20" s="7" t="s">
        <v>187</v>
      </c>
      <c r="AC20" s="8"/>
      <c r="AG20" s="5"/>
      <c r="AH20" s="5"/>
    </row>
    <row r="21" spans="1:34" hidden="1" outlineLevel="1" x14ac:dyDescent="0.3">
      <c r="A21" s="2" t="str">
        <f t="shared" ref="A21:A33" si="1">IF(B21=0,"",A20)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tr">
        <f t="shared" ref="C21:C30" si="2">IF(B21=0,"",C20)</f>
        <v>Base_Inputs</v>
      </c>
      <c r="D21" s="3" t="str">
        <f t="shared" si="0"/>
        <v>AJ278</v>
      </c>
      <c r="E21" s="3" t="str">
        <f t="shared" si="0"/>
        <v>AJ278</v>
      </c>
      <c r="F21" s="3" t="str">
        <f t="shared" si="0"/>
        <v>AJ279</v>
      </c>
      <c r="G21" s="3" t="str">
        <f t="shared" si="0"/>
        <v>AJ279</v>
      </c>
      <c r="H21" s="3" t="str">
        <f t="shared" si="0"/>
        <v>AJ279</v>
      </c>
      <c r="I21" s="3">
        <f t="shared" si="0"/>
        <v>0</v>
      </c>
      <c r="J21" s="3" t="str">
        <f t="shared" si="0"/>
        <v/>
      </c>
      <c r="K21" s="3">
        <f t="shared" si="0"/>
        <v>0</v>
      </c>
      <c r="L21" s="3" t="str">
        <f t="shared" si="0"/>
        <v/>
      </c>
      <c r="M21" s="3">
        <f t="shared" si="0"/>
        <v>0</v>
      </c>
      <c r="N21" s="3" t="str">
        <f t="shared" si="0"/>
        <v/>
      </c>
      <c r="O21" s="6" t="str">
        <f t="shared" si="0"/>
        <v/>
      </c>
      <c r="P21" s="3" t="str">
        <f>'Model names'!C19</f>
        <v>VA</v>
      </c>
      <c r="Q21" s="8">
        <f>[49]Base_Inputs!AJ278</f>
        <v>1</v>
      </c>
      <c r="R21" s="8">
        <f>[49]Base_Inputs!AJ278</f>
        <v>1</v>
      </c>
      <c r="S21" s="8">
        <f>[49]Base_Inputs!AJ279</f>
        <v>1</v>
      </c>
      <c r="T21" s="8">
        <f>[49]Base_Inputs!AJ279</f>
        <v>1</v>
      </c>
      <c r="U21" s="8">
        <f>[49]Base_Inputs!AJ279</f>
        <v>1</v>
      </c>
      <c r="V21" s="8"/>
      <c r="W21" s="8"/>
      <c r="X21" s="8"/>
      <c r="Y21" s="8"/>
      <c r="Z21" s="8"/>
      <c r="AA21" s="8"/>
      <c r="AB21" s="7" t="s">
        <v>188</v>
      </c>
      <c r="AC21" s="8"/>
    </row>
    <row r="22" spans="1:34" hidden="1" outlineLevel="1" x14ac:dyDescent="0.3">
      <c r="A22" s="2" t="str">
        <f t="shared" si="1"/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tr">
        <f t="shared" si="2"/>
        <v>Base_Inputs</v>
      </c>
      <c r="D22" s="3" t="str">
        <f t="shared" si="0"/>
        <v>AJ278</v>
      </c>
      <c r="E22" s="3" t="str">
        <f t="shared" si="0"/>
        <v>AJ278</v>
      </c>
      <c r="F22" s="3" t="str">
        <f t="shared" si="0"/>
        <v>AJ279</v>
      </c>
      <c r="G22" s="3" t="str">
        <f t="shared" si="0"/>
        <v>AJ279</v>
      </c>
      <c r="H22" s="3" t="str">
        <f t="shared" si="0"/>
        <v>AJ279</v>
      </c>
      <c r="I22" s="3">
        <f t="shared" si="0"/>
        <v>0</v>
      </c>
      <c r="J22" s="3" t="str">
        <f t="shared" si="0"/>
        <v/>
      </c>
      <c r="K22" s="3">
        <f t="shared" si="0"/>
        <v>0</v>
      </c>
      <c r="L22" s="3" t="str">
        <f t="shared" si="0"/>
        <v/>
      </c>
      <c r="M22" s="3">
        <f t="shared" si="0"/>
        <v>0</v>
      </c>
      <c r="N22" s="3" t="str">
        <f t="shared" si="0"/>
        <v/>
      </c>
      <c r="O22" s="6" t="str">
        <f t="shared" si="0"/>
        <v/>
      </c>
      <c r="P22" s="3" t="str">
        <f>'Model names'!C20</f>
        <v>WV</v>
      </c>
      <c r="Q22" s="8">
        <f>[51]Base_Inputs!AJ278</f>
        <v>1</v>
      </c>
      <c r="R22" s="8">
        <f>[51]Base_Inputs!AJ278</f>
        <v>1</v>
      </c>
      <c r="S22" s="8">
        <f>[51]Base_Inputs!AJ279</f>
        <v>1</v>
      </c>
      <c r="T22" s="8">
        <f>[51]Base_Inputs!AJ279</f>
        <v>1</v>
      </c>
      <c r="U22" s="8">
        <f>[51]Base_Inputs!AJ279</f>
        <v>1</v>
      </c>
      <c r="V22" s="8"/>
      <c r="W22" s="8"/>
      <c r="X22" s="8"/>
      <c r="Y22" s="8"/>
      <c r="Z22" s="8"/>
      <c r="AA22" s="8"/>
      <c r="AB22" s="7" t="s">
        <v>189</v>
      </c>
      <c r="AC22" s="8"/>
    </row>
    <row r="23" spans="1:34" hidden="1" outlineLevel="1" x14ac:dyDescent="0.3">
      <c r="A23" s="2" t="str">
        <f t="shared" si="1"/>
        <v/>
      </c>
      <c r="B23" s="3">
        <f>'Model names'!B21</f>
        <v>0</v>
      </c>
      <c r="C23" s="3" t="str">
        <f t="shared" si="2"/>
        <v/>
      </c>
      <c r="D23" s="3" t="str">
        <f t="shared" si="0"/>
        <v>AJ278</v>
      </c>
      <c r="E23" s="3" t="str">
        <f t="shared" si="0"/>
        <v>AJ278</v>
      </c>
      <c r="F23" s="3" t="str">
        <f t="shared" si="0"/>
        <v>AJ279</v>
      </c>
      <c r="G23" s="3" t="str">
        <f t="shared" si="0"/>
        <v>AJ279</v>
      </c>
      <c r="H23" s="3" t="str">
        <f t="shared" si="0"/>
        <v>AJ279</v>
      </c>
      <c r="I23" s="3">
        <f t="shared" si="0"/>
        <v>0</v>
      </c>
      <c r="J23" s="3" t="str">
        <f t="shared" si="0"/>
        <v/>
      </c>
      <c r="K23" s="3">
        <f t="shared" si="0"/>
        <v>0</v>
      </c>
      <c r="L23" s="3" t="str">
        <f t="shared" si="0"/>
        <v/>
      </c>
      <c r="M23" s="3">
        <f t="shared" si="0"/>
        <v>0</v>
      </c>
      <c r="N23" s="3" t="str">
        <f t="shared" si="0"/>
        <v/>
      </c>
      <c r="O23" s="6" t="str">
        <f t="shared" si="0"/>
        <v/>
      </c>
      <c r="P23" s="18">
        <f>'Model names'!C21</f>
        <v>0</v>
      </c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8"/>
      <c r="AC23" s="8"/>
    </row>
    <row r="24" spans="1:34" hidden="1" outlineLevel="1" x14ac:dyDescent="0.3">
      <c r="A24" s="2" t="e">
        <f t="shared" si="1"/>
        <v>#REF!</v>
      </c>
      <c r="B24" s="3" t="e">
        <f>'Model names'!#REF!</f>
        <v>#REF!</v>
      </c>
      <c r="C24" s="3" t="e">
        <f t="shared" si="2"/>
        <v>#REF!</v>
      </c>
      <c r="D24" s="3" t="e">
        <f t="shared" si="0"/>
        <v>#REF!</v>
      </c>
      <c r="E24" s="3" t="e">
        <f t="shared" si="0"/>
        <v>#REF!</v>
      </c>
      <c r="F24" s="3" t="e">
        <f t="shared" si="0"/>
        <v>#REF!</v>
      </c>
      <c r="G24" s="3" t="e">
        <f t="shared" si="0"/>
        <v>#REF!</v>
      </c>
      <c r="H24" s="3" t="e">
        <f t="shared" si="0"/>
        <v>#REF!</v>
      </c>
      <c r="I24" s="3" t="e">
        <f t="shared" si="0"/>
        <v>#REF!</v>
      </c>
      <c r="J24" s="3" t="e">
        <f t="shared" si="0"/>
        <v>#REF!</v>
      </c>
      <c r="K24" s="3" t="e">
        <f t="shared" si="0"/>
        <v>#REF!</v>
      </c>
      <c r="L24" s="3" t="e">
        <f t="shared" si="0"/>
        <v>#REF!</v>
      </c>
      <c r="M24" s="3" t="e">
        <f t="shared" si="0"/>
        <v>#REF!</v>
      </c>
      <c r="N24" s="3" t="e">
        <f t="shared" si="0"/>
        <v>#REF!</v>
      </c>
      <c r="O24" s="6" t="e">
        <f t="shared" si="0"/>
        <v>#REF!</v>
      </c>
      <c r="P24" s="18" t="e">
        <f>'Model names'!#REF!</f>
        <v>#REF!</v>
      </c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8"/>
      <c r="AC24" s="8"/>
    </row>
    <row r="25" spans="1:34" hidden="1" outlineLevel="1" x14ac:dyDescent="0.3">
      <c r="A25" s="2" t="e">
        <f t="shared" si="1"/>
        <v>#REF!</v>
      </c>
      <c r="B25" s="3" t="e">
        <f>'Model names'!#REF!</f>
        <v>#REF!</v>
      </c>
      <c r="C25" s="3" t="e">
        <f t="shared" si="2"/>
        <v>#REF!</v>
      </c>
      <c r="D25" s="3" t="e">
        <f t="shared" si="0"/>
        <v>#REF!</v>
      </c>
      <c r="E25" s="3" t="e">
        <f t="shared" si="0"/>
        <v>#REF!</v>
      </c>
      <c r="F25" s="3" t="e">
        <f t="shared" si="0"/>
        <v>#REF!</v>
      </c>
      <c r="G25" s="3" t="e">
        <f t="shared" si="0"/>
        <v>#REF!</v>
      </c>
      <c r="H25" s="3" t="e">
        <f t="shared" si="0"/>
        <v>#REF!</v>
      </c>
      <c r="I25" s="3" t="e">
        <f t="shared" si="0"/>
        <v>#REF!</v>
      </c>
      <c r="J25" s="3" t="e">
        <f t="shared" si="0"/>
        <v>#REF!</v>
      </c>
      <c r="K25" s="3" t="e">
        <f t="shared" si="0"/>
        <v>#REF!</v>
      </c>
      <c r="L25" s="3" t="e">
        <f t="shared" si="0"/>
        <v>#REF!</v>
      </c>
      <c r="M25" s="3" t="e">
        <f t="shared" si="0"/>
        <v>#REF!</v>
      </c>
      <c r="N25" s="3" t="e">
        <f t="shared" si="0"/>
        <v>#REF!</v>
      </c>
      <c r="O25" s="6" t="e">
        <f t="shared" si="0"/>
        <v>#REF!</v>
      </c>
      <c r="P25" s="18" t="e">
        <f>'Model names'!#REF!</f>
        <v>#REF!</v>
      </c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8"/>
      <c r="AC25" s="8"/>
    </row>
    <row r="26" spans="1:34" hidden="1" outlineLevel="1" x14ac:dyDescent="0.3">
      <c r="A26" s="2" t="e">
        <f t="shared" si="1"/>
        <v>#REF!</v>
      </c>
      <c r="B26" s="3" t="e">
        <f>'Model names'!#REF!</f>
        <v>#REF!</v>
      </c>
      <c r="C26" s="3" t="e">
        <f t="shared" si="2"/>
        <v>#REF!</v>
      </c>
      <c r="D26" s="3" t="e">
        <f t="shared" si="0"/>
        <v>#REF!</v>
      </c>
      <c r="E26" s="3" t="e">
        <f t="shared" si="0"/>
        <v>#REF!</v>
      </c>
      <c r="F26" s="3" t="e">
        <f t="shared" si="0"/>
        <v>#REF!</v>
      </c>
      <c r="G26" s="3" t="e">
        <f t="shared" si="0"/>
        <v>#REF!</v>
      </c>
      <c r="H26" s="3" t="e">
        <f t="shared" si="0"/>
        <v>#REF!</v>
      </c>
      <c r="I26" s="3" t="e">
        <f t="shared" si="0"/>
        <v>#REF!</v>
      </c>
      <c r="J26" s="3" t="e">
        <f t="shared" si="0"/>
        <v>#REF!</v>
      </c>
      <c r="K26" s="3" t="e">
        <f t="shared" si="0"/>
        <v>#REF!</v>
      </c>
      <c r="L26" s="3" t="e">
        <f t="shared" si="0"/>
        <v>#REF!</v>
      </c>
      <c r="M26" s="3" t="e">
        <f t="shared" si="0"/>
        <v>#REF!</v>
      </c>
      <c r="N26" s="3" t="e">
        <f t="shared" si="0"/>
        <v>#REF!</v>
      </c>
      <c r="O26" s="6" t="e">
        <f t="shared" si="0"/>
        <v>#REF!</v>
      </c>
      <c r="P26" s="18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2" t="e">
        <f t="shared" si="1"/>
        <v>#REF!</v>
      </c>
      <c r="B27" s="3" t="e">
        <f>'Model names'!#REF!</f>
        <v>#REF!</v>
      </c>
      <c r="C27" s="3" t="e">
        <f t="shared" si="2"/>
        <v>#REF!</v>
      </c>
      <c r="D27" s="3" t="e">
        <f t="shared" si="0"/>
        <v>#REF!</v>
      </c>
      <c r="E27" s="3" t="e">
        <f t="shared" si="0"/>
        <v>#REF!</v>
      </c>
      <c r="F27" s="3" t="e">
        <f t="shared" si="0"/>
        <v>#REF!</v>
      </c>
      <c r="G27" s="3" t="e">
        <f t="shared" si="0"/>
        <v>#REF!</v>
      </c>
      <c r="H27" s="3" t="e">
        <f t="shared" si="0"/>
        <v>#REF!</v>
      </c>
      <c r="I27" s="3" t="e">
        <f t="shared" si="0"/>
        <v>#REF!</v>
      </c>
      <c r="J27" s="3" t="e">
        <f t="shared" si="0"/>
        <v>#REF!</v>
      </c>
      <c r="K27" s="3" t="e">
        <f t="shared" si="0"/>
        <v>#REF!</v>
      </c>
      <c r="L27" s="3" t="e">
        <f t="shared" si="0"/>
        <v>#REF!</v>
      </c>
      <c r="M27" s="3" t="e">
        <f t="shared" si="0"/>
        <v>#REF!</v>
      </c>
      <c r="N27" s="3" t="e">
        <f t="shared" si="0"/>
        <v>#REF!</v>
      </c>
      <c r="O27" s="6" t="e">
        <f t="shared" si="0"/>
        <v>#REF!</v>
      </c>
      <c r="P27" s="18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2" t="e">
        <f t="shared" si="1"/>
        <v>#REF!</v>
      </c>
      <c r="B28" s="3" t="e">
        <f>'Model names'!#REF!</f>
        <v>#REF!</v>
      </c>
      <c r="C28" s="3" t="e">
        <f t="shared" si="2"/>
        <v>#REF!</v>
      </c>
      <c r="D28" s="3" t="e">
        <f t="shared" si="0"/>
        <v>#REF!</v>
      </c>
      <c r="E28" s="3" t="e">
        <f t="shared" si="0"/>
        <v>#REF!</v>
      </c>
      <c r="F28" s="3" t="e">
        <f t="shared" si="0"/>
        <v>#REF!</v>
      </c>
      <c r="G28" s="3" t="e">
        <f t="shared" si="0"/>
        <v>#REF!</v>
      </c>
      <c r="H28" s="3" t="e">
        <f t="shared" si="0"/>
        <v>#REF!</v>
      </c>
      <c r="I28" s="3" t="e">
        <f t="shared" si="0"/>
        <v>#REF!</v>
      </c>
      <c r="J28" s="3" t="e">
        <f t="shared" si="0"/>
        <v>#REF!</v>
      </c>
      <c r="K28" s="3" t="e">
        <f t="shared" si="0"/>
        <v>#REF!</v>
      </c>
      <c r="L28" s="3" t="e">
        <f t="shared" si="0"/>
        <v>#REF!</v>
      </c>
      <c r="M28" s="3" t="e">
        <f t="shared" si="0"/>
        <v>#REF!</v>
      </c>
      <c r="N28" s="3" t="e">
        <f t="shared" si="0"/>
        <v>#REF!</v>
      </c>
      <c r="O28" s="6" t="e">
        <f t="shared" si="0"/>
        <v>#REF!</v>
      </c>
      <c r="P28" s="18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2" t="e">
        <f t="shared" si="1"/>
        <v>#REF!</v>
      </c>
      <c r="B29" s="3" t="e">
        <f>'Model names'!#REF!</f>
        <v>#REF!</v>
      </c>
      <c r="C29" s="3" t="e">
        <f t="shared" si="2"/>
        <v>#REF!</v>
      </c>
      <c r="D29" s="3" t="e">
        <f t="shared" si="0"/>
        <v>#REF!</v>
      </c>
      <c r="E29" s="3" t="e">
        <f t="shared" si="0"/>
        <v>#REF!</v>
      </c>
      <c r="F29" s="3" t="e">
        <f t="shared" si="0"/>
        <v>#REF!</v>
      </c>
      <c r="G29" s="3" t="e">
        <f t="shared" si="0"/>
        <v>#REF!</v>
      </c>
      <c r="H29" s="3" t="e">
        <f t="shared" si="0"/>
        <v>#REF!</v>
      </c>
      <c r="I29" s="3" t="e">
        <f t="shared" si="0"/>
        <v>#REF!</v>
      </c>
      <c r="J29" s="3" t="e">
        <f t="shared" si="0"/>
        <v>#REF!</v>
      </c>
      <c r="K29" s="3" t="e">
        <f t="shared" si="0"/>
        <v>#REF!</v>
      </c>
      <c r="L29" s="3" t="e">
        <f t="shared" si="0"/>
        <v>#REF!</v>
      </c>
      <c r="M29" s="3" t="e">
        <f t="shared" si="0"/>
        <v>#REF!</v>
      </c>
      <c r="N29" s="3" t="e">
        <f t="shared" si="0"/>
        <v>#REF!</v>
      </c>
      <c r="O29" s="6" t="e">
        <f t="shared" si="0"/>
        <v>#REF!</v>
      </c>
      <c r="P29" s="18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2" t="e">
        <f t="shared" si="1"/>
        <v>#REF!</v>
      </c>
      <c r="B30" s="3" t="e">
        <f>'Model names'!#REF!</f>
        <v>#REF!</v>
      </c>
      <c r="C30" s="3" t="e">
        <f t="shared" si="2"/>
        <v>#REF!</v>
      </c>
      <c r="D30" s="3" t="e">
        <f t="shared" ref="D30:O30" si="3">IF(C30=0,"",D29)</f>
        <v>#REF!</v>
      </c>
      <c r="E30" s="3" t="e">
        <f t="shared" si="3"/>
        <v>#REF!</v>
      </c>
      <c r="F30" s="3" t="e">
        <f t="shared" si="3"/>
        <v>#REF!</v>
      </c>
      <c r="G30" s="3" t="e">
        <f t="shared" si="3"/>
        <v>#REF!</v>
      </c>
      <c r="H30" s="3" t="e">
        <f t="shared" si="3"/>
        <v>#REF!</v>
      </c>
      <c r="I30" s="3" t="e">
        <f t="shared" si="3"/>
        <v>#REF!</v>
      </c>
      <c r="J30" s="3" t="e">
        <f t="shared" si="3"/>
        <v>#REF!</v>
      </c>
      <c r="K30" s="3" t="e">
        <f t="shared" si="3"/>
        <v>#REF!</v>
      </c>
      <c r="L30" s="3" t="e">
        <f t="shared" si="3"/>
        <v>#REF!</v>
      </c>
      <c r="M30" s="3" t="e">
        <f t="shared" si="3"/>
        <v>#REF!</v>
      </c>
      <c r="N30" s="3" t="e">
        <f t="shared" si="3"/>
        <v>#REF!</v>
      </c>
      <c r="O30" s="6" t="e">
        <f t="shared" si="3"/>
        <v>#REF!</v>
      </c>
      <c r="P30" s="18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2" t="e">
        <f t="shared" si="1"/>
        <v>#REF!</v>
      </c>
      <c r="B31" s="3" t="e">
        <f>'Model names'!#REF!</f>
        <v>#REF!</v>
      </c>
      <c r="C31" s="3" t="e">
        <f t="shared" ref="C31:O33" si="4">IF(B31=0,"",C30)</f>
        <v>#REF!</v>
      </c>
      <c r="D31" s="3" t="e">
        <f t="shared" si="4"/>
        <v>#REF!</v>
      </c>
      <c r="E31" s="3" t="e">
        <f t="shared" si="4"/>
        <v>#REF!</v>
      </c>
      <c r="F31" s="3" t="e">
        <f t="shared" si="4"/>
        <v>#REF!</v>
      </c>
      <c r="G31" s="3" t="e">
        <f t="shared" si="4"/>
        <v>#REF!</v>
      </c>
      <c r="H31" s="3" t="e">
        <f t="shared" si="4"/>
        <v>#REF!</v>
      </c>
      <c r="I31" s="3" t="e">
        <f t="shared" si="4"/>
        <v>#REF!</v>
      </c>
      <c r="J31" s="3" t="e">
        <f t="shared" si="4"/>
        <v>#REF!</v>
      </c>
      <c r="K31" s="3" t="e">
        <f t="shared" si="4"/>
        <v>#REF!</v>
      </c>
      <c r="L31" s="3" t="e">
        <f t="shared" si="4"/>
        <v>#REF!</v>
      </c>
      <c r="M31" s="3" t="e">
        <f t="shared" si="4"/>
        <v>#REF!</v>
      </c>
      <c r="N31" s="3" t="e">
        <f t="shared" si="4"/>
        <v>#REF!</v>
      </c>
      <c r="O31" s="6" t="e">
        <f t="shared" si="4"/>
        <v>#REF!</v>
      </c>
      <c r="P31" s="18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2" t="e">
        <f t="shared" si="1"/>
        <v>#REF!</v>
      </c>
      <c r="B32" s="3" t="e">
        <f>'Model names'!#REF!</f>
        <v>#REF!</v>
      </c>
      <c r="C32" s="3" t="e">
        <f t="shared" si="4"/>
        <v>#REF!</v>
      </c>
      <c r="D32" s="3" t="e">
        <f t="shared" si="4"/>
        <v>#REF!</v>
      </c>
      <c r="E32" s="3" t="e">
        <f t="shared" si="4"/>
        <v>#REF!</v>
      </c>
      <c r="F32" s="3" t="e">
        <f t="shared" si="4"/>
        <v>#REF!</v>
      </c>
      <c r="G32" s="3" t="e">
        <f t="shared" si="4"/>
        <v>#REF!</v>
      </c>
      <c r="H32" s="3" t="e">
        <f t="shared" si="4"/>
        <v>#REF!</v>
      </c>
      <c r="I32" s="3" t="e">
        <f t="shared" si="4"/>
        <v>#REF!</v>
      </c>
      <c r="J32" s="3" t="e">
        <f t="shared" si="4"/>
        <v>#REF!</v>
      </c>
      <c r="K32" s="3" t="e">
        <f t="shared" si="4"/>
        <v>#REF!</v>
      </c>
      <c r="L32" s="3" t="e">
        <f t="shared" si="4"/>
        <v>#REF!</v>
      </c>
      <c r="M32" s="3" t="e">
        <f t="shared" si="4"/>
        <v>#REF!</v>
      </c>
      <c r="N32" s="3" t="e">
        <f t="shared" si="4"/>
        <v>#REF!</v>
      </c>
      <c r="O32" s="6" t="e">
        <f t="shared" si="4"/>
        <v>#REF!</v>
      </c>
      <c r="P32" s="18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2" t="e">
        <f t="shared" si="1"/>
        <v>#REF!</v>
      </c>
      <c r="B33" s="3" t="e">
        <f>'Model names'!#REF!</f>
        <v>#REF!</v>
      </c>
      <c r="C33" s="3" t="e">
        <f t="shared" si="4"/>
        <v>#REF!</v>
      </c>
      <c r="D33" s="3" t="e">
        <f t="shared" si="4"/>
        <v>#REF!</v>
      </c>
      <c r="E33" s="3" t="e">
        <f t="shared" si="4"/>
        <v>#REF!</v>
      </c>
      <c r="F33" s="3" t="e">
        <f t="shared" si="4"/>
        <v>#REF!</v>
      </c>
      <c r="G33" s="3" t="e">
        <f t="shared" si="4"/>
        <v>#REF!</v>
      </c>
      <c r="H33" s="3" t="e">
        <f t="shared" si="4"/>
        <v>#REF!</v>
      </c>
      <c r="I33" s="3" t="e">
        <f t="shared" si="4"/>
        <v>#REF!</v>
      </c>
      <c r="J33" s="3" t="e">
        <f t="shared" si="4"/>
        <v>#REF!</v>
      </c>
      <c r="K33" s="3" t="e">
        <f t="shared" si="4"/>
        <v>#REF!</v>
      </c>
      <c r="L33" s="3" t="e">
        <f t="shared" si="4"/>
        <v>#REF!</v>
      </c>
      <c r="M33" s="3" t="e">
        <f t="shared" si="4"/>
        <v>#REF!</v>
      </c>
      <c r="N33" s="3" t="e">
        <f t="shared" si="4"/>
        <v>#REF!</v>
      </c>
      <c r="O33" s="6" t="e">
        <f t="shared" si="4"/>
        <v>#REF!</v>
      </c>
      <c r="P33" s="18" t="e">
        <f>'Model names'!#REF!</f>
        <v>#REF!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>
      <c r="Q34" s="26"/>
      <c r="R34" s="27"/>
      <c r="S34" s="27"/>
      <c r="T34" s="27"/>
      <c r="U34" s="27"/>
      <c r="V34" s="27"/>
      <c r="W34" s="27"/>
      <c r="X34" s="27"/>
      <c r="Y34" s="27"/>
      <c r="Z34" s="27"/>
      <c r="AA34" s="28"/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42" priority="3" operator="equal">
      <formula>"On"</formula>
    </cfRule>
  </conditionalFormatting>
  <conditionalFormatting sqref="V21:AA23">
    <cfRule type="cellIs" dxfId="41" priority="2" operator="equal">
      <formula>"On"</formula>
    </cfRule>
  </conditionalFormatting>
  <conditionalFormatting sqref="R21:R23">
    <cfRule type="cellIs" dxfId="40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21">
          <controlPr autoLine="0" r:id="rId4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34817" r:id="rId3" name="CommandButton2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/>
  </sheetPr>
  <dimension ref="A1:AH40"/>
  <sheetViews>
    <sheetView topLeftCell="C1" zoomScale="70" zoomScaleNormal="70" workbookViewId="0">
      <selection activeCell="P2" sqref="P2"/>
    </sheetView>
  </sheetViews>
  <sheetFormatPr defaultRowHeight="14.4" outlineLevelRow="1" outlineLevelCol="1" x14ac:dyDescent="0.3"/>
  <cols>
    <col min="1" max="1" width="108" bestFit="1" customWidth="1" outlineLevel="1"/>
    <col min="2" max="2" width="49.109375" bestFit="1" customWidth="1" outlineLevel="1"/>
    <col min="3" max="3" width="14.44140625" bestFit="1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30</v>
      </c>
      <c r="B2">
        <f>P2</f>
        <v>10</v>
      </c>
      <c r="P2" s="1">
        <v>10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names'!I1</f>
        <v>2017</v>
      </c>
      <c r="R3" s="2">
        <f>'Model names'!J1</f>
        <v>2018</v>
      </c>
      <c r="S3" s="2">
        <f>'Model names'!K1</f>
        <v>2019</v>
      </c>
      <c r="T3" s="2">
        <f>'Model names'!L1</f>
        <v>2020</v>
      </c>
      <c r="U3" s="2">
        <f>'Model names'!M1</f>
        <v>2021</v>
      </c>
      <c r="V3" s="2">
        <f>'Model names'!N1</f>
        <v>2022</v>
      </c>
      <c r="W3" s="2">
        <f>'Model names'!O1</f>
        <v>2023</v>
      </c>
      <c r="X3" s="2">
        <f>'Model names'!P1</f>
        <v>2024</v>
      </c>
      <c r="Y3" s="2">
        <f>'Model names'!Q1</f>
        <v>2025</v>
      </c>
      <c r="Z3" s="2">
        <f>'Model names'!R1</f>
        <v>2026</v>
      </c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53</v>
      </c>
      <c r="D4" s="3" t="s">
        <v>64</v>
      </c>
      <c r="E4" s="3" t="s">
        <v>65</v>
      </c>
      <c r="F4" s="3" t="s">
        <v>66</v>
      </c>
      <c r="G4" s="3" t="s">
        <v>67</v>
      </c>
      <c r="H4" s="3" t="s">
        <v>68</v>
      </c>
      <c r="I4" s="3" t="s">
        <v>69</v>
      </c>
      <c r="J4" s="3" t="s">
        <v>70</v>
      </c>
      <c r="K4" s="3" t="s">
        <v>71</v>
      </c>
      <c r="L4" s="3" t="s">
        <v>72</v>
      </c>
      <c r="M4" s="3" t="s">
        <v>73</v>
      </c>
      <c r="N4" s="6"/>
      <c r="O4" s="6"/>
      <c r="P4" s="3" t="str">
        <f>'Model names'!C2</f>
        <v>BFW</v>
      </c>
      <c r="Q4" s="8" t="e">
        <f ca="1">[15]Exec_Summary!Q14</f>
        <v>#NUM!</v>
      </c>
      <c r="R4" s="8">
        <f>[15]Exec_Summary!Q31</f>
        <v>-1.0881521731857982E-3</v>
      </c>
      <c r="S4" s="8" t="e">
        <f>[15]Exec_Summary!Q32</f>
        <v>#NUM!</v>
      </c>
      <c r="T4" s="8">
        <f>[15]Exec_Summary!Q33</f>
        <v>0.15949401564927332</v>
      </c>
      <c r="U4" s="8">
        <f ca="1">[15]Exec_Summary!Q36</f>
        <v>2.3009067315085396E-2</v>
      </c>
      <c r="V4" s="8">
        <f ca="1">[15]Exec_Summary!Q37</f>
        <v>3.0077591444833383E-2</v>
      </c>
      <c r="W4" s="8">
        <f ca="1">[15]Exec_Summary!Q38</f>
        <v>3.1971180357838476E-2</v>
      </c>
      <c r="X4" s="8">
        <f ca="1">[15]Exec_Summary!Q41</f>
        <v>-0.11771078289511054</v>
      </c>
      <c r="Y4" s="8" t="e">
        <f>[15]Exec_Summary!Q45</f>
        <v>#NUM!</v>
      </c>
      <c r="Z4" s="8" t="e">
        <f ca="1">[15]Exec_Summary!Q46</f>
        <v>#DIV/0!</v>
      </c>
      <c r="AA4" s="7"/>
      <c r="AB4" s="7"/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53</v>
      </c>
      <c r="D5" s="3" t="s">
        <v>64</v>
      </c>
      <c r="E5" s="3" t="s">
        <v>65</v>
      </c>
      <c r="F5" s="3" t="s">
        <v>66</v>
      </c>
      <c r="G5" s="3" t="s">
        <v>67</v>
      </c>
      <c r="H5" s="3" t="s">
        <v>68</v>
      </c>
      <c r="I5" s="3" t="s">
        <v>69</v>
      </c>
      <c r="J5" s="3" t="s">
        <v>70</v>
      </c>
      <c r="K5" s="3" t="s">
        <v>71</v>
      </c>
      <c r="L5" s="3" t="s">
        <v>72</v>
      </c>
      <c r="M5" s="3" t="s">
        <v>73</v>
      </c>
      <c r="N5" s="6"/>
      <c r="O5" s="6"/>
      <c r="P5" s="3" t="str">
        <f>'Model names'!C3</f>
        <v>CA</v>
      </c>
      <c r="Q5" s="8">
        <f>[17]Exec_Summary!Q14</f>
        <v>3.8063412246151736E-2</v>
      </c>
      <c r="R5" s="8">
        <f>[17]Exec_Summary!Q31</f>
        <v>3.1667660718090246E-3</v>
      </c>
      <c r="S5" s="8">
        <f>[17]Exec_Summary!Q32</f>
        <v>2.3614187451218377E-4</v>
      </c>
      <c r="T5" s="8">
        <f>[17]Exec_Summary!Q33</f>
        <v>-5.7321677916265441E-4</v>
      </c>
      <c r="U5" s="8">
        <f>[17]Exec_Summary!Q36</f>
        <v>4.2669510242534882E-2</v>
      </c>
      <c r="V5" s="8">
        <f>[17]Exec_Summary!Q37</f>
        <v>5.5465534284939499E-2</v>
      </c>
      <c r="W5" s="8">
        <f>[17]Exec_Summary!Q38</f>
        <v>5.2140522818436029E-2</v>
      </c>
      <c r="X5" s="8">
        <f>[17]Exec_Summary!Q41</f>
        <v>4.3267528695169533E-2</v>
      </c>
      <c r="Y5" s="8">
        <f>[17]Exec_Summary!Q45</f>
        <v>8.5135054074617564E-3</v>
      </c>
      <c r="Z5" s="8">
        <f>[17]Exec_Summary!Q46</f>
        <v>3.134471799106188E-2</v>
      </c>
      <c r="AA5" s="7"/>
      <c r="AB5" s="7"/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53</v>
      </c>
      <c r="D6" s="3" t="s">
        <v>64</v>
      </c>
      <c r="E6" s="3" t="s">
        <v>65</v>
      </c>
      <c r="F6" s="3" t="s">
        <v>66</v>
      </c>
      <c r="G6" s="3" t="s">
        <v>67</v>
      </c>
      <c r="H6" s="3" t="s">
        <v>68</v>
      </c>
      <c r="I6" s="3" t="s">
        <v>69</v>
      </c>
      <c r="J6" s="3" t="s">
        <v>70</v>
      </c>
      <c r="K6" s="3" t="s">
        <v>71</v>
      </c>
      <c r="L6" s="3" t="s">
        <v>72</v>
      </c>
      <c r="M6" s="3" t="s">
        <v>73</v>
      </c>
      <c r="N6" s="6"/>
      <c r="O6" s="6"/>
      <c r="P6" s="3" t="str">
        <f>'Model names'!C4</f>
        <v>ETS</v>
      </c>
      <c r="Q6" s="8" t="e">
        <f>[19]Exec_Summary!Q14</f>
        <v>#NUM!</v>
      </c>
      <c r="R6" s="8" t="e">
        <f>[19]Exec_Summary!Q31</f>
        <v>#NUM!</v>
      </c>
      <c r="S6" s="8" t="e">
        <f>[19]Exec_Summary!Q32</f>
        <v>#NUM!</v>
      </c>
      <c r="T6" s="8" t="e">
        <f>[19]Exec_Summary!Q33</f>
        <v>#NUM!</v>
      </c>
      <c r="U6" s="8" t="e">
        <f>[19]Exec_Summary!Q36</f>
        <v>#NUM!</v>
      </c>
      <c r="V6" s="8" t="e">
        <f>[19]Exec_Summary!Q37</f>
        <v>#NUM!</v>
      </c>
      <c r="W6" s="8" t="e">
        <f>[19]Exec_Summary!Q38</f>
        <v>#DIV/0!</v>
      </c>
      <c r="X6" s="8" t="e">
        <f>[19]Exec_Summary!Q41</f>
        <v>#DIV/0!</v>
      </c>
      <c r="Y6" s="8" t="e">
        <f>[19]Exec_Summary!Q45</f>
        <v>#NUM!</v>
      </c>
      <c r="Z6" s="8" t="e">
        <f>[19]Exec_Summary!Q46</f>
        <v>#DIV/0!</v>
      </c>
      <c r="AA6" s="7"/>
      <c r="AB6" s="7"/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53</v>
      </c>
      <c r="D7" s="3" t="s">
        <v>64</v>
      </c>
      <c r="E7" s="3" t="s">
        <v>65</v>
      </c>
      <c r="F7" s="3" t="s">
        <v>66</v>
      </c>
      <c r="G7" s="3" t="s">
        <v>67</v>
      </c>
      <c r="H7" s="3" t="s">
        <v>68</v>
      </c>
      <c r="I7" s="3" t="s">
        <v>69</v>
      </c>
      <c r="J7" s="3" t="s">
        <v>70</v>
      </c>
      <c r="K7" s="3" t="s">
        <v>71</v>
      </c>
      <c r="L7" s="3" t="s">
        <v>72</v>
      </c>
      <c r="M7" s="3" t="s">
        <v>73</v>
      </c>
      <c r="N7" s="6"/>
      <c r="O7" s="6"/>
      <c r="P7" s="3" t="str">
        <f>'Model names'!C5</f>
        <v>HI</v>
      </c>
      <c r="Q7" s="8">
        <f>[21]Exec_Summary!Q14</f>
        <v>3.2235228996260037E-2</v>
      </c>
      <c r="R7" s="8">
        <f>[21]Exec_Summary!Q31</f>
        <v>2.8599128513808115E-4</v>
      </c>
      <c r="S7" s="8">
        <f>[21]Exec_Summary!Q32</f>
        <v>0</v>
      </c>
      <c r="T7" s="8">
        <f>[21]Exec_Summary!Q33</f>
        <v>0</v>
      </c>
      <c r="U7" s="8">
        <f>[21]Exec_Summary!Q36</f>
        <v>0</v>
      </c>
      <c r="V7" s="8">
        <f>[21]Exec_Summary!Q37</f>
        <v>0</v>
      </c>
      <c r="W7" s="8">
        <f>[21]Exec_Summary!Q38</f>
        <v>0</v>
      </c>
      <c r="X7" s="8">
        <f>[21]Exec_Summary!Q41</f>
        <v>0</v>
      </c>
      <c r="Y7" s="8">
        <f>[21]Exec_Summary!Q45</f>
        <v>9.6199925589373751E-15</v>
      </c>
      <c r="Z7" s="8">
        <f>[21]Exec_Summary!Q46</f>
        <v>3.3674773089100794E-2</v>
      </c>
      <c r="AA7" s="7"/>
      <c r="AB7" s="7"/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53</v>
      </c>
      <c r="D8" s="3" t="s">
        <v>64</v>
      </c>
      <c r="E8" s="3" t="s">
        <v>65</v>
      </c>
      <c r="F8" s="3" t="s">
        <v>66</v>
      </c>
      <c r="G8" s="3" t="s">
        <v>67</v>
      </c>
      <c r="H8" s="3" t="s">
        <v>68</v>
      </c>
      <c r="I8" s="3" t="s">
        <v>69</v>
      </c>
      <c r="J8" s="3" t="s">
        <v>70</v>
      </c>
      <c r="K8" s="3" t="s">
        <v>71</v>
      </c>
      <c r="L8" s="3" t="s">
        <v>72</v>
      </c>
      <c r="M8" s="3" t="s">
        <v>73</v>
      </c>
      <c r="N8" s="6"/>
      <c r="O8" s="6"/>
      <c r="P8" s="3" t="str">
        <f>'Model names'!C6</f>
        <v>IA</v>
      </c>
      <c r="Q8" s="8">
        <f>[23]Exec_Summary!Q14</f>
        <v>5.6197221545774306E-2</v>
      </c>
      <c r="R8" s="8">
        <f>[23]Exec_Summary!Q31</f>
        <v>1.278062647798946E-2</v>
      </c>
      <c r="S8" s="8">
        <f>[23]Exec_Summary!Q32</f>
        <v>-4.5483832467291957E-3</v>
      </c>
      <c r="T8" s="8">
        <f>[23]Exec_Summary!Q33</f>
        <v>-3.1364496403315898E-3</v>
      </c>
      <c r="U8" s="8">
        <f>[23]Exec_Summary!Q36</f>
        <v>2.6196597579237046E-2</v>
      </c>
      <c r="V8" s="8">
        <f>[23]Exec_Summary!Q37</f>
        <v>2.7014103413838062E-2</v>
      </c>
      <c r="W8" s="8">
        <f>[23]Exec_Summary!Q38</f>
        <v>1.3168191720776113E-2</v>
      </c>
      <c r="X8" s="8">
        <f>[23]Exec_Summary!Q41</f>
        <v>2.9425338313326374E-2</v>
      </c>
      <c r="Y8" s="8" t="e">
        <f>[23]Exec_Summary!Q45</f>
        <v>#NUM!</v>
      </c>
      <c r="Z8" s="8" t="e">
        <f>[23]Exec_Summary!Q46</f>
        <v>#DIV/0!</v>
      </c>
      <c r="AA8" s="7"/>
      <c r="AB8" s="7"/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53</v>
      </c>
      <c r="D9" s="3" t="s">
        <v>64</v>
      </c>
      <c r="E9" s="3" t="s">
        <v>65</v>
      </c>
      <c r="F9" s="3" t="s">
        <v>66</v>
      </c>
      <c r="G9" s="3" t="s">
        <v>67</v>
      </c>
      <c r="H9" s="3" t="s">
        <v>68</v>
      </c>
      <c r="I9" s="3" t="s">
        <v>69</v>
      </c>
      <c r="J9" s="3" t="s">
        <v>70</v>
      </c>
      <c r="K9" s="3" t="s">
        <v>71</v>
      </c>
      <c r="L9" s="3" t="s">
        <v>72</v>
      </c>
      <c r="M9" s="3" t="s">
        <v>73</v>
      </c>
      <c r="N9" s="6"/>
      <c r="O9" s="6"/>
      <c r="P9" s="3" t="str">
        <f>'Model names'!C7</f>
        <v>IL</v>
      </c>
      <c r="Q9" s="8">
        <f>[25]Exec_Summary!Q14</f>
        <v>7.4093481635321673E-2</v>
      </c>
      <c r="R9" s="8">
        <f>[25]Exec_Summary!Q31</f>
        <v>4.0741209996636258E-3</v>
      </c>
      <c r="S9" s="8">
        <f>[25]Exec_Summary!Q32</f>
        <v>6.7807812833478099E-4</v>
      </c>
      <c r="T9" s="8">
        <f>[25]Exec_Summary!Q33</f>
        <v>-4.3999988016103003E-3</v>
      </c>
      <c r="U9" s="8">
        <f>[25]Exec_Summary!Q36</f>
        <v>3.233761404859082E-2</v>
      </c>
      <c r="V9" s="8">
        <f>[25]Exec_Summary!Q37</f>
        <v>3.1111106039350918E-2</v>
      </c>
      <c r="W9" s="8">
        <f>[25]Exec_Summary!Q38</f>
        <v>2.6002073142264239E-2</v>
      </c>
      <c r="X9" s="8">
        <f>[25]Exec_Summary!Q41</f>
        <v>3.6899972686036855E-2</v>
      </c>
      <c r="Y9" s="8" t="e">
        <f>[25]Exec_Summary!Q45</f>
        <v>#NUM!</v>
      </c>
      <c r="Z9" s="8" t="e">
        <f>[25]Exec_Summary!Q46</f>
        <v>#DIV/0!</v>
      </c>
      <c r="AA9" s="7"/>
      <c r="AB9" s="7"/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53</v>
      </c>
      <c r="D10" s="3" t="s">
        <v>64</v>
      </c>
      <c r="E10" s="3" t="s">
        <v>65</v>
      </c>
      <c r="F10" s="3" t="s">
        <v>66</v>
      </c>
      <c r="G10" s="3" t="s">
        <v>67</v>
      </c>
      <c r="H10" s="3" t="s">
        <v>68</v>
      </c>
      <c r="I10" s="3" t="s">
        <v>69</v>
      </c>
      <c r="J10" s="3" t="s">
        <v>70</v>
      </c>
      <c r="K10" s="3" t="s">
        <v>71</v>
      </c>
      <c r="L10" s="3" t="s">
        <v>72</v>
      </c>
      <c r="M10" s="3" t="s">
        <v>73</v>
      </c>
      <c r="N10" s="6"/>
      <c r="O10" s="6"/>
      <c r="P10" s="3" t="str">
        <f>'Model names'!C8</f>
        <v>IN</v>
      </c>
      <c r="Q10" s="8">
        <f>[27]Exec_Summary!Q14</f>
        <v>7.0163748438574716E-2</v>
      </c>
      <c r="R10" s="8">
        <f>[27]Exec_Summary!Q31</f>
        <v>4.7082754806299434E-3</v>
      </c>
      <c r="S10" s="8">
        <f>[27]Exec_Summary!Q32</f>
        <v>-1.1995577282691088E-2</v>
      </c>
      <c r="T10" s="8">
        <f>[27]Exec_Summary!Q33</f>
        <v>-7.2609017338250842E-3</v>
      </c>
      <c r="U10" s="8">
        <f>[27]Exec_Summary!Q36</f>
        <v>3.7219054828204944E-2</v>
      </c>
      <c r="V10" s="8">
        <f>[27]Exec_Summary!Q37</f>
        <v>3.4743830853640675E-2</v>
      </c>
      <c r="W10" s="8">
        <f>[27]Exec_Summary!Q38</f>
        <v>2.8966306635776096E-2</v>
      </c>
      <c r="X10" s="8">
        <f>[27]Exec_Summary!Q41</f>
        <v>4.4805283321401067E-2</v>
      </c>
      <c r="Y10" s="8">
        <f>[27]Exec_Summary!Q45</f>
        <v>9.2780815311215934E-3</v>
      </c>
      <c r="Z10" s="8">
        <f>[27]Exec_Summary!Q46</f>
        <v>2.7605123659843595E-2</v>
      </c>
      <c r="AA10" s="7"/>
      <c r="AB10" s="7"/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53</v>
      </c>
      <c r="D11" s="3" t="s">
        <v>64</v>
      </c>
      <c r="E11" s="3" t="s">
        <v>65</v>
      </c>
      <c r="F11" s="3" t="s">
        <v>66</v>
      </c>
      <c r="G11" s="3" t="s">
        <v>67</v>
      </c>
      <c r="H11" s="3" t="s">
        <v>68</v>
      </c>
      <c r="I11" s="3" t="s">
        <v>69</v>
      </c>
      <c r="J11" s="3" t="s">
        <v>70</v>
      </c>
      <c r="K11" s="3" t="s">
        <v>71</v>
      </c>
      <c r="L11" s="3" t="s">
        <v>72</v>
      </c>
      <c r="M11" s="3" t="s">
        <v>73</v>
      </c>
      <c r="N11" s="6"/>
      <c r="O11" s="6"/>
      <c r="P11" s="3" t="str">
        <f>'Model names'!C9</f>
        <v>KY</v>
      </c>
      <c r="Q11" s="8">
        <f>[29]Exec_Summary!Q14</f>
        <v>5.2791575748809105E-2</v>
      </c>
      <c r="R11" s="8">
        <f>[29]Exec_Summary!Q31</f>
        <v>1.3828114585859483E-2</v>
      </c>
      <c r="S11" s="8">
        <f>[29]Exec_Summary!Q32</f>
        <v>-3.3857151612627337E-3</v>
      </c>
      <c r="T11" s="8">
        <f>[29]Exec_Summary!Q33</f>
        <v>-1.1036757767706603E-3</v>
      </c>
      <c r="U11" s="8">
        <f>[29]Exec_Summary!Q36</f>
        <v>2.1459237610385901E-2</v>
      </c>
      <c r="V11" s="8">
        <f>[29]Exec_Summary!Q37</f>
        <v>2.4686148893163257E-2</v>
      </c>
      <c r="W11" s="8">
        <f>[29]Exec_Summary!Q38</f>
        <v>9.1926428267460458E-3</v>
      </c>
      <c r="X11" s="8">
        <f>[29]Exec_Summary!Q41</f>
        <v>2.2587843053639197E-2</v>
      </c>
      <c r="Y11" s="8">
        <f>[29]Exec_Summary!Q45</f>
        <v>-9.1324962925254946E-4</v>
      </c>
      <c r="Z11" s="8">
        <f>[29]Exec_Summary!Q46</f>
        <v>2.3033850649958221E-2</v>
      </c>
      <c r="AA11" s="7"/>
      <c r="AB11" s="7"/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53</v>
      </c>
      <c r="D12" s="3" t="s">
        <v>64</v>
      </c>
      <c r="E12" s="3" t="s">
        <v>65</v>
      </c>
      <c r="F12" s="3" t="s">
        <v>66</v>
      </c>
      <c r="G12" s="3" t="s">
        <v>67</v>
      </c>
      <c r="H12" s="3" t="s">
        <v>68</v>
      </c>
      <c r="I12" s="3" t="s">
        <v>69</v>
      </c>
      <c r="J12" s="3" t="s">
        <v>70</v>
      </c>
      <c r="K12" s="3" t="s">
        <v>71</v>
      </c>
      <c r="L12" s="3" t="s">
        <v>72</v>
      </c>
      <c r="M12" s="3" t="s">
        <v>73</v>
      </c>
      <c r="N12" s="6"/>
      <c r="O12" s="6"/>
      <c r="P12" s="3" t="str">
        <f>'Model names'!C10</f>
        <v>Liberty</v>
      </c>
      <c r="Q12" s="8">
        <f>[31]Exec_Summary!Q14</f>
        <v>0.31116263856311543</v>
      </c>
      <c r="R12" s="8" t="e">
        <f>[31]Exec_Summary!Q31</f>
        <v>#NUM!</v>
      </c>
      <c r="S12" s="8" t="e">
        <f>[31]Exec_Summary!Q32</f>
        <v>#NUM!</v>
      </c>
      <c r="T12" s="8" t="e">
        <f>[31]Exec_Summary!Q33</f>
        <v>#NUM!</v>
      </c>
      <c r="U12" s="8">
        <f>[31]Exec_Summary!Q36</f>
        <v>9.5496114068978483E-2</v>
      </c>
      <c r="V12" s="8">
        <f>[31]Exec_Summary!Q37</f>
        <v>8.6544200272837241E-2</v>
      </c>
      <c r="W12" s="8" t="e">
        <f>[31]Exec_Summary!Q38</f>
        <v>#DIV/0!</v>
      </c>
      <c r="X12" s="8" t="e">
        <f>[31]Exec_Summary!Q41</f>
        <v>#DIV/0!</v>
      </c>
      <c r="Y12" s="8" t="e">
        <f>[31]Exec_Summary!Q45</f>
        <v>#NUM!</v>
      </c>
      <c r="Z12" s="8" t="e">
        <f>[31]Exec_Summary!Q46</f>
        <v>#DIV/0!</v>
      </c>
      <c r="AA12" s="7"/>
      <c r="AB12" s="7"/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53</v>
      </c>
      <c r="D13" s="3" t="s">
        <v>64</v>
      </c>
      <c r="E13" s="3" t="s">
        <v>65</v>
      </c>
      <c r="F13" s="3" t="s">
        <v>66</v>
      </c>
      <c r="G13" s="3" t="s">
        <v>67</v>
      </c>
      <c r="H13" s="3" t="s">
        <v>68</v>
      </c>
      <c r="I13" s="3" t="s">
        <v>69</v>
      </c>
      <c r="J13" s="3" t="s">
        <v>70</v>
      </c>
      <c r="K13" s="3" t="s">
        <v>71</v>
      </c>
      <c r="L13" s="3" t="s">
        <v>72</v>
      </c>
      <c r="M13" s="3" t="s">
        <v>73</v>
      </c>
      <c r="N13" s="6"/>
      <c r="O13" s="6"/>
      <c r="P13" s="3" t="str">
        <f>'Model names'!C11</f>
        <v>LW</v>
      </c>
      <c r="Q13" s="8">
        <f>[33]Exec_Summary!Q14</f>
        <v>5.1318442547591304E-2</v>
      </c>
      <c r="R13" s="8">
        <f>[33]Exec_Summary!Q31</f>
        <v>6.5041089446798414E-2</v>
      </c>
      <c r="S13" s="8">
        <f>[33]Exec_Summary!Q32</f>
        <v>9.9354726026755474E-3</v>
      </c>
      <c r="T13" s="8">
        <f>[33]Exec_Summary!Q33</f>
        <v>0.1345840756337163</v>
      </c>
      <c r="U13" s="8">
        <f>[33]Exec_Summary!Q36</f>
        <v>1.3500253143748336E-2</v>
      </c>
      <c r="V13" s="8" t="e">
        <f>[33]Exec_Summary!Q37</f>
        <v>#NUM!</v>
      </c>
      <c r="W13" s="8" t="e">
        <f>[33]Exec_Summary!Q38</f>
        <v>#DIV/0!</v>
      </c>
      <c r="X13" s="8">
        <f>[33]Exec_Summary!Q41</f>
        <v>-0.10672089013970332</v>
      </c>
      <c r="Y13" s="8" t="e">
        <f>[33]Exec_Summary!Q45</f>
        <v>#NUM!</v>
      </c>
      <c r="Z13" s="8" t="e">
        <f>[33]Exec_Summary!Q46</f>
        <v>#DIV/0!</v>
      </c>
      <c r="AA13" s="7"/>
      <c r="AB13" s="7"/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tr">
        <f t="shared" ref="C14:C20" si="0">IF(B14=0,"",C13)</f>
        <v>Exec_Summary</v>
      </c>
      <c r="D14" s="3" t="str">
        <f t="shared" ref="D14:M15" si="1">IF(C14=0,"",D13)</f>
        <v>Q14</v>
      </c>
      <c r="E14" s="3" t="str">
        <f t="shared" si="1"/>
        <v>Q31</v>
      </c>
      <c r="F14" s="3" t="str">
        <f t="shared" si="1"/>
        <v>Q32</v>
      </c>
      <c r="G14" s="3" t="str">
        <f t="shared" si="1"/>
        <v>Q33</v>
      </c>
      <c r="H14" s="3" t="str">
        <f t="shared" si="1"/>
        <v>Q36</v>
      </c>
      <c r="I14" s="3" t="str">
        <f t="shared" si="1"/>
        <v>Q37</v>
      </c>
      <c r="J14" s="3" t="str">
        <f t="shared" si="1"/>
        <v>Q38</v>
      </c>
      <c r="K14" s="3" t="str">
        <f t="shared" si="1"/>
        <v>Q41</v>
      </c>
      <c r="L14" s="3" t="str">
        <f t="shared" si="1"/>
        <v>Q45</v>
      </c>
      <c r="M14" s="3" t="str">
        <f t="shared" si="1"/>
        <v>Q46</v>
      </c>
      <c r="N14" s="6"/>
      <c r="O14" s="6"/>
      <c r="P14" s="3" t="str">
        <f>'Model names'!C12</f>
        <v>MD</v>
      </c>
      <c r="Q14" s="8">
        <f>[35]Exec_Summary!Q14</f>
        <v>9.6015318838213098E-2</v>
      </c>
      <c r="R14" s="8">
        <f>[35]Exec_Summary!Q31</f>
        <v>1.8300895796786898E-3</v>
      </c>
      <c r="S14" s="8">
        <f>[35]Exec_Summary!Q32</f>
        <v>-3.7527295092200925E-3</v>
      </c>
      <c r="T14" s="8">
        <f>[35]Exec_Summary!Q33</f>
        <v>-4.5839660915638798E-3</v>
      </c>
      <c r="U14" s="8">
        <f>[35]Exec_Summary!Q36</f>
        <v>6.5138764781475816E-2</v>
      </c>
      <c r="V14" s="8">
        <f>[35]Exec_Summary!Q37</f>
        <v>6.1145439834345533E-2</v>
      </c>
      <c r="W14" s="8">
        <f>[35]Exec_Summary!Q38</f>
        <v>5.8590005460162478E-2</v>
      </c>
      <c r="X14" s="8">
        <f>[35]Exec_Summary!Q41</f>
        <v>7.0043809320914016E-2</v>
      </c>
      <c r="Y14" s="8">
        <f>[35]Exec_Summary!Q45</f>
        <v>7.9414928739769321E-3</v>
      </c>
      <c r="Z14" s="8">
        <f>[35]Exec_Summary!Q46</f>
        <v>5.6689850694399239E-2</v>
      </c>
      <c r="AA14" s="7"/>
      <c r="AB14" s="7"/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tr">
        <f t="shared" si="0"/>
        <v>Exec_Summary</v>
      </c>
      <c r="D15" s="3" t="str">
        <f t="shared" si="1"/>
        <v>Q14</v>
      </c>
      <c r="E15" s="3" t="str">
        <f t="shared" si="1"/>
        <v>Q31</v>
      </c>
      <c r="F15" s="3" t="str">
        <f t="shared" si="1"/>
        <v>Q32</v>
      </c>
      <c r="G15" s="3" t="str">
        <f t="shared" si="1"/>
        <v>Q33</v>
      </c>
      <c r="H15" s="3" t="str">
        <f t="shared" si="1"/>
        <v>Q36</v>
      </c>
      <c r="I15" s="3" t="str">
        <f t="shared" si="1"/>
        <v>Q37</v>
      </c>
      <c r="J15" s="3" t="str">
        <f t="shared" si="1"/>
        <v>Q38</v>
      </c>
      <c r="K15" s="3" t="str">
        <f t="shared" si="1"/>
        <v>Q41</v>
      </c>
      <c r="L15" s="3" t="str">
        <f t="shared" si="1"/>
        <v>Q45</v>
      </c>
      <c r="M15" s="3" t="str">
        <f t="shared" si="1"/>
        <v>Q46</v>
      </c>
      <c r="N15" s="6"/>
      <c r="O15" s="6"/>
      <c r="P15" s="3" t="str">
        <f>'Model names'!C13</f>
        <v>MI</v>
      </c>
      <c r="Q15" s="8">
        <f>[37]Exec_Summary!Q14</f>
        <v>4.9444382337753091E-2</v>
      </c>
      <c r="R15" s="8">
        <f>[37]Exec_Summary!Q31</f>
        <v>2.922696071092106E-3</v>
      </c>
      <c r="S15" s="8">
        <f>[37]Exec_Summary!Q32</f>
        <v>4.5598562127250192E-3</v>
      </c>
      <c r="T15" s="8">
        <f>[37]Exec_Summary!Q33</f>
        <v>-4.2368857862354406E-3</v>
      </c>
      <c r="U15" s="8">
        <f>[37]Exec_Summary!Q36</f>
        <v>2.9144597622571728E-2</v>
      </c>
      <c r="V15" s="8">
        <f>[37]Exec_Summary!Q37</f>
        <v>3.2524477611206269E-2</v>
      </c>
      <c r="W15" s="8">
        <f>[37]Exec_Summary!Q38</f>
        <v>2.8143133434097429E-2</v>
      </c>
      <c r="X15" s="8">
        <f>[37]Exec_Summary!Q41</f>
        <v>3.3523518727332391E-2</v>
      </c>
      <c r="Y15" s="8">
        <f>[37]Exec_Summary!Q45</f>
        <v>9.6464445491928184E-15</v>
      </c>
      <c r="Z15" s="8">
        <f>[37]Exec_Summary!Q46</f>
        <v>2.9069838785894368E-2</v>
      </c>
      <c r="AA15" s="7"/>
      <c r="AB15" s="7"/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tr">
        <f t="shared" si="0"/>
        <v>Exec_Summary</v>
      </c>
      <c r="D16" s="3" t="str">
        <f t="shared" ref="D16:D33" si="2">IF(C16=0,"",D15)</f>
        <v>Q14</v>
      </c>
      <c r="E16" s="3" t="str">
        <f t="shared" ref="E16:E33" si="3">IF(D16=0,"",E15)</f>
        <v>Q31</v>
      </c>
      <c r="F16" s="3" t="str">
        <f t="shared" ref="F16:F33" si="4">IF(E16=0,"",F15)</f>
        <v>Q32</v>
      </c>
      <c r="G16" s="3" t="str">
        <f t="shared" ref="G16:G33" si="5">IF(F16=0,"",G15)</f>
        <v>Q33</v>
      </c>
      <c r="H16" s="3" t="str">
        <f t="shared" ref="H16:H33" si="6">IF(G16=0,"",H15)</f>
        <v>Q36</v>
      </c>
      <c r="I16" s="3" t="str">
        <f t="shared" ref="I16:I33" si="7">IF(H16=0,"",I15)</f>
        <v>Q37</v>
      </c>
      <c r="J16" s="3" t="str">
        <f t="shared" ref="J16:J33" si="8">IF(I16=0,"",J15)</f>
        <v>Q38</v>
      </c>
      <c r="K16" s="3" t="str">
        <f t="shared" ref="K16:K33" si="9">IF(J16=0,"",K15)</f>
        <v>Q41</v>
      </c>
      <c r="L16" s="3" t="str">
        <f t="shared" ref="L16:L33" si="10">IF(K16=0,"",L15)</f>
        <v>Q45</v>
      </c>
      <c r="M16" s="3" t="str">
        <f t="shared" ref="M16:M33" si="11">IF(L16=0,"",M15)</f>
        <v>Q46</v>
      </c>
      <c r="N16" s="6"/>
      <c r="O16" s="6"/>
      <c r="P16" s="3" t="str">
        <f>'Model names'!C14</f>
        <v>MO</v>
      </c>
      <c r="Q16" s="8">
        <f>[39]Exec_Summary!Q14</f>
        <v>7.849364323668262E-2</v>
      </c>
      <c r="R16" s="8">
        <f>[39]Exec_Summary!Q31</f>
        <v>2.2778998943201322E-3</v>
      </c>
      <c r="S16" s="8">
        <f>[39]Exec_Summary!Q32</f>
        <v>-1.2932829408929201E-2</v>
      </c>
      <c r="T16" s="8">
        <f>[39]Exec_Summary!Q33</f>
        <v>-9.6308154805093606E-3</v>
      </c>
      <c r="U16" s="8">
        <f>[39]Exec_Summary!Q36</f>
        <v>5.0538998322415159E-2</v>
      </c>
      <c r="V16" s="8">
        <f>[39]Exec_Summary!Q37</f>
        <v>4.6113061301522019E-2</v>
      </c>
      <c r="W16" s="8">
        <f>[39]Exec_Summary!Q38</f>
        <v>4.3567202284077219E-2</v>
      </c>
      <c r="X16" s="8">
        <f>[39]Exec_Summary!Q41</f>
        <v>6.0754933355600671E-2</v>
      </c>
      <c r="Y16" s="8">
        <f>[39]Exec_Summary!Q45</f>
        <v>4.1086347635382065E-3</v>
      </c>
      <c r="Z16" s="8">
        <f>[39]Exec_Summary!Q46</f>
        <v>4.6530483340542279E-2</v>
      </c>
      <c r="AA16" s="7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tr">
        <f t="shared" si="0"/>
        <v>Exec_Summary</v>
      </c>
      <c r="D17" s="3" t="str">
        <f t="shared" si="2"/>
        <v>Q14</v>
      </c>
      <c r="E17" s="3" t="str">
        <f t="shared" si="3"/>
        <v>Q31</v>
      </c>
      <c r="F17" s="3" t="str">
        <f t="shared" si="4"/>
        <v>Q32</v>
      </c>
      <c r="G17" s="3" t="str">
        <f t="shared" si="5"/>
        <v>Q33</v>
      </c>
      <c r="H17" s="3" t="str">
        <f t="shared" si="6"/>
        <v>Q36</v>
      </c>
      <c r="I17" s="3" t="str">
        <f t="shared" si="7"/>
        <v>Q37</v>
      </c>
      <c r="J17" s="3" t="str">
        <f t="shared" si="8"/>
        <v>Q38</v>
      </c>
      <c r="K17" s="3" t="str">
        <f t="shared" si="9"/>
        <v>Q41</v>
      </c>
      <c r="L17" s="3" t="str">
        <f t="shared" si="10"/>
        <v>Q45</v>
      </c>
      <c r="M17" s="3" t="str">
        <f t="shared" si="11"/>
        <v>Q46</v>
      </c>
      <c r="N17" s="6"/>
      <c r="O17" s="6"/>
      <c r="P17" s="3" t="str">
        <f>'Model names'!C15</f>
        <v>NJ</v>
      </c>
      <c r="Q17" s="8">
        <f>[41]Exec_Summary!Q14</f>
        <v>4.9800052289014636E-2</v>
      </c>
      <c r="R17" s="8">
        <f>[41]Exec_Summary!Q31</f>
        <v>3.461970125986757E-3</v>
      </c>
      <c r="S17" s="8">
        <f>[41]Exec_Summary!Q32</f>
        <v>-1.4749269186640121E-2</v>
      </c>
      <c r="T17" s="8">
        <f>[41]Exec_Summary!Q33</f>
        <v>-1.2393382227753156E-2</v>
      </c>
      <c r="U17" s="8">
        <f>[41]Exec_Summary!Q36</f>
        <v>3.7602532283432452E-2</v>
      </c>
      <c r="V17" s="8">
        <f>[41]Exec_Summary!Q37</f>
        <v>3.7236734227147565E-2</v>
      </c>
      <c r="W17" s="8">
        <f>[41]Exec_Summary!Q38</f>
        <v>3.3033043261457347E-2</v>
      </c>
      <c r="X17" s="8">
        <f>[41]Exec_Summary!Q41</f>
        <v>5.062330852335107E-2</v>
      </c>
      <c r="Y17" s="8">
        <f>[41]Exec_Summary!Q45</f>
        <v>2.2868750359137423E-3</v>
      </c>
      <c r="Z17" s="8">
        <f>[41]Exec_Summary!Q46</f>
        <v>3.4401720145272527E-2</v>
      </c>
      <c r="AA17" s="7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tr">
        <f t="shared" si="0"/>
        <v>Exec_Summary</v>
      </c>
      <c r="D18" s="3" t="str">
        <f t="shared" si="2"/>
        <v>Q14</v>
      </c>
      <c r="E18" s="3" t="str">
        <f t="shared" si="3"/>
        <v>Q31</v>
      </c>
      <c r="F18" s="3" t="str">
        <f t="shared" si="4"/>
        <v>Q32</v>
      </c>
      <c r="G18" s="3" t="str">
        <f t="shared" si="5"/>
        <v>Q33</v>
      </c>
      <c r="H18" s="3" t="str">
        <f t="shared" si="6"/>
        <v>Q36</v>
      </c>
      <c r="I18" s="3" t="str">
        <f t="shared" si="7"/>
        <v>Q37</v>
      </c>
      <c r="J18" s="3" t="str">
        <f t="shared" si="8"/>
        <v>Q38</v>
      </c>
      <c r="K18" s="3" t="str">
        <f t="shared" si="9"/>
        <v>Q41</v>
      </c>
      <c r="L18" s="3" t="str">
        <f t="shared" si="10"/>
        <v>Q45</v>
      </c>
      <c r="M18" s="3" t="str">
        <f t="shared" si="11"/>
        <v>Q46</v>
      </c>
      <c r="N18" s="6"/>
      <c r="O18" s="6"/>
      <c r="P18" s="3" t="str">
        <f>'Model names'!C16</f>
        <v>NY</v>
      </c>
      <c r="Q18" s="8">
        <f>[43]Exec_Summary!Q14</f>
        <v>7.9752057874564991E-2</v>
      </c>
      <c r="R18" s="8">
        <f>[43]Exec_Summary!Q31</f>
        <v>-2.1077450264811582E-5</v>
      </c>
      <c r="S18" s="8">
        <f>[43]Exec_Summary!Q32</f>
        <v>-7.1041414335251138E-3</v>
      </c>
      <c r="T18" s="8">
        <f>[43]Exec_Summary!Q33</f>
        <v>-9.2867174048976014E-3</v>
      </c>
      <c r="U18" s="8">
        <f>[43]Exec_Summary!Q36</f>
        <v>6.0060737101066061E-2</v>
      </c>
      <c r="V18" s="8">
        <f>[43]Exec_Summary!Q37</f>
        <v>2.005051251511265E-2</v>
      </c>
      <c r="W18" s="8">
        <f>[43]Exec_Summary!Q38</f>
        <v>6.6494162129054263E-2</v>
      </c>
      <c r="X18" s="8">
        <f>[43]Exec_Summary!Q41</f>
        <v>6.9997501522691866E-2</v>
      </c>
      <c r="Y18" s="8">
        <f>[43]Exec_Summary!Q45</f>
        <v>6.7825228577197173E-3</v>
      </c>
      <c r="Z18" s="8">
        <f>[43]Exec_Summary!Q46</f>
        <v>5.2132927738234344E-2</v>
      </c>
      <c r="AA18" s="7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tr">
        <f t="shared" si="0"/>
        <v>Exec_Summary</v>
      </c>
      <c r="D19" s="3" t="str">
        <f t="shared" si="2"/>
        <v>Q14</v>
      </c>
      <c r="E19" s="3" t="str">
        <f t="shared" si="3"/>
        <v>Q31</v>
      </c>
      <c r="F19" s="3" t="str">
        <f t="shared" si="4"/>
        <v>Q32</v>
      </c>
      <c r="G19" s="3" t="str">
        <f t="shared" si="5"/>
        <v>Q33</v>
      </c>
      <c r="H19" s="3" t="str">
        <f t="shared" si="6"/>
        <v>Q36</v>
      </c>
      <c r="I19" s="3" t="str">
        <f t="shared" si="7"/>
        <v>Q37</v>
      </c>
      <c r="J19" s="3" t="str">
        <f t="shared" si="8"/>
        <v>Q38</v>
      </c>
      <c r="K19" s="3" t="str">
        <f t="shared" si="9"/>
        <v>Q41</v>
      </c>
      <c r="L19" s="3" t="str">
        <f t="shared" si="10"/>
        <v>Q45</v>
      </c>
      <c r="M19" s="3" t="str">
        <f t="shared" si="11"/>
        <v>Q46</v>
      </c>
      <c r="N19" s="6"/>
      <c r="O19" s="6"/>
      <c r="P19" s="3" t="str">
        <f>'Model names'!C17</f>
        <v>PA</v>
      </c>
      <c r="Q19" s="8">
        <f>[45]Exec_Summary!Q14</f>
        <v>6.37067380357762E-2</v>
      </c>
      <c r="R19" s="8">
        <f>[45]Exec_Summary!Q31</f>
        <v>4.9709240081882997E-3</v>
      </c>
      <c r="S19" s="8">
        <f>[45]Exec_Summary!Q32</f>
        <v>-1.0200804922332244E-2</v>
      </c>
      <c r="T19" s="8">
        <f>[45]Exec_Summary!Q33</f>
        <v>-2.1181382742843299E-3</v>
      </c>
      <c r="U19" s="8">
        <f>[45]Exec_Summary!Q36</f>
        <v>3.4023465375930435E-2</v>
      </c>
      <c r="V19" s="8">
        <f>[45]Exec_Summary!Q37</f>
        <v>3.1445896969660207E-2</v>
      </c>
      <c r="W19" s="8">
        <f>[45]Exec_Summary!Q38</f>
        <v>2.5836586279148081E-2</v>
      </c>
      <c r="X19" s="8">
        <f>[45]Exec_Summary!Q41</f>
        <v>3.6218319058334912E-2</v>
      </c>
      <c r="Y19" s="8">
        <f>[45]Exec_Summary!Q45</f>
        <v>9.6922120189743832E-3</v>
      </c>
      <c r="Z19" s="8">
        <f>[45]Exec_Summary!Q46</f>
        <v>2.7002065642501207E-2</v>
      </c>
      <c r="AA19" s="7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tr">
        <f t="shared" si="0"/>
        <v>Exec_Summary</v>
      </c>
      <c r="D20" s="3" t="str">
        <f t="shared" si="2"/>
        <v>Q14</v>
      </c>
      <c r="E20" s="3" t="str">
        <f t="shared" si="3"/>
        <v>Q31</v>
      </c>
      <c r="F20" s="3" t="str">
        <f t="shared" si="4"/>
        <v>Q32</v>
      </c>
      <c r="G20" s="3" t="str">
        <f t="shared" si="5"/>
        <v>Q33</v>
      </c>
      <c r="H20" s="3" t="str">
        <f t="shared" si="6"/>
        <v>Q36</v>
      </c>
      <c r="I20" s="3" t="str">
        <f t="shared" si="7"/>
        <v>Q37</v>
      </c>
      <c r="J20" s="3" t="str">
        <f t="shared" si="8"/>
        <v>Q38</v>
      </c>
      <c r="K20" s="3" t="str">
        <f t="shared" si="9"/>
        <v>Q41</v>
      </c>
      <c r="L20" s="3" t="str">
        <f t="shared" si="10"/>
        <v>Q45</v>
      </c>
      <c r="M20" s="3" t="str">
        <f t="shared" si="11"/>
        <v>Q46</v>
      </c>
      <c r="N20" s="6"/>
      <c r="O20" s="6"/>
      <c r="P20" s="3" t="str">
        <f>'Model names'!C18</f>
        <v>TN</v>
      </c>
      <c r="Q20" s="8">
        <f>[47]Exec_Summary!Q14</f>
        <v>9.1549779911976548E-2</v>
      </c>
      <c r="R20" s="8">
        <f>[47]Exec_Summary!Q31</f>
        <v>1.030131917895342E-2</v>
      </c>
      <c r="S20" s="8">
        <f>[47]Exec_Summary!Q32</f>
        <v>-1.1175596298894135E-2</v>
      </c>
      <c r="T20" s="8">
        <f>[47]Exec_Summary!Q33</f>
        <v>-6.3751943526185895E-3</v>
      </c>
      <c r="U20" s="8">
        <f>[47]Exec_Summary!Q36</f>
        <v>2.4879545653869028E-2</v>
      </c>
      <c r="V20" s="8">
        <f>[47]Exec_Summary!Q37</f>
        <v>2.4900607029663381E-2</v>
      </c>
      <c r="W20" s="8">
        <f>[47]Exec_Summary!Q38</f>
        <v>1.3482383378326655E-2</v>
      </c>
      <c r="X20" s="8">
        <f>[47]Exec_Summary!Q41</f>
        <v>3.1455273489540754E-2</v>
      </c>
      <c r="Y20" s="8">
        <f>[47]Exec_Summary!Q45</f>
        <v>-1.0207547963579995E-3</v>
      </c>
      <c r="Z20" s="8">
        <f>[47]Exec_Summary!Q46</f>
        <v>2.6044354721625741E-2</v>
      </c>
      <c r="AA20" s="7"/>
      <c r="AB20" s="7"/>
      <c r="AC20" s="8"/>
      <c r="AG20" s="5"/>
      <c r="AH20" s="5"/>
    </row>
    <row r="21" spans="1:34" hidden="1" outlineLevel="1" x14ac:dyDescent="0.3">
      <c r="A21" s="2" t="str">
        <f>'Model names'!$B$23</f>
        <v>G:\AW BUSINESS PLAN\2018-2022 BUSINESS PLAN\Outer Year Model\State Outer Year Models\2017.07.28 Submission</v>
      </c>
      <c r="B21" s="3" t="s">
        <v>15</v>
      </c>
      <c r="C21" s="3"/>
      <c r="D21" s="3" t="str">
        <f t="shared" si="2"/>
        <v/>
      </c>
      <c r="E21" s="3" t="str">
        <f t="shared" si="3"/>
        <v>Q31</v>
      </c>
      <c r="F21" s="3" t="str">
        <f t="shared" si="4"/>
        <v>Q32</v>
      </c>
      <c r="G21" s="3" t="str">
        <f t="shared" si="5"/>
        <v>Q33</v>
      </c>
      <c r="H21" s="3" t="str">
        <f t="shared" si="6"/>
        <v>Q36</v>
      </c>
      <c r="I21" s="3" t="str">
        <f t="shared" si="7"/>
        <v>Q37</v>
      </c>
      <c r="J21" s="3" t="str">
        <f t="shared" si="8"/>
        <v>Q38</v>
      </c>
      <c r="K21" s="3" t="str">
        <f t="shared" si="9"/>
        <v>Q41</v>
      </c>
      <c r="L21" s="3" t="str">
        <f t="shared" si="10"/>
        <v>Q45</v>
      </c>
      <c r="M21" s="3" t="str">
        <f t="shared" si="11"/>
        <v>Q46</v>
      </c>
      <c r="N21" s="6"/>
      <c r="O21" s="6"/>
      <c r="P21" s="4"/>
      <c r="Q21" s="8" t="s">
        <v>298</v>
      </c>
      <c r="R21" s="8" t="s">
        <v>299</v>
      </c>
      <c r="S21" s="8" t="s">
        <v>300</v>
      </c>
      <c r="T21" s="8" t="s">
        <v>301</v>
      </c>
      <c r="U21" s="8" t="s">
        <v>302</v>
      </c>
      <c r="V21" s="8" t="s">
        <v>303</v>
      </c>
      <c r="W21" s="8" t="s">
        <v>304</v>
      </c>
      <c r="X21" s="8" t="s">
        <v>305</v>
      </c>
      <c r="Y21" s="8" t="s">
        <v>306</v>
      </c>
      <c r="Z21" s="8" t="s">
        <v>307</v>
      </c>
      <c r="AA21" s="8"/>
      <c r="AB21" s="8"/>
      <c r="AC21" s="8"/>
    </row>
    <row r="22" spans="1:34" hidden="1" outlineLevel="1" x14ac:dyDescent="0.3">
      <c r="A22" s="2" t="str">
        <f>'Model names'!$B$23</f>
        <v>G:\AW BUSINESS PLAN\2018-2022 BUSINESS PLAN\Outer Year Model\State Outer Year Models\2017.07.28 Submission</v>
      </c>
      <c r="B22" s="3" t="s">
        <v>15</v>
      </c>
      <c r="C22" s="3"/>
      <c r="D22" s="3" t="str">
        <f t="shared" si="2"/>
        <v/>
      </c>
      <c r="E22" s="3" t="str">
        <f t="shared" si="3"/>
        <v>Q31</v>
      </c>
      <c r="F22" s="3" t="str">
        <f t="shared" si="4"/>
        <v>Q32</v>
      </c>
      <c r="G22" s="3" t="str">
        <f t="shared" si="5"/>
        <v>Q33</v>
      </c>
      <c r="H22" s="3" t="str">
        <f t="shared" si="6"/>
        <v>Q36</v>
      </c>
      <c r="I22" s="3" t="str">
        <f t="shared" si="7"/>
        <v>Q37</v>
      </c>
      <c r="J22" s="3" t="str">
        <f t="shared" si="8"/>
        <v>Q38</v>
      </c>
      <c r="K22" s="3" t="str">
        <f t="shared" si="9"/>
        <v>Q41</v>
      </c>
      <c r="L22" s="3" t="str">
        <f t="shared" si="10"/>
        <v>Q45</v>
      </c>
      <c r="M22" s="3" t="str">
        <f t="shared" si="11"/>
        <v>Q46</v>
      </c>
      <c r="N22" s="6"/>
      <c r="O22" s="6"/>
      <c r="P22" s="4"/>
      <c r="Q22" s="8" t="s">
        <v>298</v>
      </c>
      <c r="R22" s="8" t="s">
        <v>299</v>
      </c>
      <c r="S22" s="8" t="s">
        <v>300</v>
      </c>
      <c r="T22" s="8" t="s">
        <v>301</v>
      </c>
      <c r="U22" s="8" t="s">
        <v>302</v>
      </c>
      <c r="V22" s="8" t="s">
        <v>303</v>
      </c>
      <c r="W22" s="8" t="s">
        <v>304</v>
      </c>
      <c r="X22" s="8" t="s">
        <v>305</v>
      </c>
      <c r="Y22" s="8" t="s">
        <v>306</v>
      </c>
      <c r="Z22" s="8" t="s">
        <v>307</v>
      </c>
      <c r="AA22" s="8"/>
      <c r="AB22" s="8"/>
      <c r="AC22" s="8"/>
    </row>
    <row r="23" spans="1:34" hidden="1" outlineLevel="1" x14ac:dyDescent="0.3">
      <c r="A23" s="2" t="str">
        <f>'Model names'!$B$23</f>
        <v>G:\AW BUSINESS PLAN\2018-2022 BUSINESS PLAN\Outer Year Model\State Outer Year Models\2017.07.28 Submission</v>
      </c>
      <c r="B23" s="3" t="s">
        <v>15</v>
      </c>
      <c r="C23" s="3"/>
      <c r="D23" s="3" t="str">
        <f t="shared" si="2"/>
        <v/>
      </c>
      <c r="E23" s="3" t="str">
        <f t="shared" si="3"/>
        <v>Q31</v>
      </c>
      <c r="F23" s="3" t="str">
        <f t="shared" si="4"/>
        <v>Q32</v>
      </c>
      <c r="G23" s="3" t="str">
        <f t="shared" si="5"/>
        <v>Q33</v>
      </c>
      <c r="H23" s="3" t="str">
        <f t="shared" si="6"/>
        <v>Q36</v>
      </c>
      <c r="I23" s="3" t="str">
        <f t="shared" si="7"/>
        <v>Q37</v>
      </c>
      <c r="J23" s="3" t="str">
        <f t="shared" si="8"/>
        <v>Q38</v>
      </c>
      <c r="K23" s="3" t="str">
        <f t="shared" si="9"/>
        <v>Q41</v>
      </c>
      <c r="L23" s="3" t="str">
        <f t="shared" si="10"/>
        <v>Q45</v>
      </c>
      <c r="M23" s="3" t="str">
        <f t="shared" si="11"/>
        <v>Q46</v>
      </c>
      <c r="N23" s="6"/>
      <c r="O23" s="6"/>
      <c r="P23" s="3"/>
      <c r="Q23" s="8" t="s">
        <v>298</v>
      </c>
      <c r="R23" s="8" t="s">
        <v>299</v>
      </c>
      <c r="S23" s="8" t="s">
        <v>300</v>
      </c>
      <c r="T23" s="8" t="s">
        <v>301</v>
      </c>
      <c r="U23" s="8" t="s">
        <v>302</v>
      </c>
      <c r="V23" s="8" t="s">
        <v>303</v>
      </c>
      <c r="W23" s="8" t="s">
        <v>304</v>
      </c>
      <c r="X23" s="8" t="s">
        <v>305</v>
      </c>
      <c r="Y23" s="8" t="s">
        <v>306</v>
      </c>
      <c r="Z23" s="8" t="s">
        <v>307</v>
      </c>
      <c r="AA23" s="8"/>
      <c r="AB23" s="8"/>
      <c r="AC23" s="8"/>
    </row>
    <row r="24" spans="1:34" hidden="1" outlineLevel="1" x14ac:dyDescent="0.3">
      <c r="A24" s="2" t="str">
        <f>'Model names'!$B$23</f>
        <v>G:\AW BUSINESS PLAN\2018-2022 BUSINESS PLAN\Outer Year Model\State Outer Year Models\2017.07.28 Submission</v>
      </c>
      <c r="B24" s="3" t="s">
        <v>15</v>
      </c>
      <c r="C24" s="3"/>
      <c r="D24" s="3" t="str">
        <f t="shared" si="2"/>
        <v/>
      </c>
      <c r="E24" s="3" t="str">
        <f t="shared" si="3"/>
        <v>Q31</v>
      </c>
      <c r="F24" s="3" t="str">
        <f t="shared" si="4"/>
        <v>Q32</v>
      </c>
      <c r="G24" s="3" t="str">
        <f t="shared" si="5"/>
        <v>Q33</v>
      </c>
      <c r="H24" s="3" t="str">
        <f t="shared" si="6"/>
        <v>Q36</v>
      </c>
      <c r="I24" s="3" t="str">
        <f t="shared" si="7"/>
        <v>Q37</v>
      </c>
      <c r="J24" s="3" t="str">
        <f t="shared" si="8"/>
        <v>Q38</v>
      </c>
      <c r="K24" s="3" t="str">
        <f t="shared" si="9"/>
        <v>Q41</v>
      </c>
      <c r="L24" s="3" t="str">
        <f t="shared" si="10"/>
        <v>Q45</v>
      </c>
      <c r="M24" s="3" t="str">
        <f t="shared" si="11"/>
        <v>Q46</v>
      </c>
      <c r="N24" s="6"/>
      <c r="O24" s="6"/>
      <c r="P24" s="3"/>
      <c r="Q24" s="8" t="s">
        <v>298</v>
      </c>
      <c r="R24" s="8" t="s">
        <v>299</v>
      </c>
      <c r="S24" s="8" t="s">
        <v>300</v>
      </c>
      <c r="T24" s="8" t="s">
        <v>301</v>
      </c>
      <c r="U24" s="8" t="s">
        <v>302</v>
      </c>
      <c r="V24" s="8" t="s">
        <v>303</v>
      </c>
      <c r="W24" s="8" t="s">
        <v>304</v>
      </c>
      <c r="X24" s="8" t="s">
        <v>305</v>
      </c>
      <c r="Y24" s="8" t="s">
        <v>306</v>
      </c>
      <c r="Z24" s="8" t="s">
        <v>307</v>
      </c>
      <c r="AA24" s="8"/>
      <c r="AB24" s="8"/>
      <c r="AC24" s="8"/>
    </row>
    <row r="25" spans="1:34" hidden="1" outlineLevel="1" x14ac:dyDescent="0.3">
      <c r="A25" s="2" t="str">
        <f>'Model names'!$B$23</f>
        <v>G:\AW BUSINESS PLAN\2018-2022 BUSINESS PLAN\Outer Year Model\State Outer Year Models\2017.07.28 Submission</v>
      </c>
      <c r="B25" s="3" t="s">
        <v>15</v>
      </c>
      <c r="C25" s="3"/>
      <c r="D25" s="3" t="str">
        <f t="shared" si="2"/>
        <v/>
      </c>
      <c r="E25" s="3" t="str">
        <f t="shared" si="3"/>
        <v>Q31</v>
      </c>
      <c r="F25" s="3" t="str">
        <f t="shared" si="4"/>
        <v>Q32</v>
      </c>
      <c r="G25" s="3" t="str">
        <f t="shared" si="5"/>
        <v>Q33</v>
      </c>
      <c r="H25" s="3" t="str">
        <f t="shared" si="6"/>
        <v>Q36</v>
      </c>
      <c r="I25" s="3" t="str">
        <f t="shared" si="7"/>
        <v>Q37</v>
      </c>
      <c r="J25" s="3" t="str">
        <f t="shared" si="8"/>
        <v>Q38</v>
      </c>
      <c r="K25" s="3" t="str">
        <f t="shared" si="9"/>
        <v>Q41</v>
      </c>
      <c r="L25" s="3" t="str">
        <f t="shared" si="10"/>
        <v>Q45</v>
      </c>
      <c r="M25" s="3" t="str">
        <f t="shared" si="11"/>
        <v>Q46</v>
      </c>
      <c r="N25" s="6"/>
      <c r="O25" s="6"/>
      <c r="P25" s="3"/>
      <c r="Q25" s="8" t="s">
        <v>298</v>
      </c>
      <c r="R25" s="8" t="s">
        <v>299</v>
      </c>
      <c r="S25" s="8" t="s">
        <v>300</v>
      </c>
      <c r="T25" s="8" t="s">
        <v>301</v>
      </c>
      <c r="U25" s="8" t="s">
        <v>302</v>
      </c>
      <c r="V25" s="8" t="s">
        <v>303</v>
      </c>
      <c r="W25" s="8" t="s">
        <v>304</v>
      </c>
      <c r="X25" s="8" t="s">
        <v>305</v>
      </c>
      <c r="Y25" s="8" t="s">
        <v>306</v>
      </c>
      <c r="Z25" s="8" t="s">
        <v>307</v>
      </c>
      <c r="AA25" s="8"/>
      <c r="AB25" s="8"/>
      <c r="AC25" s="8"/>
    </row>
    <row r="26" spans="1:34" hidden="1" outlineLevel="1" x14ac:dyDescent="0.3">
      <c r="A26" s="2" t="str">
        <f>'Model names'!$B$23</f>
        <v>G:\AW BUSINESS PLAN\2018-2022 BUSINESS PLAN\Outer Year Model\State Outer Year Models\2017.07.28 Submission</v>
      </c>
      <c r="B26" s="3" t="s">
        <v>15</v>
      </c>
      <c r="C26" s="3"/>
      <c r="D26" s="3" t="str">
        <f t="shared" si="2"/>
        <v/>
      </c>
      <c r="E26" s="3" t="str">
        <f t="shared" si="3"/>
        <v>Q31</v>
      </c>
      <c r="F26" s="3" t="str">
        <f t="shared" si="4"/>
        <v>Q32</v>
      </c>
      <c r="G26" s="3" t="str">
        <f t="shared" si="5"/>
        <v>Q33</v>
      </c>
      <c r="H26" s="3" t="str">
        <f t="shared" si="6"/>
        <v>Q36</v>
      </c>
      <c r="I26" s="3" t="str">
        <f t="shared" si="7"/>
        <v>Q37</v>
      </c>
      <c r="J26" s="3" t="str">
        <f t="shared" si="8"/>
        <v>Q38</v>
      </c>
      <c r="K26" s="3" t="str">
        <f t="shared" si="9"/>
        <v>Q41</v>
      </c>
      <c r="L26" s="3" t="str">
        <f t="shared" si="10"/>
        <v>Q45</v>
      </c>
      <c r="M26" s="3" t="str">
        <f t="shared" si="11"/>
        <v>Q46</v>
      </c>
      <c r="N26" s="6"/>
      <c r="O26" s="6"/>
      <c r="P26" s="3"/>
      <c r="Q26" s="8" t="s">
        <v>298</v>
      </c>
      <c r="R26" s="8" t="s">
        <v>299</v>
      </c>
      <c r="S26" s="8" t="s">
        <v>300</v>
      </c>
      <c r="T26" s="8" t="s">
        <v>301</v>
      </c>
      <c r="U26" s="8" t="s">
        <v>302</v>
      </c>
      <c r="V26" s="8" t="s">
        <v>303</v>
      </c>
      <c r="W26" s="8" t="s">
        <v>304</v>
      </c>
      <c r="X26" s="8" t="s">
        <v>305</v>
      </c>
      <c r="Y26" s="8" t="s">
        <v>306</v>
      </c>
      <c r="Z26" s="8" t="s">
        <v>307</v>
      </c>
      <c r="AA26" s="8"/>
      <c r="AB26" s="8"/>
      <c r="AC26" s="8"/>
    </row>
    <row r="27" spans="1:34" hidden="1" outlineLevel="1" x14ac:dyDescent="0.3">
      <c r="A27" s="2" t="str">
        <f>'Model names'!$B$23</f>
        <v>G:\AW BUSINESS PLAN\2018-2022 BUSINESS PLAN\Outer Year Model\State Outer Year Models\2017.07.28 Submission</v>
      </c>
      <c r="B27" s="3" t="s">
        <v>15</v>
      </c>
      <c r="C27" s="3"/>
      <c r="D27" s="3" t="str">
        <f t="shared" si="2"/>
        <v/>
      </c>
      <c r="E27" s="3" t="str">
        <f t="shared" si="3"/>
        <v>Q31</v>
      </c>
      <c r="F27" s="3" t="str">
        <f t="shared" si="4"/>
        <v>Q32</v>
      </c>
      <c r="G27" s="3" t="str">
        <f t="shared" si="5"/>
        <v>Q33</v>
      </c>
      <c r="H27" s="3" t="str">
        <f t="shared" si="6"/>
        <v>Q36</v>
      </c>
      <c r="I27" s="3" t="str">
        <f t="shared" si="7"/>
        <v>Q37</v>
      </c>
      <c r="J27" s="3" t="str">
        <f t="shared" si="8"/>
        <v>Q38</v>
      </c>
      <c r="K27" s="3" t="str">
        <f t="shared" si="9"/>
        <v>Q41</v>
      </c>
      <c r="L27" s="3" t="str">
        <f t="shared" si="10"/>
        <v>Q45</v>
      </c>
      <c r="M27" s="3" t="str">
        <f t="shared" si="11"/>
        <v>Q46</v>
      </c>
      <c r="N27" s="6"/>
      <c r="O27" s="6"/>
      <c r="P27" s="3"/>
      <c r="Q27" s="8" t="s">
        <v>298</v>
      </c>
      <c r="R27" s="8" t="s">
        <v>299</v>
      </c>
      <c r="S27" s="8" t="s">
        <v>300</v>
      </c>
      <c r="T27" s="8" t="s">
        <v>301</v>
      </c>
      <c r="U27" s="8" t="s">
        <v>302</v>
      </c>
      <c r="V27" s="8" t="s">
        <v>303</v>
      </c>
      <c r="W27" s="8" t="s">
        <v>304</v>
      </c>
      <c r="X27" s="8" t="s">
        <v>305</v>
      </c>
      <c r="Y27" s="8" t="s">
        <v>306</v>
      </c>
      <c r="Z27" s="8" t="s">
        <v>307</v>
      </c>
      <c r="AA27" s="8"/>
      <c r="AB27" s="8"/>
      <c r="AC27" s="8"/>
    </row>
    <row r="28" spans="1:34" hidden="1" outlineLevel="1" x14ac:dyDescent="0.3">
      <c r="A28" s="2" t="str">
        <f>'Model names'!$B$23</f>
        <v>G:\AW BUSINESS PLAN\2018-2022 BUSINESS PLAN\Outer Year Model\State Outer Year Models\2017.07.28 Submission</v>
      </c>
      <c r="B28" s="3" t="s">
        <v>15</v>
      </c>
      <c r="C28" s="3"/>
      <c r="D28" s="3" t="str">
        <f t="shared" si="2"/>
        <v/>
      </c>
      <c r="E28" s="3" t="str">
        <f t="shared" si="3"/>
        <v>Q31</v>
      </c>
      <c r="F28" s="3" t="str">
        <f t="shared" si="4"/>
        <v>Q32</v>
      </c>
      <c r="G28" s="3" t="str">
        <f t="shared" si="5"/>
        <v>Q33</v>
      </c>
      <c r="H28" s="3" t="str">
        <f t="shared" si="6"/>
        <v>Q36</v>
      </c>
      <c r="I28" s="3" t="str">
        <f t="shared" si="7"/>
        <v>Q37</v>
      </c>
      <c r="J28" s="3" t="str">
        <f t="shared" si="8"/>
        <v>Q38</v>
      </c>
      <c r="K28" s="3" t="str">
        <f t="shared" si="9"/>
        <v>Q41</v>
      </c>
      <c r="L28" s="3" t="str">
        <f t="shared" si="10"/>
        <v>Q45</v>
      </c>
      <c r="M28" s="3" t="str">
        <f t="shared" si="11"/>
        <v>Q46</v>
      </c>
      <c r="N28" s="6"/>
      <c r="O28" s="6"/>
      <c r="P28" s="3"/>
      <c r="Q28" s="8" t="s">
        <v>298</v>
      </c>
      <c r="R28" s="8" t="s">
        <v>299</v>
      </c>
      <c r="S28" s="8" t="s">
        <v>300</v>
      </c>
      <c r="T28" s="8" t="s">
        <v>301</v>
      </c>
      <c r="U28" s="8" t="s">
        <v>302</v>
      </c>
      <c r="V28" s="8" t="s">
        <v>303</v>
      </c>
      <c r="W28" s="8" t="s">
        <v>304</v>
      </c>
      <c r="X28" s="8" t="s">
        <v>305</v>
      </c>
      <c r="Y28" s="8" t="s">
        <v>306</v>
      </c>
      <c r="Z28" s="8" t="s">
        <v>307</v>
      </c>
      <c r="AA28" s="8"/>
      <c r="AB28" s="8"/>
      <c r="AC28" s="8"/>
    </row>
    <row r="29" spans="1:34" hidden="1" outlineLevel="1" x14ac:dyDescent="0.3">
      <c r="A29" s="2" t="str">
        <f>'Model names'!$B$23</f>
        <v>G:\AW BUSINESS PLAN\2018-2022 BUSINESS PLAN\Outer Year Model\State Outer Year Models\2017.07.28 Submission</v>
      </c>
      <c r="B29" s="3" t="s">
        <v>15</v>
      </c>
      <c r="C29" s="3"/>
      <c r="D29" s="3" t="str">
        <f t="shared" si="2"/>
        <v/>
      </c>
      <c r="E29" s="3" t="str">
        <f t="shared" si="3"/>
        <v>Q31</v>
      </c>
      <c r="F29" s="3" t="str">
        <f t="shared" si="4"/>
        <v>Q32</v>
      </c>
      <c r="G29" s="3" t="str">
        <f t="shared" si="5"/>
        <v>Q33</v>
      </c>
      <c r="H29" s="3" t="str">
        <f t="shared" si="6"/>
        <v>Q36</v>
      </c>
      <c r="I29" s="3" t="str">
        <f t="shared" si="7"/>
        <v>Q37</v>
      </c>
      <c r="J29" s="3" t="str">
        <f t="shared" si="8"/>
        <v>Q38</v>
      </c>
      <c r="K29" s="3" t="str">
        <f t="shared" si="9"/>
        <v>Q41</v>
      </c>
      <c r="L29" s="3" t="str">
        <f t="shared" si="10"/>
        <v>Q45</v>
      </c>
      <c r="M29" s="3" t="str">
        <f t="shared" si="11"/>
        <v>Q46</v>
      </c>
      <c r="N29" s="6"/>
      <c r="O29" s="6"/>
      <c r="P29" s="3"/>
      <c r="Q29" s="8" t="s">
        <v>298</v>
      </c>
      <c r="R29" s="8" t="s">
        <v>299</v>
      </c>
      <c r="S29" s="8" t="s">
        <v>300</v>
      </c>
      <c r="T29" s="8" t="s">
        <v>301</v>
      </c>
      <c r="U29" s="8" t="s">
        <v>302</v>
      </c>
      <c r="V29" s="8" t="s">
        <v>303</v>
      </c>
      <c r="W29" s="8" t="s">
        <v>304</v>
      </c>
      <c r="X29" s="8" t="s">
        <v>305</v>
      </c>
      <c r="Y29" s="8" t="s">
        <v>306</v>
      </c>
      <c r="Z29" s="8" t="s">
        <v>307</v>
      </c>
      <c r="AA29" s="8"/>
      <c r="AB29" s="8"/>
      <c r="AC29" s="8"/>
    </row>
    <row r="30" spans="1:34" hidden="1" outlineLevel="1" x14ac:dyDescent="0.3">
      <c r="A30" s="2" t="str">
        <f>'Model names'!$B$23</f>
        <v>G:\AW BUSINESS PLAN\2018-2022 BUSINESS PLAN\Outer Year Model\State Outer Year Models\2017.07.28 Submission</v>
      </c>
      <c r="B30" s="3" t="s">
        <v>15</v>
      </c>
      <c r="C30" s="3"/>
      <c r="D30" s="3" t="str">
        <f t="shared" si="2"/>
        <v/>
      </c>
      <c r="E30" s="3" t="str">
        <f t="shared" si="3"/>
        <v>Q31</v>
      </c>
      <c r="F30" s="3" t="str">
        <f t="shared" si="4"/>
        <v>Q32</v>
      </c>
      <c r="G30" s="3" t="str">
        <f t="shared" si="5"/>
        <v>Q33</v>
      </c>
      <c r="H30" s="3" t="str">
        <f t="shared" si="6"/>
        <v>Q36</v>
      </c>
      <c r="I30" s="3" t="str">
        <f t="shared" si="7"/>
        <v>Q37</v>
      </c>
      <c r="J30" s="3" t="str">
        <f t="shared" si="8"/>
        <v>Q38</v>
      </c>
      <c r="K30" s="3" t="str">
        <f t="shared" si="9"/>
        <v>Q41</v>
      </c>
      <c r="L30" s="3" t="str">
        <f t="shared" si="10"/>
        <v>Q45</v>
      </c>
      <c r="M30" s="3" t="str">
        <f t="shared" si="11"/>
        <v>Q46</v>
      </c>
      <c r="N30" s="6"/>
      <c r="O30" s="6"/>
      <c r="P30" s="3"/>
      <c r="Q30" s="8" t="s">
        <v>298</v>
      </c>
      <c r="R30" s="8" t="s">
        <v>299</v>
      </c>
      <c r="S30" s="8" t="s">
        <v>300</v>
      </c>
      <c r="T30" s="8" t="s">
        <v>301</v>
      </c>
      <c r="U30" s="8" t="s">
        <v>302</v>
      </c>
      <c r="V30" s="8" t="s">
        <v>303</v>
      </c>
      <c r="W30" s="8" t="s">
        <v>304</v>
      </c>
      <c r="X30" s="8" t="s">
        <v>305</v>
      </c>
      <c r="Y30" s="8" t="s">
        <v>306</v>
      </c>
      <c r="Z30" s="8" t="s">
        <v>307</v>
      </c>
      <c r="AA30" s="8"/>
      <c r="AB30" s="8"/>
      <c r="AC30" s="8"/>
    </row>
    <row r="31" spans="1:34" hidden="1" outlineLevel="1" x14ac:dyDescent="0.3">
      <c r="A31" s="2" t="str">
        <f>'Model names'!$B$23</f>
        <v>G:\AW BUSINESS PLAN\2018-2022 BUSINESS PLAN\Outer Year Model\State Outer Year Models\2017.07.28 Submission</v>
      </c>
      <c r="B31" s="3" t="s">
        <v>15</v>
      </c>
      <c r="C31" s="3"/>
      <c r="D31" s="3" t="str">
        <f t="shared" si="2"/>
        <v/>
      </c>
      <c r="E31" s="3" t="str">
        <f t="shared" si="3"/>
        <v>Q31</v>
      </c>
      <c r="F31" s="3" t="str">
        <f t="shared" si="4"/>
        <v>Q32</v>
      </c>
      <c r="G31" s="3" t="str">
        <f t="shared" si="5"/>
        <v>Q33</v>
      </c>
      <c r="H31" s="3" t="str">
        <f t="shared" si="6"/>
        <v>Q36</v>
      </c>
      <c r="I31" s="3" t="str">
        <f t="shared" si="7"/>
        <v>Q37</v>
      </c>
      <c r="J31" s="3" t="str">
        <f t="shared" si="8"/>
        <v>Q38</v>
      </c>
      <c r="K31" s="3" t="str">
        <f t="shared" si="9"/>
        <v>Q41</v>
      </c>
      <c r="L31" s="3" t="str">
        <f t="shared" si="10"/>
        <v>Q45</v>
      </c>
      <c r="M31" s="3" t="str">
        <f t="shared" si="11"/>
        <v>Q46</v>
      </c>
      <c r="N31" s="6"/>
      <c r="O31" s="6"/>
      <c r="P31" s="3"/>
      <c r="Q31" s="8" t="s">
        <v>298</v>
      </c>
      <c r="R31" s="8" t="s">
        <v>299</v>
      </c>
      <c r="S31" s="8" t="s">
        <v>300</v>
      </c>
      <c r="T31" s="8" t="s">
        <v>301</v>
      </c>
      <c r="U31" s="8" t="s">
        <v>302</v>
      </c>
      <c r="V31" s="8" t="s">
        <v>303</v>
      </c>
      <c r="W31" s="8" t="s">
        <v>304</v>
      </c>
      <c r="X31" s="8" t="s">
        <v>305</v>
      </c>
      <c r="Y31" s="8" t="s">
        <v>306</v>
      </c>
      <c r="Z31" s="8" t="s">
        <v>307</v>
      </c>
      <c r="AA31" s="8"/>
      <c r="AB31" s="8"/>
      <c r="AC31" s="8"/>
    </row>
    <row r="32" spans="1:34" hidden="1" outlineLevel="1" x14ac:dyDescent="0.3">
      <c r="A32" s="2" t="str">
        <f>'Model names'!$B$23</f>
        <v>G:\AW BUSINESS PLAN\2018-2022 BUSINESS PLAN\Outer Year Model\State Outer Year Models\2017.07.28 Submission</v>
      </c>
      <c r="B32" s="3" t="s">
        <v>15</v>
      </c>
      <c r="C32" s="3"/>
      <c r="D32" s="3" t="str">
        <f t="shared" si="2"/>
        <v/>
      </c>
      <c r="E32" s="3" t="str">
        <f t="shared" si="3"/>
        <v>Q31</v>
      </c>
      <c r="F32" s="3" t="str">
        <f t="shared" si="4"/>
        <v>Q32</v>
      </c>
      <c r="G32" s="3" t="str">
        <f t="shared" si="5"/>
        <v>Q33</v>
      </c>
      <c r="H32" s="3" t="str">
        <f t="shared" si="6"/>
        <v>Q36</v>
      </c>
      <c r="I32" s="3" t="str">
        <f t="shared" si="7"/>
        <v>Q37</v>
      </c>
      <c r="J32" s="3" t="str">
        <f t="shared" si="8"/>
        <v>Q38</v>
      </c>
      <c r="K32" s="3" t="str">
        <f t="shared" si="9"/>
        <v>Q41</v>
      </c>
      <c r="L32" s="3" t="str">
        <f t="shared" si="10"/>
        <v>Q45</v>
      </c>
      <c r="M32" s="3" t="str">
        <f t="shared" si="11"/>
        <v>Q46</v>
      </c>
      <c r="N32" s="6"/>
      <c r="O32" s="6"/>
      <c r="P32" s="3"/>
      <c r="Q32" s="8" t="s">
        <v>298</v>
      </c>
      <c r="R32" s="8" t="s">
        <v>299</v>
      </c>
      <c r="S32" s="8" t="s">
        <v>300</v>
      </c>
      <c r="T32" s="8" t="s">
        <v>301</v>
      </c>
      <c r="U32" s="8" t="s">
        <v>302</v>
      </c>
      <c r="V32" s="8" t="s">
        <v>303</v>
      </c>
      <c r="W32" s="8" t="s">
        <v>304</v>
      </c>
      <c r="X32" s="8" t="s">
        <v>305</v>
      </c>
      <c r="Y32" s="8" t="s">
        <v>306</v>
      </c>
      <c r="Z32" s="8" t="s">
        <v>307</v>
      </c>
      <c r="AA32" s="8"/>
      <c r="AB32" s="8"/>
      <c r="AC32" s="8"/>
    </row>
    <row r="33" spans="1:29" hidden="1" outlineLevel="1" x14ac:dyDescent="0.3">
      <c r="A33" s="2" t="str">
        <f>'Model names'!$B$23</f>
        <v>G:\AW BUSINESS PLAN\2018-2022 BUSINESS PLAN\Outer Year Model\State Outer Year Models\2017.07.28 Submission</v>
      </c>
      <c r="B33" s="3" t="s">
        <v>15</v>
      </c>
      <c r="C33" s="3"/>
      <c r="D33" s="3" t="str">
        <f t="shared" si="2"/>
        <v/>
      </c>
      <c r="E33" s="3" t="str">
        <f t="shared" si="3"/>
        <v>Q31</v>
      </c>
      <c r="F33" s="3" t="str">
        <f t="shared" si="4"/>
        <v>Q32</v>
      </c>
      <c r="G33" s="3" t="str">
        <f t="shared" si="5"/>
        <v>Q33</v>
      </c>
      <c r="H33" s="3" t="str">
        <f t="shared" si="6"/>
        <v>Q36</v>
      </c>
      <c r="I33" s="3" t="str">
        <f t="shared" si="7"/>
        <v>Q37</v>
      </c>
      <c r="J33" s="3" t="str">
        <f t="shared" si="8"/>
        <v>Q38</v>
      </c>
      <c r="K33" s="3" t="str">
        <f t="shared" si="9"/>
        <v>Q41</v>
      </c>
      <c r="L33" s="3" t="str">
        <f t="shared" si="10"/>
        <v>Q45</v>
      </c>
      <c r="M33" s="3" t="str">
        <f t="shared" si="11"/>
        <v>Q46</v>
      </c>
      <c r="N33" s="6"/>
      <c r="O33" s="6"/>
      <c r="P33" s="3"/>
      <c r="Q33" s="8" t="s">
        <v>298</v>
      </c>
      <c r="R33" s="8" t="s">
        <v>299</v>
      </c>
      <c r="S33" s="8" t="s">
        <v>300</v>
      </c>
      <c r="T33" s="8" t="s">
        <v>301</v>
      </c>
      <c r="U33" s="8" t="s">
        <v>302</v>
      </c>
      <c r="V33" s="8" t="s">
        <v>303</v>
      </c>
      <c r="W33" s="8" t="s">
        <v>304</v>
      </c>
      <c r="X33" s="8" t="s">
        <v>305</v>
      </c>
      <c r="Y33" s="8" t="s">
        <v>306</v>
      </c>
      <c r="Z33" s="8" t="s">
        <v>307</v>
      </c>
      <c r="AA33" s="8"/>
      <c r="AB33" s="8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39" priority="3" operator="equal">
      <formula>"On"</formula>
    </cfRule>
  </conditionalFormatting>
  <conditionalFormatting sqref="V21:AA23">
    <cfRule type="cellIs" dxfId="38" priority="2" operator="equal">
      <formula>"On"</formula>
    </cfRule>
  </conditionalFormatting>
  <conditionalFormatting sqref="R21:R23">
    <cfRule type="cellIs" dxfId="37" priority="1" operator="equal">
      <formula>"On"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15361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5361" r:id="rId4" name="CommandButton2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6"/>
  </sheetPr>
  <dimension ref="A1:AH40"/>
  <sheetViews>
    <sheetView topLeftCell="D1" zoomScale="70" zoomScaleNormal="70" workbookViewId="0">
      <selection activeCell="S29" sqref="S29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18.33203125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>
      <c r="S1" s="10"/>
      <c r="T1" s="10"/>
      <c r="U1" s="10"/>
      <c r="V1" s="10"/>
      <c r="W1" s="10"/>
      <c r="X1" s="10"/>
      <c r="Y1" s="10"/>
      <c r="Z1" s="10"/>
      <c r="AA1" s="10"/>
    </row>
    <row r="2" spans="1:34" x14ac:dyDescent="0.3">
      <c r="A2">
        <f>COUNTIF(A4:A33,"&gt;""")</f>
        <v>19</v>
      </c>
      <c r="B2">
        <f>P2</f>
        <v>12</v>
      </c>
      <c r="P2" s="1">
        <v>12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names'!I1</f>
        <v>2017</v>
      </c>
      <c r="R3" s="2">
        <f>'Model names'!J1</f>
        <v>2018</v>
      </c>
      <c r="S3" s="2">
        <f>'Model names'!K1</f>
        <v>2019</v>
      </c>
      <c r="T3" s="2">
        <f>'Model names'!L1</f>
        <v>2020</v>
      </c>
      <c r="U3" s="2">
        <f>'Model names'!M1</f>
        <v>2021</v>
      </c>
      <c r="V3" s="2">
        <f>'Model names'!N1</f>
        <v>2022</v>
      </c>
      <c r="W3" s="2">
        <f>'Model names'!O1</f>
        <v>2023</v>
      </c>
      <c r="X3" s="2">
        <f>'Model names'!P1</f>
        <v>2024</v>
      </c>
      <c r="Y3" s="2">
        <f>'Model names'!Q1</f>
        <v>2025</v>
      </c>
      <c r="Z3" s="2">
        <f>'Model names'!R1</f>
        <v>2026</v>
      </c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74</v>
      </c>
      <c r="D4" s="3" t="s">
        <v>86</v>
      </c>
      <c r="E4" s="3" t="s">
        <v>87</v>
      </c>
      <c r="F4" s="3" t="s">
        <v>88</v>
      </c>
      <c r="G4" s="3" t="s">
        <v>89</v>
      </c>
      <c r="H4" s="3" t="s">
        <v>90</v>
      </c>
      <c r="I4" s="3" t="s">
        <v>91</v>
      </c>
      <c r="J4" s="3" t="s">
        <v>92</v>
      </c>
      <c r="K4" s="3" t="s">
        <v>93</v>
      </c>
      <c r="L4" s="3" t="s">
        <v>94</v>
      </c>
      <c r="M4" s="3" t="s">
        <v>95</v>
      </c>
      <c r="N4" s="6" t="s">
        <v>96</v>
      </c>
      <c r="O4" s="6" t="s">
        <v>27</v>
      </c>
      <c r="P4" s="3" t="str">
        <f>'Model names'!C2</f>
        <v>BFW</v>
      </c>
      <c r="Q4" s="8">
        <f>[15]Base_Reports!C182</f>
        <v>-26.20464731719936</v>
      </c>
      <c r="R4" s="8">
        <f ca="1">[15]Base_Reports!D182</f>
        <v>-10.524675965855652</v>
      </c>
      <c r="S4" s="8">
        <f ca="1">[15]Base_Reports!E182</f>
        <v>2.1779991757852635</v>
      </c>
      <c r="T4" s="8">
        <f ca="1">[15]Base_Reports!F182</f>
        <v>1.834495392929238</v>
      </c>
      <c r="U4" s="8">
        <f ca="1">[15]Base_Reports!G182</f>
        <v>6.1887524986712581</v>
      </c>
      <c r="V4" s="8">
        <f ca="1">[15]Base_Reports!H182</f>
        <v>10.664329936052688</v>
      </c>
      <c r="W4" s="8">
        <f ca="1">[15]Base_Reports!I182</f>
        <v>10.756319327329575</v>
      </c>
      <c r="X4" s="8">
        <f ca="1">[15]Base_Reports!J182</f>
        <v>11.453194099059159</v>
      </c>
      <c r="Y4" s="8">
        <f ca="1">[15]Base_Reports!K182</f>
        <v>12.78154772031864</v>
      </c>
      <c r="Z4" s="8">
        <f ca="1">[15]Base_Reports!L182</f>
        <v>12.719882783654139</v>
      </c>
      <c r="AA4" s="7">
        <f>[15]Base_Reports!M273</f>
        <v>0</v>
      </c>
      <c r="AB4" s="7">
        <f ca="1">[15]Base_Reports!L273</f>
        <v>-7.1144118017089086E-3</v>
      </c>
      <c r="AC4" s="8"/>
      <c r="AG4" s="5"/>
      <c r="AH4" s="5"/>
    </row>
    <row r="5" spans="1:34" x14ac:dyDescent="0.3">
      <c r="A5" s="2" t="str">
        <f t="shared" ref="A5:A21" si="0">IF(B5=0,"",A4)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74</v>
      </c>
      <c r="D5" s="3" t="s">
        <v>86</v>
      </c>
      <c r="E5" s="3" t="s">
        <v>87</v>
      </c>
      <c r="F5" s="3" t="s">
        <v>88</v>
      </c>
      <c r="G5" s="3" t="s">
        <v>89</v>
      </c>
      <c r="H5" s="3" t="s">
        <v>90</v>
      </c>
      <c r="I5" s="3" t="s">
        <v>91</v>
      </c>
      <c r="J5" s="3" t="s">
        <v>92</v>
      </c>
      <c r="K5" s="3" t="s">
        <v>93</v>
      </c>
      <c r="L5" s="3" t="s">
        <v>94</v>
      </c>
      <c r="M5" s="3" t="s">
        <v>95</v>
      </c>
      <c r="N5" s="6" t="s">
        <v>96</v>
      </c>
      <c r="O5" s="6" t="s">
        <v>27</v>
      </c>
      <c r="P5" s="3" t="str">
        <f>'Model names'!C3</f>
        <v>CA</v>
      </c>
      <c r="Q5" s="8">
        <f>[17]Base_Reports!C182</f>
        <v>32380.760409446601</v>
      </c>
      <c r="R5" s="15">
        <f>[17]Base_Reports!D182</f>
        <v>34321.295605193161</v>
      </c>
      <c r="S5">
        <f>[17]Base_Reports!E182</f>
        <v>37441.990154503772</v>
      </c>
      <c r="T5">
        <f>[17]Base_Reports!F182</f>
        <v>37819.413009016367</v>
      </c>
      <c r="U5">
        <f>[17]Base_Reports!G182</f>
        <v>37711.820537434149</v>
      </c>
      <c r="V5">
        <f>[17]Base_Reports!H182</f>
        <v>38303.994609945657</v>
      </c>
      <c r="W5">
        <f>[17]Base_Reports!I182</f>
        <v>39739.576070516749</v>
      </c>
      <c r="X5">
        <f>[17]Base_Reports!J182</f>
        <v>40013.305689242232</v>
      </c>
      <c r="Y5">
        <f>[17]Base_Reports!K182</f>
        <v>41018.004235390428</v>
      </c>
      <c r="Z5">
        <f>[17]Base_Reports!L182</f>
        <v>41548.965881193777</v>
      </c>
      <c r="AA5" s="20">
        <f>[17]Base_Reports!M273</f>
        <v>0</v>
      </c>
      <c r="AB5" s="7">
        <f>[17]Base_Reports!L273</f>
        <v>116.08076223553093</v>
      </c>
      <c r="AC5" s="8"/>
      <c r="AG5" s="5"/>
      <c r="AH5" s="5"/>
    </row>
    <row r="6" spans="1:34" x14ac:dyDescent="0.3">
      <c r="A6" s="2" t="str">
        <f t="shared" si="0"/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74</v>
      </c>
      <c r="D6" s="3" t="s">
        <v>86</v>
      </c>
      <c r="E6" s="3" t="s">
        <v>87</v>
      </c>
      <c r="F6" s="3" t="s">
        <v>88</v>
      </c>
      <c r="G6" s="3" t="s">
        <v>89</v>
      </c>
      <c r="H6" s="3" t="s">
        <v>90</v>
      </c>
      <c r="I6" s="3" t="s">
        <v>91</v>
      </c>
      <c r="J6" s="3" t="s">
        <v>92</v>
      </c>
      <c r="K6" s="3" t="s">
        <v>93</v>
      </c>
      <c r="L6" s="3" t="s">
        <v>94</v>
      </c>
      <c r="M6" s="3" t="s">
        <v>95</v>
      </c>
      <c r="N6" s="6" t="s">
        <v>96</v>
      </c>
      <c r="O6" s="6" t="s">
        <v>27</v>
      </c>
      <c r="P6" s="3" t="str">
        <f>'Model names'!C4</f>
        <v>ETS</v>
      </c>
      <c r="Q6" s="8">
        <f>[19]Base_Reports!C182</f>
        <v>233.14008364240254</v>
      </c>
      <c r="R6" s="15">
        <f>[19]Base_Reports!D182</f>
        <v>249.25157209879663</v>
      </c>
      <c r="S6">
        <f>[19]Base_Reports!E182</f>
        <v>262.93770428987227</v>
      </c>
      <c r="T6">
        <f>[19]Base_Reports!F182</f>
        <v>286.87568069182464</v>
      </c>
      <c r="U6">
        <f>[19]Base_Reports!G182</f>
        <v>131.56833614284332</v>
      </c>
      <c r="V6">
        <f>[19]Base_Reports!H182</f>
        <v>0</v>
      </c>
      <c r="W6">
        <f>[19]Base_Reports!I182</f>
        <v>0</v>
      </c>
      <c r="X6">
        <f>[19]Base_Reports!J182</f>
        <v>0</v>
      </c>
      <c r="Y6">
        <f>[19]Base_Reports!K182</f>
        <v>0</v>
      </c>
      <c r="Z6">
        <f>[19]Base_Reports!L182</f>
        <v>0</v>
      </c>
      <c r="AA6" s="7">
        <f>[19]Base_Reports!M273</f>
        <v>0</v>
      </c>
      <c r="AB6" s="7">
        <f>[19]Base_Reports!L273</f>
        <v>613.86206497729245</v>
      </c>
      <c r="AC6" s="8"/>
      <c r="AG6" s="5"/>
      <c r="AH6" s="5"/>
    </row>
    <row r="7" spans="1:34" x14ac:dyDescent="0.3">
      <c r="A7" s="2" t="str">
        <f t="shared" si="0"/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74</v>
      </c>
      <c r="D7" s="3" t="s">
        <v>86</v>
      </c>
      <c r="E7" s="3" t="s">
        <v>87</v>
      </c>
      <c r="F7" s="3" t="s">
        <v>88</v>
      </c>
      <c r="G7" s="3" t="s">
        <v>89</v>
      </c>
      <c r="H7" s="3" t="s">
        <v>90</v>
      </c>
      <c r="I7" s="3" t="s">
        <v>91</v>
      </c>
      <c r="J7" s="3" t="s">
        <v>92</v>
      </c>
      <c r="K7" s="3" t="s">
        <v>93</v>
      </c>
      <c r="L7" s="3" t="s">
        <v>94</v>
      </c>
      <c r="M7" s="3" t="s">
        <v>95</v>
      </c>
      <c r="N7" s="6" t="s">
        <v>96</v>
      </c>
      <c r="O7" s="6" t="s">
        <v>27</v>
      </c>
      <c r="P7" s="3" t="str">
        <f>'Model names'!C5</f>
        <v>HI</v>
      </c>
      <c r="Q7" s="8">
        <f>[21]Base_Reports!C182</f>
        <v>1526.4126102278838</v>
      </c>
      <c r="R7" s="15">
        <f>[21]Base_Reports!D182</f>
        <v>1203.9464205865529</v>
      </c>
      <c r="S7">
        <f>[21]Base_Reports!E182</f>
        <v>1732.5141462975312</v>
      </c>
      <c r="T7">
        <f>[21]Base_Reports!F182</f>
        <v>1596.7244454138929</v>
      </c>
      <c r="U7">
        <f>[21]Base_Reports!G182</f>
        <v>2047.9789946514625</v>
      </c>
      <c r="V7">
        <f>[21]Base_Reports!H182</f>
        <v>2014.6615842942194</v>
      </c>
      <c r="W7">
        <f>[21]Base_Reports!I182</f>
        <v>2542.2542780143317</v>
      </c>
      <c r="X7">
        <f>[21]Base_Reports!J182</f>
        <v>2358.5238094840552</v>
      </c>
      <c r="Y7">
        <f>[21]Base_Reports!K182</f>
        <v>2162.5742358890893</v>
      </c>
      <c r="Z7">
        <f>[21]Base_Reports!L182</f>
        <v>2996.4425547568298</v>
      </c>
      <c r="AA7" s="20">
        <f>[21]Base_Reports!M273</f>
        <v>0</v>
      </c>
      <c r="AB7" s="7">
        <f>[21]Base_Reports!L273</f>
        <v>1016.9670278872263</v>
      </c>
      <c r="AC7" s="8"/>
      <c r="AG7" s="5"/>
      <c r="AH7" s="5"/>
    </row>
    <row r="8" spans="1:34" x14ac:dyDescent="0.3">
      <c r="A8" s="2" t="str">
        <f t="shared" si="0"/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74</v>
      </c>
      <c r="D8" s="3" t="s">
        <v>86</v>
      </c>
      <c r="E8" s="3" t="s">
        <v>87</v>
      </c>
      <c r="F8" s="3" t="s">
        <v>88</v>
      </c>
      <c r="G8" s="3" t="s">
        <v>89</v>
      </c>
      <c r="H8" s="3" t="s">
        <v>90</v>
      </c>
      <c r="I8" s="3" t="s">
        <v>91</v>
      </c>
      <c r="J8" s="3" t="s">
        <v>92</v>
      </c>
      <c r="K8" s="3" t="s">
        <v>93</v>
      </c>
      <c r="L8" s="3" t="s">
        <v>94</v>
      </c>
      <c r="M8" s="3" t="s">
        <v>95</v>
      </c>
      <c r="N8" s="6" t="s">
        <v>96</v>
      </c>
      <c r="O8" s="6" t="s">
        <v>27</v>
      </c>
      <c r="P8" s="3" t="str">
        <f>'Model names'!C6</f>
        <v>IA</v>
      </c>
      <c r="Q8" s="8">
        <f>[23]Base_Reports!C182</f>
        <v>6199.8173495771762</v>
      </c>
      <c r="R8" s="15">
        <f>[23]Base_Reports!D182</f>
        <v>6438.2319496147575</v>
      </c>
      <c r="S8">
        <f>[23]Base_Reports!E182</f>
        <v>6516.9153253991572</v>
      </c>
      <c r="T8">
        <f>[23]Base_Reports!F182</f>
        <v>6955.2935448542512</v>
      </c>
      <c r="U8">
        <f>[23]Base_Reports!G182</f>
        <v>6973.3755225832483</v>
      </c>
      <c r="V8">
        <f>[23]Base_Reports!H182</f>
        <v>7188.0396029086196</v>
      </c>
      <c r="W8">
        <f>[23]Base_Reports!I182</f>
        <v>7357.8799312338579</v>
      </c>
      <c r="X8">
        <f>[23]Base_Reports!J182</f>
        <v>7903.3312327732301</v>
      </c>
      <c r="Y8">
        <f>[23]Base_Reports!K182</f>
        <v>8023.6700416324584</v>
      </c>
      <c r="Z8">
        <f>[23]Base_Reports!L182</f>
        <v>8235.1787315784622</v>
      </c>
      <c r="AA8" s="20">
        <f>[23]Base_Reports!M273</f>
        <v>0</v>
      </c>
      <c r="AB8" s="7">
        <f>[23]Base_Reports!L273</f>
        <v>16.543181257515307</v>
      </c>
      <c r="AC8" s="8"/>
      <c r="AG8" s="5"/>
      <c r="AH8" s="5"/>
    </row>
    <row r="9" spans="1:34" x14ac:dyDescent="0.3">
      <c r="A9" s="2" t="str">
        <f t="shared" si="0"/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74</v>
      </c>
      <c r="D9" s="3" t="s">
        <v>86</v>
      </c>
      <c r="E9" s="3" t="s">
        <v>87</v>
      </c>
      <c r="F9" s="3" t="s">
        <v>88</v>
      </c>
      <c r="G9" s="3" t="s">
        <v>89</v>
      </c>
      <c r="H9" s="3" t="s">
        <v>90</v>
      </c>
      <c r="I9" s="3" t="s">
        <v>91</v>
      </c>
      <c r="J9" s="3" t="s">
        <v>92</v>
      </c>
      <c r="K9" s="3" t="s">
        <v>93</v>
      </c>
      <c r="L9" s="3" t="s">
        <v>94</v>
      </c>
      <c r="M9" s="3" t="s">
        <v>95</v>
      </c>
      <c r="N9" s="6" t="s">
        <v>96</v>
      </c>
      <c r="O9" s="6" t="s">
        <v>27</v>
      </c>
      <c r="P9" s="3" t="str">
        <f>'Model names'!C7</f>
        <v>IL</v>
      </c>
      <c r="Q9" s="8">
        <f>[25]Base_Reports!C182</f>
        <v>47716.080166055217</v>
      </c>
      <c r="R9" s="8">
        <f>[25]Base_Reports!D182</f>
        <v>49598.942937469343</v>
      </c>
      <c r="S9">
        <f>[25]Base_Reports!E182</f>
        <v>51818.048733594522</v>
      </c>
      <c r="T9">
        <f>[25]Base_Reports!F182</f>
        <v>54564.711865053316</v>
      </c>
      <c r="U9">
        <f>[25]Base_Reports!G182</f>
        <v>56024.942925886789</v>
      </c>
      <c r="V9">
        <f>[25]Base_Reports!H182</f>
        <v>58046.221406500801</v>
      </c>
      <c r="W9">
        <f>[25]Base_Reports!I182</f>
        <v>59484.629482341552</v>
      </c>
      <c r="X9">
        <f>[25]Base_Reports!J182</f>
        <v>63599.412778683269</v>
      </c>
      <c r="Y9">
        <f>[25]Base_Reports!K182</f>
        <v>65531.560082703152</v>
      </c>
      <c r="Z9">
        <f>[25]Base_Reports!L182</f>
        <v>67931.15464787597</v>
      </c>
      <c r="AA9" s="7">
        <f>[25]Base_Reports!M273</f>
        <v>0</v>
      </c>
      <c r="AB9" s="7">
        <f>[25]Base_Reports!L273</f>
        <v>153.7511438405154</v>
      </c>
      <c r="AC9" s="8"/>
      <c r="AG9" s="5"/>
      <c r="AH9" s="5"/>
    </row>
    <row r="10" spans="1:34" x14ac:dyDescent="0.3">
      <c r="A10" s="2" t="str">
        <f t="shared" si="0"/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74</v>
      </c>
      <c r="D10" s="3" t="s">
        <v>86</v>
      </c>
      <c r="E10" s="3" t="s">
        <v>87</v>
      </c>
      <c r="F10" s="3" t="s">
        <v>88</v>
      </c>
      <c r="G10" s="3" t="s">
        <v>89</v>
      </c>
      <c r="H10" s="3" t="s">
        <v>90</v>
      </c>
      <c r="I10" s="3" t="s">
        <v>91</v>
      </c>
      <c r="J10" s="3" t="s">
        <v>92</v>
      </c>
      <c r="K10" s="3" t="s">
        <v>93</v>
      </c>
      <c r="L10" s="3" t="s">
        <v>94</v>
      </c>
      <c r="M10" s="3" t="s">
        <v>95</v>
      </c>
      <c r="N10" s="6" t="s">
        <v>96</v>
      </c>
      <c r="O10" s="6" t="s">
        <v>27</v>
      </c>
      <c r="P10" s="3" t="str">
        <f>'Model names'!C8</f>
        <v>IN</v>
      </c>
      <c r="Q10" s="8">
        <f>[27]Base_Reports!C182</f>
        <v>40164.320375295458</v>
      </c>
      <c r="R10" s="8">
        <f>[27]Base_Reports!D182</f>
        <v>40895.868508328283</v>
      </c>
      <c r="S10">
        <f>[27]Base_Reports!E182</f>
        <v>45799.841456391237</v>
      </c>
      <c r="T10">
        <f>[27]Base_Reports!F182</f>
        <v>47907.058807930007</v>
      </c>
      <c r="U10">
        <f>[27]Base_Reports!G182</f>
        <v>46275.015995579073</v>
      </c>
      <c r="V10">
        <f>[27]Base_Reports!H182</f>
        <v>47283.816747618417</v>
      </c>
      <c r="W10">
        <f>[27]Base_Reports!I182</f>
        <v>50129.277260096911</v>
      </c>
      <c r="X10">
        <f>[27]Base_Reports!J182</f>
        <v>56509.731589405448</v>
      </c>
      <c r="Y10">
        <f>[27]Base_Reports!K182</f>
        <v>58535.875830645331</v>
      </c>
      <c r="Z10">
        <f>[27]Base_Reports!L182</f>
        <v>56949.658522685611</v>
      </c>
      <c r="AA10" s="7">
        <f>[27]Base_Reports!M273</f>
        <v>0</v>
      </c>
      <c r="AB10" s="7">
        <f>[27]Base_Reports!L273</f>
        <v>32.572757796994452</v>
      </c>
      <c r="AC10" s="8"/>
      <c r="AG10" s="5"/>
      <c r="AH10" s="5"/>
    </row>
    <row r="11" spans="1:34" x14ac:dyDescent="0.3">
      <c r="A11" s="2" t="str">
        <f t="shared" si="0"/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74</v>
      </c>
      <c r="D11" s="3" t="s">
        <v>86</v>
      </c>
      <c r="E11" s="3" t="s">
        <v>87</v>
      </c>
      <c r="F11" s="3" t="s">
        <v>88</v>
      </c>
      <c r="G11" s="3" t="s">
        <v>89</v>
      </c>
      <c r="H11" s="3" t="s">
        <v>90</v>
      </c>
      <c r="I11" s="3" t="s">
        <v>91</v>
      </c>
      <c r="J11" s="3" t="s">
        <v>92</v>
      </c>
      <c r="K11" s="3" t="s">
        <v>93</v>
      </c>
      <c r="L11" s="3" t="s">
        <v>94</v>
      </c>
      <c r="M11" s="3" t="s">
        <v>95</v>
      </c>
      <c r="N11" s="6" t="s">
        <v>96</v>
      </c>
      <c r="O11" s="6" t="s">
        <v>27</v>
      </c>
      <c r="P11" s="3" t="str">
        <f>'Model names'!C9</f>
        <v>KY</v>
      </c>
      <c r="Q11" s="8">
        <f>[29]Base_Reports!C182</f>
        <v>19263.526555336495</v>
      </c>
      <c r="R11" s="8">
        <f>[29]Base_Reports!D182</f>
        <v>19675.198273033755</v>
      </c>
      <c r="S11">
        <f>[29]Base_Reports!E182</f>
        <v>20906.439098418494</v>
      </c>
      <c r="T11">
        <f>[29]Base_Reports!F182</f>
        <v>21610.374461034917</v>
      </c>
      <c r="U11">
        <f>[29]Base_Reports!G182</f>
        <v>22570.019211940082</v>
      </c>
      <c r="V11">
        <f>[29]Base_Reports!H182</f>
        <v>23119.130030379383</v>
      </c>
      <c r="W11">
        <f>[29]Base_Reports!I182</f>
        <v>23614.186294207986</v>
      </c>
      <c r="X11">
        <f>[29]Base_Reports!J182</f>
        <v>24251.798604328604</v>
      </c>
      <c r="Y11">
        <f>[29]Base_Reports!K182</f>
        <v>25741.632215838938</v>
      </c>
      <c r="Z11">
        <f>[29]Base_Reports!L182</f>
        <v>26156.729506041946</v>
      </c>
      <c r="AA11" s="7">
        <f>[29]Base_Reports!M273</f>
        <v>0</v>
      </c>
      <c r="AB11" s="7">
        <f>[29]Base_Reports!L273</f>
        <v>8.102507817828819</v>
      </c>
      <c r="AC11" s="8"/>
      <c r="AG11" s="5"/>
      <c r="AH11" s="5"/>
    </row>
    <row r="12" spans="1:34" x14ac:dyDescent="0.3">
      <c r="A12" s="2" t="str">
        <f t="shared" si="0"/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74</v>
      </c>
      <c r="D12" s="3" t="s">
        <v>86</v>
      </c>
      <c r="E12" s="3" t="s">
        <v>87</v>
      </c>
      <c r="F12" s="3" t="s">
        <v>88</v>
      </c>
      <c r="G12" s="3" t="s">
        <v>89</v>
      </c>
      <c r="H12" s="3" t="s">
        <v>90</v>
      </c>
      <c r="I12" s="3" t="s">
        <v>91</v>
      </c>
      <c r="J12" s="3" t="s">
        <v>92</v>
      </c>
      <c r="K12" s="3" t="s">
        <v>93</v>
      </c>
      <c r="L12" s="3" t="s">
        <v>94</v>
      </c>
      <c r="M12" s="3" t="s">
        <v>95</v>
      </c>
      <c r="N12" s="6" t="s">
        <v>96</v>
      </c>
      <c r="O12" s="6" t="s">
        <v>27</v>
      </c>
      <c r="P12" s="3" t="str">
        <f>'Model names'!C10</f>
        <v>Liberty</v>
      </c>
      <c r="Q12" s="8">
        <f>[31]Base_Reports!C182</f>
        <v>2031.0878314749741</v>
      </c>
      <c r="R12" s="8">
        <f>[31]Base_Reports!D182</f>
        <v>2195.3104089253652</v>
      </c>
      <c r="S12">
        <f>[31]Base_Reports!E182</f>
        <v>2360.5649791375795</v>
      </c>
      <c r="T12">
        <f>[31]Base_Reports!F182</f>
        <v>2503.596274190405</v>
      </c>
      <c r="U12">
        <f>[31]Base_Reports!G182</f>
        <v>2643.0095963577987</v>
      </c>
      <c r="V12">
        <f>[31]Base_Reports!H182</f>
        <v>2778.5094145695712</v>
      </c>
      <c r="W12">
        <f>[31]Base_Reports!I182</f>
        <v>2938.296994380401</v>
      </c>
      <c r="X12">
        <f>[31]Base_Reports!J182</f>
        <v>3117.8557899510747</v>
      </c>
      <c r="Y12">
        <f>[31]Base_Reports!K182</f>
        <v>3301.710678100445</v>
      </c>
      <c r="Z12">
        <f>[31]Base_Reports!L182</f>
        <v>3493.6262519872544</v>
      </c>
      <c r="AA12" s="7">
        <f>[31]Base_Reports!M273</f>
        <v>0</v>
      </c>
      <c r="AB12" s="7">
        <f>[31]Base_Reports!L273</f>
        <v>41127.913131815825</v>
      </c>
      <c r="AC12" s="8"/>
      <c r="AG12" s="5"/>
      <c r="AH12" s="5"/>
    </row>
    <row r="13" spans="1:34" x14ac:dyDescent="0.3">
      <c r="A13" s="2" t="str">
        <f t="shared" si="0"/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74</v>
      </c>
      <c r="D13" s="3" t="s">
        <v>86</v>
      </c>
      <c r="E13" s="3" t="s">
        <v>87</v>
      </c>
      <c r="F13" s="3" t="s">
        <v>88</v>
      </c>
      <c r="G13" s="3" t="s">
        <v>89</v>
      </c>
      <c r="H13" s="3" t="s">
        <v>90</v>
      </c>
      <c r="I13" s="3" t="s">
        <v>91</v>
      </c>
      <c r="J13" s="3" t="s">
        <v>92</v>
      </c>
      <c r="K13" s="3" t="s">
        <v>93</v>
      </c>
      <c r="L13" s="3" t="s">
        <v>94</v>
      </c>
      <c r="M13" s="3" t="s">
        <v>95</v>
      </c>
      <c r="N13" s="6" t="s">
        <v>96</v>
      </c>
      <c r="O13" s="6" t="s">
        <v>27</v>
      </c>
      <c r="P13" s="3" t="str">
        <f>'Model names'!C11</f>
        <v>LW</v>
      </c>
      <c r="Q13" s="8">
        <f>[33]Base_Reports!C182</f>
        <v>3441.7317986645603</v>
      </c>
      <c r="R13" s="8">
        <f>[33]Base_Reports!D182</f>
        <v>4083.4416357806695</v>
      </c>
      <c r="S13">
        <f>[33]Base_Reports!E182</f>
        <v>4161.387712133057</v>
      </c>
      <c r="T13">
        <f>[33]Base_Reports!F182</f>
        <v>4263.3309121862567</v>
      </c>
      <c r="U13">
        <f>[33]Base_Reports!G182</f>
        <v>4734.2929327172697</v>
      </c>
      <c r="V13">
        <f>[33]Base_Reports!H182</f>
        <v>4841.2778317514512</v>
      </c>
      <c r="W13">
        <f>[33]Base_Reports!I182</f>
        <v>4948.1792737133646</v>
      </c>
      <c r="X13">
        <f>[33]Base_Reports!J182</f>
        <v>5430.8759569021895</v>
      </c>
      <c r="Y13">
        <f>[33]Base_Reports!K182</f>
        <v>5542.2201368778988</v>
      </c>
      <c r="Z13">
        <f>[33]Base_Reports!L182</f>
        <v>5650.0617495069873</v>
      </c>
      <c r="AA13" s="7">
        <f>[33]Base_Reports!M273</f>
        <v>0</v>
      </c>
      <c r="AB13" s="7">
        <f>[33]Base_Reports!L273</f>
        <v>36823.349590937927</v>
      </c>
      <c r="AC13" s="8"/>
      <c r="AG13" s="5"/>
      <c r="AH13" s="5"/>
    </row>
    <row r="14" spans="1:34" x14ac:dyDescent="0.3">
      <c r="A14" s="2" t="str">
        <f t="shared" si="0"/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tr">
        <f>IF(B14=0,"",C13)</f>
        <v>Base_Reports</v>
      </c>
      <c r="D14" s="3" t="s">
        <v>86</v>
      </c>
      <c r="E14" s="3" t="s">
        <v>87</v>
      </c>
      <c r="F14" s="3" t="s">
        <v>88</v>
      </c>
      <c r="G14" s="3" t="s">
        <v>89</v>
      </c>
      <c r="H14" s="3" t="s">
        <v>90</v>
      </c>
      <c r="I14" s="3" t="s">
        <v>91</v>
      </c>
      <c r="J14" s="3" t="s">
        <v>92</v>
      </c>
      <c r="K14" s="3" t="s">
        <v>93</v>
      </c>
      <c r="L14" s="3" t="s">
        <v>94</v>
      </c>
      <c r="M14" s="3" t="s">
        <v>95</v>
      </c>
      <c r="N14" s="6" t="s">
        <v>96</v>
      </c>
      <c r="O14" s="6" t="str">
        <f t="shared" ref="O14:O25" si="1">IF(N14=0,"",O13)</f>
        <v>L273</v>
      </c>
      <c r="P14" s="3" t="str">
        <f>'Model names'!C12</f>
        <v>MD</v>
      </c>
      <c r="Q14" s="8">
        <f>[35]Base_Reports!C182</f>
        <v>1007.1617504223415</v>
      </c>
      <c r="R14" s="8">
        <f>[35]Base_Reports!D182</f>
        <v>854.99210320871521</v>
      </c>
      <c r="S14">
        <f>[35]Base_Reports!E182</f>
        <v>1249.3104392963919</v>
      </c>
      <c r="T14">
        <f>[35]Base_Reports!F182</f>
        <v>1536.2997479076707</v>
      </c>
      <c r="U14">
        <f>[35]Base_Reports!G182</f>
        <v>1694.9790666584217</v>
      </c>
      <c r="V14">
        <f>[35]Base_Reports!H182</f>
        <v>1767.179551258545</v>
      </c>
      <c r="W14">
        <f>[35]Base_Reports!I182</f>
        <v>1767.3842191430113</v>
      </c>
      <c r="X14">
        <f>[35]Base_Reports!J182</f>
        <v>1866.3285634473193</v>
      </c>
      <c r="Y14">
        <f>[35]Base_Reports!K182</f>
        <v>1904.8263368928358</v>
      </c>
      <c r="Z14">
        <f>[35]Base_Reports!L182</f>
        <v>2060.718559369192</v>
      </c>
      <c r="AA14" s="7">
        <f>[35]Base_Reports!M273</f>
        <v>0</v>
      </c>
      <c r="AB14" s="7">
        <f>[35]Base_Reports!L273</f>
        <v>-7.7108919929537278E-2</v>
      </c>
      <c r="AC14" s="8"/>
      <c r="AG14" s="5"/>
      <c r="AH14" s="5"/>
    </row>
    <row r="15" spans="1:34" x14ac:dyDescent="0.3">
      <c r="A15" s="2" t="str">
        <f t="shared" si="0"/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tr">
        <f t="shared" ref="C15:C22" si="2">IF(B15=0,"",C14)</f>
        <v>Base_Reports</v>
      </c>
      <c r="D15" s="3" t="s">
        <v>86</v>
      </c>
      <c r="E15" s="3" t="s">
        <v>87</v>
      </c>
      <c r="F15" s="3" t="s">
        <v>88</v>
      </c>
      <c r="G15" s="3" t="s">
        <v>89</v>
      </c>
      <c r="H15" s="3" t="s">
        <v>90</v>
      </c>
      <c r="I15" s="3" t="s">
        <v>91</v>
      </c>
      <c r="J15" s="3" t="s">
        <v>92</v>
      </c>
      <c r="K15" s="3" t="s">
        <v>93</v>
      </c>
      <c r="L15" s="3" t="s">
        <v>94</v>
      </c>
      <c r="M15" s="3" t="s">
        <v>95</v>
      </c>
      <c r="N15" s="6" t="s">
        <v>96</v>
      </c>
      <c r="O15" s="6" t="str">
        <f t="shared" si="1"/>
        <v>L273</v>
      </c>
      <c r="P15" s="3" t="str">
        <f>'Model names'!C13</f>
        <v>MI</v>
      </c>
      <c r="Q15" s="8">
        <f>[37]Base_Reports!C182</f>
        <v>250.02296730298016</v>
      </c>
      <c r="R15" s="8">
        <f>[37]Base_Reports!D182</f>
        <v>256.35683354066794</v>
      </c>
      <c r="S15">
        <f>[37]Base_Reports!E182</f>
        <v>255.98260779788166</v>
      </c>
      <c r="T15">
        <f>[37]Base_Reports!F182</f>
        <v>290.64916734848987</v>
      </c>
      <c r="U15">
        <f>[37]Base_Reports!G182</f>
        <v>290.79257000675534</v>
      </c>
      <c r="V15">
        <f>[37]Base_Reports!H182</f>
        <v>319.93090462743157</v>
      </c>
      <c r="W15">
        <f>[37]Base_Reports!I182</f>
        <v>320.03792051277151</v>
      </c>
      <c r="X15">
        <f>[37]Base_Reports!J182</f>
        <v>388.98781201908173</v>
      </c>
      <c r="Y15">
        <f>[37]Base_Reports!K182</f>
        <v>387.25276261721478</v>
      </c>
      <c r="Z15">
        <f>[37]Base_Reports!L182</f>
        <v>403.89642538591795</v>
      </c>
      <c r="AA15" s="21" t="s">
        <v>617</v>
      </c>
      <c r="AB15" s="7">
        <f>[37]Base_Reports!L273</f>
        <v>2.2367300390428113</v>
      </c>
      <c r="AC15" s="8"/>
      <c r="AG15" s="5"/>
      <c r="AH15" s="5"/>
    </row>
    <row r="16" spans="1:34" x14ac:dyDescent="0.3">
      <c r="A16" s="2" t="str">
        <f t="shared" si="0"/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tr">
        <f t="shared" si="2"/>
        <v>Base_Reports</v>
      </c>
      <c r="D16" s="3" t="s">
        <v>86</v>
      </c>
      <c r="E16" s="3" t="s">
        <v>87</v>
      </c>
      <c r="F16" s="3" t="s">
        <v>88</v>
      </c>
      <c r="G16" s="3" t="s">
        <v>89</v>
      </c>
      <c r="H16" s="3" t="s">
        <v>90</v>
      </c>
      <c r="I16" s="3" t="s">
        <v>91</v>
      </c>
      <c r="J16" s="3" t="s">
        <v>92</v>
      </c>
      <c r="K16" s="3" t="s">
        <v>93</v>
      </c>
      <c r="L16" s="3" t="s">
        <v>94</v>
      </c>
      <c r="M16" s="3" t="s">
        <v>95</v>
      </c>
      <c r="N16" s="6" t="s">
        <v>96</v>
      </c>
      <c r="O16" s="6" t="str">
        <f t="shared" si="1"/>
        <v>L273</v>
      </c>
      <c r="P16" s="3" t="str">
        <f>'Model names'!C14</f>
        <v>MO</v>
      </c>
      <c r="Q16" s="8">
        <f>[39]Base_Reports!C182</f>
        <v>47614.012090955322</v>
      </c>
      <c r="R16" s="8">
        <f>[39]Base_Reports!D182</f>
        <v>53368.005368391481</v>
      </c>
      <c r="S16">
        <f>[39]Base_Reports!E182</f>
        <v>60575.545053115558</v>
      </c>
      <c r="T16">
        <f>[39]Base_Reports!F182</f>
        <v>65975.256349636096</v>
      </c>
      <c r="U16">
        <f>[39]Base_Reports!G182</f>
        <v>72851.349772897811</v>
      </c>
      <c r="V16">
        <f>[39]Base_Reports!H182</f>
        <v>79158.588351565108</v>
      </c>
      <c r="W16">
        <f>[39]Base_Reports!I182</f>
        <v>84609.880759744512</v>
      </c>
      <c r="X16">
        <f>[39]Base_Reports!J182</f>
        <v>89924.281297856214</v>
      </c>
      <c r="Y16">
        <f>[39]Base_Reports!K182</f>
        <v>98331.439729912876</v>
      </c>
      <c r="Z16">
        <f>[39]Base_Reports!L182</f>
        <v>98852.803148277861</v>
      </c>
      <c r="AA16" s="7">
        <f>[39]Base_Reports!M273</f>
        <v>0</v>
      </c>
      <c r="AB16" s="7">
        <f>[39]Base_Reports!L273</f>
        <v>117.79362166777975</v>
      </c>
      <c r="AC16" s="8"/>
      <c r="AG16" s="5"/>
      <c r="AH16" s="5"/>
    </row>
    <row r="17" spans="1:34" x14ac:dyDescent="0.3">
      <c r="A17" s="2" t="str">
        <f t="shared" si="0"/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tr">
        <f t="shared" si="2"/>
        <v>Base_Reports</v>
      </c>
      <c r="D17" s="3" t="s">
        <v>86</v>
      </c>
      <c r="E17" s="3" t="s">
        <v>87</v>
      </c>
      <c r="F17" s="3" t="s">
        <v>88</v>
      </c>
      <c r="G17" s="3" t="s">
        <v>89</v>
      </c>
      <c r="H17" s="3" t="s">
        <v>90</v>
      </c>
      <c r="I17" s="3" t="s">
        <v>91</v>
      </c>
      <c r="J17" s="3" t="s">
        <v>92</v>
      </c>
      <c r="K17" s="3" t="s">
        <v>93</v>
      </c>
      <c r="L17" s="3" t="s">
        <v>94</v>
      </c>
      <c r="M17" s="3" t="s">
        <v>95</v>
      </c>
      <c r="N17" s="6" t="s">
        <v>96</v>
      </c>
      <c r="O17" s="6" t="str">
        <f t="shared" si="1"/>
        <v>L273</v>
      </c>
      <c r="P17" s="3" t="str">
        <f>'Model names'!C15</f>
        <v>NJ</v>
      </c>
      <c r="Q17" s="8">
        <f>[41]Base_Reports!C182</f>
        <v>137109.59382660908</v>
      </c>
      <c r="R17" s="8">
        <f>[41]Base_Reports!D182</f>
        <v>148062.04698846577</v>
      </c>
      <c r="S17">
        <f>[41]Base_Reports!E182</f>
        <v>157796.1355855588</v>
      </c>
      <c r="T17">
        <f>[41]Base_Reports!F182</f>
        <v>169150.90576932282</v>
      </c>
      <c r="U17">
        <f>[41]Base_Reports!G182</f>
        <v>179715.2772894043</v>
      </c>
      <c r="V17">
        <f>[41]Base_Reports!H182</f>
        <v>193104.73145083111</v>
      </c>
      <c r="W17">
        <f>[41]Base_Reports!I182</f>
        <v>196178.29737240082</v>
      </c>
      <c r="X17">
        <f>[41]Base_Reports!J182</f>
        <v>205810.37714898025</v>
      </c>
      <c r="Y17">
        <f>[41]Base_Reports!K182</f>
        <v>222365.51484594087</v>
      </c>
      <c r="Z17">
        <f>[41]Base_Reports!L182</f>
        <v>227422.78023126384</v>
      </c>
      <c r="AA17" s="7">
        <f>[41]Base_Reports!M273</f>
        <v>0</v>
      </c>
      <c r="AB17" s="7">
        <f>[41]Base_Reports!L273</f>
        <v>239.41188955562916</v>
      </c>
      <c r="AC17" s="8"/>
      <c r="AG17" s="5"/>
      <c r="AH17" s="5"/>
    </row>
    <row r="18" spans="1:34" x14ac:dyDescent="0.3">
      <c r="A18" s="2" t="str">
        <f t="shared" si="0"/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tr">
        <f t="shared" si="2"/>
        <v>Base_Reports</v>
      </c>
      <c r="D18" s="3" t="s">
        <v>86</v>
      </c>
      <c r="E18" s="3" t="s">
        <v>87</v>
      </c>
      <c r="F18" s="3" t="s">
        <v>88</v>
      </c>
      <c r="G18" s="3" t="s">
        <v>89</v>
      </c>
      <c r="H18" s="3" t="s">
        <v>90</v>
      </c>
      <c r="I18" s="3" t="s">
        <v>91</v>
      </c>
      <c r="J18" s="3" t="s">
        <v>92</v>
      </c>
      <c r="K18" s="3" t="s">
        <v>93</v>
      </c>
      <c r="L18" s="3" t="s">
        <v>94</v>
      </c>
      <c r="M18" s="3" t="s">
        <v>95</v>
      </c>
      <c r="N18" s="6" t="s">
        <v>96</v>
      </c>
      <c r="O18" s="6" t="str">
        <f t="shared" si="1"/>
        <v>L273</v>
      </c>
      <c r="P18" s="3" t="str">
        <f>'Model names'!C16</f>
        <v>NY</v>
      </c>
      <c r="Q18" s="8">
        <f>[43]Base_Reports!C182</f>
        <v>11672.756071916006</v>
      </c>
      <c r="R18" s="8">
        <f>[43]Base_Reports!D182</f>
        <v>12137.980030489645</v>
      </c>
      <c r="S18">
        <f>[43]Base_Reports!E182</f>
        <v>13034.662610997417</v>
      </c>
      <c r="T18">
        <f>[43]Base_Reports!F182</f>
        <v>14150.908335124099</v>
      </c>
      <c r="U18">
        <f>[43]Base_Reports!G182</f>
        <v>14716.018315953244</v>
      </c>
      <c r="V18">
        <f>[43]Base_Reports!H182</f>
        <v>15898.972945394946</v>
      </c>
      <c r="W18">
        <f>[43]Base_Reports!I182</f>
        <v>17184.063021817194</v>
      </c>
      <c r="X18">
        <f>[43]Base_Reports!J182</f>
        <v>17560.602723234639</v>
      </c>
      <c r="Y18">
        <f>[43]Base_Reports!K182</f>
        <v>18862.751184921963</v>
      </c>
      <c r="Z18">
        <f>[43]Base_Reports!L182</f>
        <v>19970.243515588856</v>
      </c>
      <c r="AA18" s="7">
        <f>[43]Base_Reports!M273</f>
        <v>0</v>
      </c>
      <c r="AB18" s="7">
        <f>[43]Base_Reports!L273</f>
        <v>34.195743442341453</v>
      </c>
      <c r="AC18" s="8"/>
      <c r="AG18" s="5"/>
      <c r="AH18" s="5"/>
    </row>
    <row r="19" spans="1:34" x14ac:dyDescent="0.3">
      <c r="A19" s="2" t="str">
        <f t="shared" si="0"/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tr">
        <f t="shared" si="2"/>
        <v>Base_Reports</v>
      </c>
      <c r="D19" s="3" t="s">
        <v>86</v>
      </c>
      <c r="E19" s="3" t="s">
        <v>87</v>
      </c>
      <c r="F19" s="3" t="s">
        <v>88</v>
      </c>
      <c r="G19" s="3" t="s">
        <v>89</v>
      </c>
      <c r="H19" s="3" t="s">
        <v>90</v>
      </c>
      <c r="I19" s="3" t="s">
        <v>91</v>
      </c>
      <c r="J19" s="3" t="s">
        <v>92</v>
      </c>
      <c r="K19" s="3" t="s">
        <v>93</v>
      </c>
      <c r="L19" s="3" t="s">
        <v>94</v>
      </c>
      <c r="M19" s="3" t="s">
        <v>95</v>
      </c>
      <c r="N19" s="6" t="s">
        <v>96</v>
      </c>
      <c r="O19" s="6" t="str">
        <f t="shared" si="1"/>
        <v>L273</v>
      </c>
      <c r="P19" s="3" t="str">
        <f>'Model names'!C17</f>
        <v>PA</v>
      </c>
      <c r="Q19" s="8">
        <f>[45]Base_Reports!C182</f>
        <v>170911.14669441056</v>
      </c>
      <c r="R19" s="8">
        <f>[45]Base_Reports!D182</f>
        <v>177643.10660809086</v>
      </c>
      <c r="S19">
        <f>[45]Base_Reports!E182</f>
        <v>182978.31366642052</v>
      </c>
      <c r="T19">
        <f>[45]Base_Reports!F182</f>
        <v>202913.40143621908</v>
      </c>
      <c r="U19">
        <f>[45]Base_Reports!G182</f>
        <v>200374.93373908594</v>
      </c>
      <c r="V19">
        <f>[45]Base_Reports!H182</f>
        <v>206004.23336810322</v>
      </c>
      <c r="W19">
        <f>[45]Base_Reports!I182</f>
        <v>223842.46636456795</v>
      </c>
      <c r="X19">
        <f>[45]Base_Reports!J182</f>
        <v>221605.53422900496</v>
      </c>
      <c r="Y19">
        <f>[45]Base_Reports!K182</f>
        <v>232677.173014714</v>
      </c>
      <c r="Z19">
        <f>[45]Base_Reports!L182</f>
        <v>250302.69474561678</v>
      </c>
      <c r="AA19" s="7">
        <f>[45]Base_Reports!M273</f>
        <v>0</v>
      </c>
      <c r="AB19" s="7">
        <f>[45]Base_Reports!L273</f>
        <v>600.22991544236095</v>
      </c>
      <c r="AG19" s="5"/>
      <c r="AH19" s="5"/>
    </row>
    <row r="20" spans="1:34" x14ac:dyDescent="0.3">
      <c r="A20" s="2" t="str">
        <f t="shared" si="0"/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tr">
        <f t="shared" si="2"/>
        <v>Base_Reports</v>
      </c>
      <c r="D20" s="3" t="s">
        <v>86</v>
      </c>
      <c r="E20" s="3" t="s">
        <v>87</v>
      </c>
      <c r="F20" s="3" t="s">
        <v>88</v>
      </c>
      <c r="G20" s="3" t="s">
        <v>89</v>
      </c>
      <c r="H20" s="3" t="s">
        <v>90</v>
      </c>
      <c r="I20" s="3" t="s">
        <v>91</v>
      </c>
      <c r="J20" s="3" t="s">
        <v>92</v>
      </c>
      <c r="K20" s="3" t="s">
        <v>93</v>
      </c>
      <c r="L20" s="3" t="s">
        <v>94</v>
      </c>
      <c r="M20" s="3" t="s">
        <v>95</v>
      </c>
      <c r="N20" s="6" t="s">
        <v>96</v>
      </c>
      <c r="O20" s="6" t="str">
        <f t="shared" si="1"/>
        <v>L273</v>
      </c>
      <c r="P20" s="3" t="str">
        <f>'Model names'!C18</f>
        <v>TN</v>
      </c>
      <c r="Q20" s="8">
        <f>[47]Base_Reports!C182</f>
        <v>8688.5164785686648</v>
      </c>
      <c r="R20" s="8">
        <f>[47]Base_Reports!D182</f>
        <v>9668.2279355273895</v>
      </c>
      <c r="S20" s="8">
        <f>[47]Base_Reports!E182</f>
        <v>10176.585452389019</v>
      </c>
      <c r="T20" s="8">
        <f>[47]Base_Reports!F182</f>
        <v>10480.08116194894</v>
      </c>
      <c r="U20" s="8">
        <f>[47]Base_Reports!G182</f>
        <v>11118.443019239876</v>
      </c>
      <c r="V20" s="8">
        <f>[47]Base_Reports!H182</f>
        <v>11243.641605423341</v>
      </c>
      <c r="W20" s="8">
        <f>[47]Base_Reports!I182</f>
        <v>12363.903558367876</v>
      </c>
      <c r="X20" s="8">
        <f>[47]Base_Reports!J182</f>
        <v>12577.327534040087</v>
      </c>
      <c r="Y20" s="8">
        <f>[47]Base_Reports!K182</f>
        <v>12917.236844407711</v>
      </c>
      <c r="Z20" s="8">
        <f>[47]Base_Reports!L182</f>
        <v>13529.038233714005</v>
      </c>
      <c r="AA20" s="7">
        <f>[47]Base_Reports!M273</f>
        <v>0</v>
      </c>
      <c r="AB20" s="7">
        <f>[47]Base_Reports!L273</f>
        <v>73.161510612840203</v>
      </c>
      <c r="AC20" s="8"/>
      <c r="AG20" s="5"/>
      <c r="AH20" s="5"/>
    </row>
    <row r="21" spans="1:34" outlineLevel="1" x14ac:dyDescent="0.3">
      <c r="A21" s="2" t="str">
        <f t="shared" si="0"/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tr">
        <f t="shared" si="2"/>
        <v>Base_Reports</v>
      </c>
      <c r="D21" s="3" t="s">
        <v>86</v>
      </c>
      <c r="E21" s="3" t="s">
        <v>87</v>
      </c>
      <c r="F21" s="3" t="s">
        <v>88</v>
      </c>
      <c r="G21" s="3" t="s">
        <v>89</v>
      </c>
      <c r="H21" s="3" t="s">
        <v>90</v>
      </c>
      <c r="I21" s="3" t="s">
        <v>91</v>
      </c>
      <c r="J21" s="3" t="s">
        <v>92</v>
      </c>
      <c r="K21" s="3" t="s">
        <v>93</v>
      </c>
      <c r="L21" s="3" t="s">
        <v>94</v>
      </c>
      <c r="M21" s="3" t="s">
        <v>95</v>
      </c>
      <c r="N21" s="6" t="s">
        <v>96</v>
      </c>
      <c r="O21" s="6" t="str">
        <f t="shared" si="1"/>
        <v>L273</v>
      </c>
      <c r="P21" s="3" t="str">
        <f>'Model names'!C19</f>
        <v>VA</v>
      </c>
      <c r="Q21" s="8">
        <f>[49]Base_Reports!C182</f>
        <v>7604.4575784158569</v>
      </c>
      <c r="R21" s="8">
        <f>[49]Base_Reports!D182</f>
        <v>7277.9504781483847</v>
      </c>
      <c r="S21" s="8">
        <f>[49]Base_Reports!E182</f>
        <v>8212.8811746214542</v>
      </c>
      <c r="T21" s="8">
        <f>[49]Base_Reports!F182</f>
        <v>7568.995188412644</v>
      </c>
      <c r="U21" s="8">
        <f>[49]Base_Reports!G182</f>
        <v>9618.2220196356466</v>
      </c>
      <c r="V21" s="8">
        <f>[49]Base_Reports!H182</f>
        <v>9822.3638622560247</v>
      </c>
      <c r="W21" s="8">
        <f>[49]Base_Reports!I182</f>
        <v>8966.8790073385171</v>
      </c>
      <c r="X21" s="8">
        <f>[49]Base_Reports!J182</f>
        <v>10213.875028525017</v>
      </c>
      <c r="Y21" s="8">
        <f>[49]Base_Reports!K182</f>
        <v>11482.332884886928</v>
      </c>
      <c r="Z21" s="8">
        <f>[49]Base_Reports!L182</f>
        <v>11636.741871545</v>
      </c>
      <c r="AA21" s="7">
        <f>[49]Base_Reports!M273</f>
        <v>0</v>
      </c>
      <c r="AB21" s="7">
        <f>[49]Base_Reports!L273</f>
        <v>58.507221377570744</v>
      </c>
      <c r="AC21" s="8"/>
    </row>
    <row r="22" spans="1:34" outlineLevel="1" x14ac:dyDescent="0.3">
      <c r="A22" s="2" t="str">
        <f>IF(B22=0,"",A21)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tr">
        <f t="shared" si="2"/>
        <v>Base_Reports</v>
      </c>
      <c r="D22" s="3" t="s">
        <v>86</v>
      </c>
      <c r="E22" s="3" t="s">
        <v>87</v>
      </c>
      <c r="F22" s="3" t="s">
        <v>88</v>
      </c>
      <c r="G22" s="3" t="s">
        <v>89</v>
      </c>
      <c r="H22" s="3" t="s">
        <v>90</v>
      </c>
      <c r="I22" s="3" t="s">
        <v>91</v>
      </c>
      <c r="J22" s="3" t="s">
        <v>92</v>
      </c>
      <c r="K22" s="3" t="s">
        <v>93</v>
      </c>
      <c r="L22" s="3" t="s">
        <v>94</v>
      </c>
      <c r="M22" s="3" t="s">
        <v>95</v>
      </c>
      <c r="N22" s="6" t="s">
        <v>96</v>
      </c>
      <c r="O22" s="6" t="str">
        <f t="shared" si="1"/>
        <v>L273</v>
      </c>
      <c r="P22" s="3" t="str">
        <f>'Model names'!C20</f>
        <v>WV</v>
      </c>
      <c r="Q22" s="8">
        <f>[51]Base_Reports!C182</f>
        <v>16882.456306462911</v>
      </c>
      <c r="R22" s="8">
        <f>[51]Base_Reports!D182</f>
        <v>21239.419755018815</v>
      </c>
      <c r="S22" s="8">
        <f>[51]Base_Reports!E182</f>
        <v>22727.956841531202</v>
      </c>
      <c r="T22" s="8">
        <f>[51]Base_Reports!F182</f>
        <v>22009.765462960801</v>
      </c>
      <c r="U22" s="8">
        <f>[51]Base_Reports!G182</f>
        <v>27096.300810430806</v>
      </c>
      <c r="V22" s="8">
        <f>[51]Base_Reports!H182</f>
        <v>29390.071514492724</v>
      </c>
      <c r="W22" s="8">
        <f>[51]Base_Reports!I182</f>
        <v>27716.466645787892</v>
      </c>
      <c r="X22" s="8">
        <f>[51]Base_Reports!J182</f>
        <v>31746.102637989759</v>
      </c>
      <c r="Y22" s="8">
        <f>[51]Base_Reports!K182</f>
        <v>32928.962903177395</v>
      </c>
      <c r="Z22" s="8">
        <f>[51]Base_Reports!L182</f>
        <v>32395.186591889837</v>
      </c>
      <c r="AA22" s="7">
        <f>[51]Base_Reports!M273</f>
        <v>0</v>
      </c>
      <c r="AB22" s="7">
        <f>[51]Base_Reports!L273</f>
        <v>303.59262966232467</v>
      </c>
      <c r="AC22" s="8"/>
    </row>
    <row r="23" spans="1:34" outlineLevel="1" x14ac:dyDescent="0.3">
      <c r="A23" s="2" t="str">
        <f t="shared" ref="A23:A31" si="3">IF(B23=0,"",A22)</f>
        <v/>
      </c>
      <c r="B23" s="3">
        <f>'[56]Model names'!B21</f>
        <v>0</v>
      </c>
      <c r="C23" s="3">
        <f>IF(B23=0,0,C22)</f>
        <v>0</v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6"/>
      <c r="O23" s="6" t="str">
        <f t="shared" si="1"/>
        <v/>
      </c>
      <c r="P23" s="19">
        <f>'[56]Model names'!H21</f>
        <v>0</v>
      </c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22"/>
      <c r="AB23" s="7"/>
      <c r="AC23" s="8"/>
    </row>
    <row r="24" spans="1:34" outlineLevel="1" x14ac:dyDescent="0.3">
      <c r="A24" s="2" t="str">
        <f t="shared" si="3"/>
        <v/>
      </c>
      <c r="B24" s="3">
        <f>'[56]Model names'!B22</f>
        <v>0</v>
      </c>
      <c r="C24" s="3">
        <f>IF(B24=0,0,C23)</f>
        <v>0</v>
      </c>
      <c r="D24" s="3"/>
      <c r="E24" s="3"/>
      <c r="F24" s="3"/>
      <c r="G24" s="3"/>
      <c r="H24" s="3"/>
      <c r="I24" s="3"/>
      <c r="J24" s="3"/>
      <c r="K24" s="3"/>
      <c r="L24" s="3"/>
      <c r="M24" s="3"/>
      <c r="N24" s="6"/>
      <c r="O24" s="6" t="str">
        <f t="shared" si="1"/>
        <v/>
      </c>
      <c r="P24" s="19">
        <f>'[56]Model names'!H22</f>
        <v>0</v>
      </c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22"/>
      <c r="AB24" s="7"/>
      <c r="AC24" s="8"/>
    </row>
    <row r="25" spans="1:34" outlineLevel="1" x14ac:dyDescent="0.3">
      <c r="A25" s="2" t="str">
        <f t="shared" si="3"/>
        <v/>
      </c>
      <c r="B25" s="3">
        <f>'[56]Model names'!B23</f>
        <v>0</v>
      </c>
      <c r="C25" s="3">
        <f>IF(B25=0,0,C24)</f>
        <v>0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6"/>
      <c r="O25" s="6" t="str">
        <f t="shared" si="1"/>
        <v/>
      </c>
      <c r="P25" s="19">
        <f>'[56]Model names'!H23</f>
        <v>0</v>
      </c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22"/>
      <c r="AB25" s="7"/>
      <c r="AC25" s="8"/>
    </row>
    <row r="26" spans="1:34" outlineLevel="1" x14ac:dyDescent="0.3">
      <c r="A26" s="2" t="str">
        <f t="shared" si="3"/>
        <v/>
      </c>
      <c r="B26" s="3">
        <f>'[56]Model names'!B24</f>
        <v>0</v>
      </c>
      <c r="C26" s="3">
        <f>IF(B26=0,0,C25)</f>
        <v>0</v>
      </c>
      <c r="D26" s="3" t="str">
        <f>IF($C26=0,"",D25)</f>
        <v/>
      </c>
      <c r="E26" s="3" t="str">
        <f t="shared" ref="E26:O33" si="4">IF($C26=0,"",E25)</f>
        <v/>
      </c>
      <c r="F26" s="3" t="str">
        <f t="shared" si="4"/>
        <v/>
      </c>
      <c r="G26" s="3" t="str">
        <f t="shared" si="4"/>
        <v/>
      </c>
      <c r="H26" s="3" t="str">
        <f t="shared" si="4"/>
        <v/>
      </c>
      <c r="I26" s="3" t="str">
        <f t="shared" si="4"/>
        <v/>
      </c>
      <c r="J26" s="3" t="str">
        <f t="shared" si="4"/>
        <v/>
      </c>
      <c r="K26" s="3" t="str">
        <f t="shared" si="4"/>
        <v/>
      </c>
      <c r="L26" s="3" t="str">
        <f t="shared" si="4"/>
        <v/>
      </c>
      <c r="M26" s="3" t="str">
        <f t="shared" si="4"/>
        <v/>
      </c>
      <c r="N26" s="6" t="str">
        <f t="shared" si="4"/>
        <v/>
      </c>
      <c r="O26" s="6" t="str">
        <f t="shared" si="4"/>
        <v/>
      </c>
      <c r="P26" s="19">
        <f>'[56]Model names'!H24</f>
        <v>0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outlineLevel="1" x14ac:dyDescent="0.3">
      <c r="A27" s="2" t="str">
        <f t="shared" si="3"/>
        <v/>
      </c>
      <c r="B27" s="3">
        <f>'[56]Model names'!B25</f>
        <v>0</v>
      </c>
      <c r="C27" s="3">
        <f t="shared" ref="C27:C33" si="5">IF(B27=0,0,C26)</f>
        <v>0</v>
      </c>
      <c r="D27" s="3" t="str">
        <f t="shared" ref="D27:D33" si="6">IF($C27=0,"",D26)</f>
        <v/>
      </c>
      <c r="E27" s="3" t="str">
        <f t="shared" si="4"/>
        <v/>
      </c>
      <c r="F27" s="3" t="str">
        <f t="shared" si="4"/>
        <v/>
      </c>
      <c r="G27" s="3" t="str">
        <f t="shared" si="4"/>
        <v/>
      </c>
      <c r="H27" s="3" t="str">
        <f t="shared" si="4"/>
        <v/>
      </c>
      <c r="I27" s="3" t="str">
        <f t="shared" si="4"/>
        <v/>
      </c>
      <c r="J27" s="3" t="str">
        <f t="shared" si="4"/>
        <v/>
      </c>
      <c r="K27" s="3" t="str">
        <f t="shared" si="4"/>
        <v/>
      </c>
      <c r="L27" s="3" t="str">
        <f t="shared" si="4"/>
        <v/>
      </c>
      <c r="M27" s="3" t="str">
        <f t="shared" si="4"/>
        <v/>
      </c>
      <c r="N27" s="6" t="str">
        <f t="shared" si="4"/>
        <v/>
      </c>
      <c r="O27" s="6" t="str">
        <f t="shared" si="4"/>
        <v/>
      </c>
      <c r="P27" s="19">
        <f>'[56]Model names'!H25</f>
        <v>0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outlineLevel="1" x14ac:dyDescent="0.3">
      <c r="A28" s="2" t="str">
        <f t="shared" si="3"/>
        <v/>
      </c>
      <c r="B28" s="3">
        <f>'[56]Model names'!B26</f>
        <v>0</v>
      </c>
      <c r="C28" s="3">
        <f t="shared" si="5"/>
        <v>0</v>
      </c>
      <c r="D28" s="3" t="str">
        <f t="shared" si="6"/>
        <v/>
      </c>
      <c r="E28" s="3" t="str">
        <f t="shared" si="4"/>
        <v/>
      </c>
      <c r="F28" s="3" t="str">
        <f t="shared" si="4"/>
        <v/>
      </c>
      <c r="G28" s="3" t="str">
        <f t="shared" si="4"/>
        <v/>
      </c>
      <c r="H28" s="3" t="str">
        <f t="shared" si="4"/>
        <v/>
      </c>
      <c r="I28" s="3" t="str">
        <f t="shared" si="4"/>
        <v/>
      </c>
      <c r="J28" s="3" t="str">
        <f t="shared" si="4"/>
        <v/>
      </c>
      <c r="K28" s="3" t="str">
        <f t="shared" si="4"/>
        <v/>
      </c>
      <c r="L28" s="3" t="str">
        <f t="shared" si="4"/>
        <v/>
      </c>
      <c r="M28" s="3" t="str">
        <f t="shared" si="4"/>
        <v/>
      </c>
      <c r="N28" s="6" t="str">
        <f t="shared" si="4"/>
        <v/>
      </c>
      <c r="O28" s="6" t="str">
        <f t="shared" si="4"/>
        <v/>
      </c>
      <c r="P28" s="19">
        <f>'[56]Model names'!H26</f>
        <v>0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outlineLevel="1" x14ac:dyDescent="0.3">
      <c r="A29" s="2" t="str">
        <f t="shared" si="3"/>
        <v/>
      </c>
      <c r="B29" s="3">
        <f>'[56]Model names'!B27</f>
        <v>0</v>
      </c>
      <c r="C29" s="3">
        <f t="shared" si="5"/>
        <v>0</v>
      </c>
      <c r="D29" s="3" t="str">
        <f t="shared" si="6"/>
        <v/>
      </c>
      <c r="E29" s="3" t="str">
        <f t="shared" si="4"/>
        <v/>
      </c>
      <c r="F29" s="3" t="str">
        <f t="shared" si="4"/>
        <v/>
      </c>
      <c r="G29" s="3" t="str">
        <f t="shared" si="4"/>
        <v/>
      </c>
      <c r="H29" s="3" t="str">
        <f t="shared" si="4"/>
        <v/>
      </c>
      <c r="I29" s="3" t="str">
        <f t="shared" si="4"/>
        <v/>
      </c>
      <c r="J29" s="3" t="str">
        <f t="shared" si="4"/>
        <v/>
      </c>
      <c r="K29" s="3" t="str">
        <f t="shared" si="4"/>
        <v/>
      </c>
      <c r="L29" s="3" t="str">
        <f t="shared" si="4"/>
        <v/>
      </c>
      <c r="M29" s="3" t="str">
        <f t="shared" si="4"/>
        <v/>
      </c>
      <c r="N29" s="6" t="str">
        <f t="shared" si="4"/>
        <v/>
      </c>
      <c r="O29" s="6" t="str">
        <f t="shared" si="4"/>
        <v/>
      </c>
      <c r="P29" s="19">
        <f>'[56]Model names'!H27</f>
        <v>0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outlineLevel="1" x14ac:dyDescent="0.3">
      <c r="A30" s="2" t="str">
        <f t="shared" si="3"/>
        <v/>
      </c>
      <c r="B30" s="3">
        <f>'[56]Model names'!B28</f>
        <v>0</v>
      </c>
      <c r="C30" s="3">
        <f t="shared" si="5"/>
        <v>0</v>
      </c>
      <c r="D30" s="3" t="str">
        <f t="shared" si="6"/>
        <v/>
      </c>
      <c r="E30" s="3" t="str">
        <f t="shared" si="4"/>
        <v/>
      </c>
      <c r="F30" s="3" t="str">
        <f t="shared" si="4"/>
        <v/>
      </c>
      <c r="G30" s="3" t="str">
        <f t="shared" si="4"/>
        <v/>
      </c>
      <c r="H30" s="3" t="str">
        <f t="shared" si="4"/>
        <v/>
      </c>
      <c r="I30" s="3" t="str">
        <f t="shared" si="4"/>
        <v/>
      </c>
      <c r="J30" s="3" t="str">
        <f t="shared" si="4"/>
        <v/>
      </c>
      <c r="K30" s="3" t="str">
        <f t="shared" si="4"/>
        <v/>
      </c>
      <c r="L30" s="3" t="str">
        <f t="shared" si="4"/>
        <v/>
      </c>
      <c r="M30" s="3" t="str">
        <f t="shared" si="4"/>
        <v/>
      </c>
      <c r="N30" s="6" t="str">
        <f t="shared" si="4"/>
        <v/>
      </c>
      <c r="O30" s="6" t="str">
        <f t="shared" si="4"/>
        <v/>
      </c>
      <c r="P30" s="19">
        <f>'[56]Model names'!H28</f>
        <v>0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outlineLevel="1" x14ac:dyDescent="0.3">
      <c r="A31" s="2" t="str">
        <f t="shared" si="3"/>
        <v/>
      </c>
      <c r="B31" s="3">
        <f>'[56]Model names'!B29</f>
        <v>0</v>
      </c>
      <c r="C31" s="3">
        <f t="shared" si="5"/>
        <v>0</v>
      </c>
      <c r="D31" s="3" t="str">
        <f t="shared" si="6"/>
        <v/>
      </c>
      <c r="E31" s="3" t="str">
        <f t="shared" si="4"/>
        <v/>
      </c>
      <c r="F31" s="3" t="str">
        <f t="shared" si="4"/>
        <v/>
      </c>
      <c r="G31" s="3" t="str">
        <f t="shared" si="4"/>
        <v/>
      </c>
      <c r="H31" s="3" t="str">
        <f t="shared" si="4"/>
        <v/>
      </c>
      <c r="I31" s="3" t="str">
        <f t="shared" si="4"/>
        <v/>
      </c>
      <c r="J31" s="3" t="str">
        <f t="shared" si="4"/>
        <v/>
      </c>
      <c r="K31" s="3" t="str">
        <f t="shared" si="4"/>
        <v/>
      </c>
      <c r="L31" s="3" t="str">
        <f t="shared" si="4"/>
        <v/>
      </c>
      <c r="M31" s="3" t="str">
        <f t="shared" si="4"/>
        <v/>
      </c>
      <c r="N31" s="6" t="str">
        <f t="shared" si="4"/>
        <v/>
      </c>
      <c r="O31" s="6" t="str">
        <f t="shared" si="4"/>
        <v/>
      </c>
      <c r="P31" s="19">
        <f>'[56]Model names'!H29</f>
        <v>0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outlineLevel="1" x14ac:dyDescent="0.3">
      <c r="A32" s="2"/>
      <c r="B32" s="3">
        <f>'[56]Model names'!B30</f>
        <v>0</v>
      </c>
      <c r="C32" s="3">
        <f t="shared" si="5"/>
        <v>0</v>
      </c>
      <c r="D32" s="3" t="str">
        <f t="shared" si="6"/>
        <v/>
      </c>
      <c r="E32" s="3" t="str">
        <f t="shared" si="4"/>
        <v/>
      </c>
      <c r="F32" s="3" t="str">
        <f t="shared" si="4"/>
        <v/>
      </c>
      <c r="G32" s="3" t="str">
        <f t="shared" si="4"/>
        <v/>
      </c>
      <c r="H32" s="3" t="str">
        <f t="shared" si="4"/>
        <v/>
      </c>
      <c r="I32" s="3" t="str">
        <f t="shared" si="4"/>
        <v/>
      </c>
      <c r="J32" s="3" t="str">
        <f t="shared" si="4"/>
        <v/>
      </c>
      <c r="K32" s="3" t="str">
        <f t="shared" si="4"/>
        <v/>
      </c>
      <c r="L32" s="3" t="str">
        <f t="shared" si="4"/>
        <v/>
      </c>
      <c r="M32" s="3" t="str">
        <f t="shared" si="4"/>
        <v/>
      </c>
      <c r="N32" s="6" t="str">
        <f t="shared" si="4"/>
        <v/>
      </c>
      <c r="O32" s="6" t="str">
        <f t="shared" si="4"/>
        <v/>
      </c>
      <c r="P32" s="3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outlineLevel="1" x14ac:dyDescent="0.3">
      <c r="A33" s="2"/>
      <c r="B33" s="3">
        <f>'[56]Model names'!B31</f>
        <v>0</v>
      </c>
      <c r="C33" s="3">
        <f t="shared" si="5"/>
        <v>0</v>
      </c>
      <c r="D33" s="3" t="str">
        <f t="shared" si="6"/>
        <v/>
      </c>
      <c r="E33" s="3" t="str">
        <f t="shared" si="4"/>
        <v/>
      </c>
      <c r="F33" s="3" t="str">
        <f t="shared" si="4"/>
        <v/>
      </c>
      <c r="G33" s="3" t="str">
        <f t="shared" si="4"/>
        <v/>
      </c>
      <c r="H33" s="3" t="str">
        <f t="shared" si="4"/>
        <v/>
      </c>
      <c r="I33" s="3" t="str">
        <f t="shared" si="4"/>
        <v/>
      </c>
      <c r="J33" s="3" t="str">
        <f t="shared" si="4"/>
        <v/>
      </c>
      <c r="K33" s="3" t="str">
        <f t="shared" si="4"/>
        <v/>
      </c>
      <c r="L33" s="3" t="str">
        <f t="shared" si="4"/>
        <v/>
      </c>
      <c r="M33" s="3" t="str">
        <f t="shared" si="4"/>
        <v/>
      </c>
      <c r="N33" s="6" t="str">
        <f t="shared" si="4"/>
        <v/>
      </c>
      <c r="O33" s="6" t="str">
        <f t="shared" si="4"/>
        <v/>
      </c>
      <c r="P33" s="3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x14ac:dyDescent="0.3">
      <c r="R34" s="8"/>
      <c r="S34" s="8"/>
      <c r="T34" s="8"/>
      <c r="U34" s="8"/>
      <c r="V34" s="8"/>
      <c r="W34" s="8"/>
      <c r="X34" s="8"/>
      <c r="Y34" s="8"/>
      <c r="Z34" s="8"/>
      <c r="AA34" s="8"/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36" priority="3" operator="equal">
      <formula>"On"</formula>
    </cfRule>
  </conditionalFormatting>
  <conditionalFormatting sqref="V21:AA23">
    <cfRule type="cellIs" dxfId="35" priority="2" operator="equal">
      <formula>"On"</formula>
    </cfRule>
  </conditionalFormatting>
  <conditionalFormatting sqref="R21:R23">
    <cfRule type="cellIs" dxfId="34" priority="1" operator="equal">
      <formula>"On"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pageSetup orientation="portrait" verticalDpi="0" r:id="rId1"/>
  <customProperties>
    <customPr name="_pios_id" r:id="rId2"/>
  </customProperties>
  <drawing r:id="rId3"/>
  <legacyDrawing r:id="rId4"/>
  <controls>
    <mc:AlternateContent xmlns:mc="http://schemas.openxmlformats.org/markup-compatibility/2006">
      <mc:Choice Requires="x14">
        <control shapeId="25601" r:id="rId5" name="CommandButton21">
          <controlPr autoLine="0" r:id="rId6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25601" r:id="rId5" name="CommandButton2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6"/>
  </sheetPr>
  <dimension ref="A1:AH40"/>
  <sheetViews>
    <sheetView topLeftCell="C1" zoomScale="70" zoomScaleNormal="70" workbookViewId="0">
      <selection activeCell="S5" sqref="S5"/>
    </sheetView>
  </sheetViews>
  <sheetFormatPr defaultRowHeight="14.4" outlineLevelRow="1" outlineLevelCol="1" x14ac:dyDescent="0.3"/>
  <cols>
    <col min="1" max="1" width="108" bestFit="1" customWidth="1" outlineLevel="1"/>
    <col min="2" max="2" width="49.109375" bestFit="1" customWidth="1" outlineLevel="1"/>
    <col min="3" max="3" width="14.44140625" bestFit="1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5.6640625" bestFit="1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12</v>
      </c>
      <c r="P2" s="1">
        <v>12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names'!J1</f>
        <v>2018</v>
      </c>
      <c r="R3" s="2">
        <f>'Model names'!K1</f>
        <v>2019</v>
      </c>
      <c r="S3" s="2">
        <f>'Model names'!L1</f>
        <v>2020</v>
      </c>
      <c r="T3" s="2">
        <f>'Model names'!M1</f>
        <v>2021</v>
      </c>
      <c r="U3" s="2">
        <f>'Model names'!N1</f>
        <v>2022</v>
      </c>
      <c r="V3" s="2">
        <f>'Model names'!O1</f>
        <v>2023</v>
      </c>
      <c r="W3" s="2">
        <f>'Model names'!P1</f>
        <v>2024</v>
      </c>
      <c r="X3" s="2">
        <f>'Model names'!Q1</f>
        <v>2025</v>
      </c>
      <c r="Y3" s="2">
        <f>'Model names'!R1</f>
        <v>2026</v>
      </c>
      <c r="Z3" s="2"/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106</v>
      </c>
      <c r="D4" s="3" t="s">
        <v>107</v>
      </c>
      <c r="E4" s="3" t="s">
        <v>108</v>
      </c>
      <c r="F4" s="3" t="s">
        <v>109</v>
      </c>
      <c r="G4" s="3" t="s">
        <v>110</v>
      </c>
      <c r="H4" s="3" t="s">
        <v>111</v>
      </c>
      <c r="I4" s="3" t="s">
        <v>112</v>
      </c>
      <c r="J4" s="3" t="s">
        <v>113</v>
      </c>
      <c r="K4" s="3" t="s">
        <v>114</v>
      </c>
      <c r="L4" s="3" t="s">
        <v>115</v>
      </c>
      <c r="M4" s="6" t="s">
        <v>115</v>
      </c>
      <c r="N4" s="6" t="s">
        <v>115</v>
      </c>
      <c r="O4" s="6" t="s">
        <v>115</v>
      </c>
      <c r="P4" s="3" t="str">
        <f>'Model names'!C2</f>
        <v>BFW</v>
      </c>
      <c r="Q4" s="15">
        <f>[15]Base_Inputs!E262</f>
        <v>0</v>
      </c>
      <c r="R4" s="15">
        <f>[15]Base_Inputs!F262</f>
        <v>0</v>
      </c>
      <c r="S4" s="15">
        <f>[15]Base_Inputs!G262</f>
        <v>0</v>
      </c>
      <c r="T4" s="15">
        <f>[15]Base_Inputs!H262</f>
        <v>0</v>
      </c>
      <c r="U4" s="15">
        <f>[15]Base_Inputs!I262</f>
        <v>0</v>
      </c>
      <c r="V4" s="15">
        <f>[15]Base_Inputs!J262</f>
        <v>0</v>
      </c>
      <c r="W4" s="15">
        <f>[15]Base_Inputs!K262</f>
        <v>0</v>
      </c>
      <c r="X4" s="15">
        <f>[15]Base_Inputs!L262</f>
        <v>0</v>
      </c>
      <c r="Y4" s="15">
        <f>[15]Base_Inputs!M262</f>
        <v>0</v>
      </c>
      <c r="Z4" s="20">
        <f>[15]Base_Inputs!M262</f>
        <v>0</v>
      </c>
      <c r="AA4" s="20">
        <f>[15]Base_Inputs!M262</f>
        <v>0</v>
      </c>
      <c r="AB4" s="20">
        <f>[15]Base_Inputs!M262</f>
        <v>0</v>
      </c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106</v>
      </c>
      <c r="D5" s="3" t="s">
        <v>107</v>
      </c>
      <c r="E5" s="3" t="s">
        <v>108</v>
      </c>
      <c r="F5" s="3" t="s">
        <v>109</v>
      </c>
      <c r="G5" s="3" t="s">
        <v>110</v>
      </c>
      <c r="H5" s="3" t="s">
        <v>111</v>
      </c>
      <c r="I5" s="3" t="s">
        <v>112</v>
      </c>
      <c r="J5" s="3" t="s">
        <v>113</v>
      </c>
      <c r="K5" s="3" t="s">
        <v>114</v>
      </c>
      <c r="L5" s="3" t="s">
        <v>115</v>
      </c>
      <c r="M5" s="6" t="s">
        <v>115</v>
      </c>
      <c r="N5" s="6" t="s">
        <v>115</v>
      </c>
      <c r="O5" s="6" t="s">
        <v>115</v>
      </c>
      <c r="P5" s="19" t="str">
        <f>'Model names'!C3</f>
        <v>CA</v>
      </c>
      <c r="Q5" s="15">
        <f>[17]Base_Inputs!E262</f>
        <v>0</v>
      </c>
      <c r="R5" s="15">
        <f>[17]Base_Inputs!F262</f>
        <v>0</v>
      </c>
      <c r="S5" s="15">
        <f>[17]Base_Inputs!G262</f>
        <v>0</v>
      </c>
      <c r="T5" s="15">
        <f>[17]Base_Inputs!H262</f>
        <v>0</v>
      </c>
      <c r="U5" s="15">
        <f>[17]Base_Inputs!I262</f>
        <v>0</v>
      </c>
      <c r="V5" s="15">
        <f>[17]Base_Inputs!J262</f>
        <v>0</v>
      </c>
      <c r="W5" s="15">
        <f>[17]Base_Inputs!K262</f>
        <v>0</v>
      </c>
      <c r="X5" s="15">
        <f>[17]Base_Inputs!L262</f>
        <v>0</v>
      </c>
      <c r="Y5" s="15">
        <f>[17]Base_Inputs!M262</f>
        <v>0</v>
      </c>
      <c r="Z5" s="20">
        <f>[17]Base_Inputs!M262</f>
        <v>0</v>
      </c>
      <c r="AA5" s="20">
        <f>[17]Base_Inputs!M262</f>
        <v>0</v>
      </c>
      <c r="AB5" s="20">
        <f>[17]Base_Inputs!M262</f>
        <v>0</v>
      </c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106</v>
      </c>
      <c r="D6" s="3" t="s">
        <v>107</v>
      </c>
      <c r="E6" s="3" t="s">
        <v>108</v>
      </c>
      <c r="F6" s="3" t="s">
        <v>109</v>
      </c>
      <c r="G6" s="3" t="s">
        <v>110</v>
      </c>
      <c r="H6" s="3" t="s">
        <v>111</v>
      </c>
      <c r="I6" s="3" t="s">
        <v>112</v>
      </c>
      <c r="J6" s="3" t="s">
        <v>113</v>
      </c>
      <c r="K6" s="3" t="s">
        <v>114</v>
      </c>
      <c r="L6" s="3" t="s">
        <v>115</v>
      </c>
      <c r="M6" s="6" t="s">
        <v>115</v>
      </c>
      <c r="N6" s="6" t="s">
        <v>115</v>
      </c>
      <c r="O6" s="6" t="s">
        <v>115</v>
      </c>
      <c r="P6" s="19" t="str">
        <f>'Model names'!C4</f>
        <v>ETS</v>
      </c>
      <c r="Q6" s="15">
        <f>[19]Base_Inputs!E262</f>
        <v>0</v>
      </c>
      <c r="R6" s="15">
        <f>[19]Base_Inputs!F262</f>
        <v>0</v>
      </c>
      <c r="S6" s="15">
        <f>[19]Base_Inputs!G262</f>
        <v>0</v>
      </c>
      <c r="T6" s="15">
        <f>[19]Base_Inputs!H262</f>
        <v>0</v>
      </c>
      <c r="U6" s="15">
        <f>[19]Base_Inputs!I262</f>
        <v>0</v>
      </c>
      <c r="V6" s="15">
        <f>[19]Base_Inputs!J262</f>
        <v>0</v>
      </c>
      <c r="W6" s="15">
        <f>[19]Base_Inputs!K262</f>
        <v>0</v>
      </c>
      <c r="X6" s="15">
        <f>[19]Base_Inputs!L262</f>
        <v>0</v>
      </c>
      <c r="Y6" s="15">
        <f>[19]Base_Inputs!M262</f>
        <v>0</v>
      </c>
      <c r="Z6" s="20">
        <f>[19]Base_Inputs!M262</f>
        <v>0</v>
      </c>
      <c r="AA6" s="20">
        <f>[19]Base_Inputs!M262</f>
        <v>0</v>
      </c>
      <c r="AB6" s="20">
        <f>[19]Base_Inputs!M262</f>
        <v>0</v>
      </c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106</v>
      </c>
      <c r="D7" s="3" t="s">
        <v>107</v>
      </c>
      <c r="E7" s="3" t="s">
        <v>108</v>
      </c>
      <c r="F7" s="3" t="s">
        <v>109</v>
      </c>
      <c r="G7" s="3" t="s">
        <v>110</v>
      </c>
      <c r="H7" s="3" t="s">
        <v>111</v>
      </c>
      <c r="I7" s="3" t="s">
        <v>112</v>
      </c>
      <c r="J7" s="3" t="s">
        <v>113</v>
      </c>
      <c r="K7" s="3" t="s">
        <v>114</v>
      </c>
      <c r="L7" s="3" t="s">
        <v>115</v>
      </c>
      <c r="M7" s="6" t="s">
        <v>115</v>
      </c>
      <c r="N7" s="6" t="s">
        <v>115</v>
      </c>
      <c r="O7" s="6" t="s">
        <v>115</v>
      </c>
      <c r="P7" s="19" t="str">
        <f>'Model names'!C5</f>
        <v>HI</v>
      </c>
      <c r="Q7" s="15">
        <f>[21]Base_Inputs!E262</f>
        <v>0</v>
      </c>
      <c r="R7" s="15">
        <f>[21]Base_Inputs!F262</f>
        <v>0</v>
      </c>
      <c r="S7" s="15">
        <f>[21]Base_Inputs!G262</f>
        <v>0</v>
      </c>
      <c r="T7" s="15">
        <f>[21]Base_Inputs!H262</f>
        <v>0</v>
      </c>
      <c r="U7" s="15">
        <f>[21]Base_Inputs!I262</f>
        <v>0</v>
      </c>
      <c r="V7" s="15">
        <f>[21]Base_Inputs!J262</f>
        <v>0</v>
      </c>
      <c r="W7" s="15">
        <f>[21]Base_Inputs!K262</f>
        <v>0</v>
      </c>
      <c r="X7" s="15">
        <f>[21]Base_Inputs!L262</f>
        <v>0</v>
      </c>
      <c r="Y7" s="15">
        <f>[21]Base_Inputs!M262</f>
        <v>0</v>
      </c>
      <c r="Z7" s="20">
        <f>[21]Base_Inputs!M262</f>
        <v>0</v>
      </c>
      <c r="AA7" s="20">
        <f>[21]Base_Inputs!M262</f>
        <v>0</v>
      </c>
      <c r="AB7" s="20">
        <f>[21]Base_Inputs!M262</f>
        <v>0</v>
      </c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106</v>
      </c>
      <c r="D8" s="3" t="s">
        <v>107</v>
      </c>
      <c r="E8" s="3" t="s">
        <v>108</v>
      </c>
      <c r="F8" s="3" t="s">
        <v>109</v>
      </c>
      <c r="G8" s="3" t="s">
        <v>110</v>
      </c>
      <c r="H8" s="3" t="s">
        <v>111</v>
      </c>
      <c r="I8" s="3" t="s">
        <v>112</v>
      </c>
      <c r="J8" s="3" t="s">
        <v>113</v>
      </c>
      <c r="K8" s="3" t="s">
        <v>114</v>
      </c>
      <c r="L8" s="3" t="s">
        <v>115</v>
      </c>
      <c r="M8" s="6" t="s">
        <v>115</v>
      </c>
      <c r="N8" s="6" t="s">
        <v>115</v>
      </c>
      <c r="O8" s="6" t="s">
        <v>115</v>
      </c>
      <c r="P8" s="19" t="str">
        <f>'Model names'!C6</f>
        <v>IA</v>
      </c>
      <c r="Q8" s="15">
        <f>[23]Base_Inputs!E262</f>
        <v>0</v>
      </c>
      <c r="R8" s="15">
        <f>[23]Base_Inputs!F262</f>
        <v>0</v>
      </c>
      <c r="S8" s="15">
        <f>[23]Base_Inputs!G262</f>
        <v>0</v>
      </c>
      <c r="T8" s="15">
        <f>[23]Base_Inputs!H262</f>
        <v>0</v>
      </c>
      <c r="U8" s="15">
        <f>[23]Base_Inputs!I262</f>
        <v>0</v>
      </c>
      <c r="V8" s="15">
        <f>[23]Base_Inputs!J262</f>
        <v>0</v>
      </c>
      <c r="W8" s="15">
        <f>[23]Base_Inputs!K262</f>
        <v>0</v>
      </c>
      <c r="X8" s="15">
        <f>[23]Base_Inputs!L262</f>
        <v>0</v>
      </c>
      <c r="Y8" s="15">
        <f>[23]Base_Inputs!M262</f>
        <v>0</v>
      </c>
      <c r="Z8" s="20">
        <f>[23]Base_Inputs!M262</f>
        <v>0</v>
      </c>
      <c r="AA8" s="20">
        <f>[23]Base_Inputs!M262</f>
        <v>0</v>
      </c>
      <c r="AB8" s="20">
        <f>[23]Base_Inputs!M262</f>
        <v>0</v>
      </c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106</v>
      </c>
      <c r="D9" s="3" t="s">
        <v>107</v>
      </c>
      <c r="E9" s="3" t="s">
        <v>108</v>
      </c>
      <c r="F9" s="3" t="s">
        <v>109</v>
      </c>
      <c r="G9" s="3" t="s">
        <v>110</v>
      </c>
      <c r="H9" s="3" t="s">
        <v>111</v>
      </c>
      <c r="I9" s="3" t="s">
        <v>112</v>
      </c>
      <c r="J9" s="3" t="s">
        <v>113</v>
      </c>
      <c r="K9" s="3" t="s">
        <v>114</v>
      </c>
      <c r="L9" s="3" t="s">
        <v>115</v>
      </c>
      <c r="M9" s="6" t="s">
        <v>115</v>
      </c>
      <c r="N9" s="6" t="s">
        <v>115</v>
      </c>
      <c r="O9" s="6" t="s">
        <v>115</v>
      </c>
      <c r="P9" s="19" t="str">
        <f>'Model names'!C7</f>
        <v>IL</v>
      </c>
      <c r="Q9" s="15">
        <f>[25]Base_Inputs!E262</f>
        <v>0</v>
      </c>
      <c r="R9" s="15">
        <f>[25]Base_Inputs!F262</f>
        <v>0</v>
      </c>
      <c r="S9" s="15">
        <f>[25]Base_Inputs!G262</f>
        <v>0</v>
      </c>
      <c r="T9" s="15">
        <f>[25]Base_Inputs!H262</f>
        <v>0</v>
      </c>
      <c r="U9" s="15">
        <f>[25]Base_Inputs!I262</f>
        <v>0</v>
      </c>
      <c r="V9" s="15">
        <f>[25]Base_Inputs!J262</f>
        <v>0</v>
      </c>
      <c r="W9" s="15">
        <f>[25]Base_Inputs!K262</f>
        <v>0</v>
      </c>
      <c r="X9" s="15">
        <f>[25]Base_Inputs!L262</f>
        <v>0</v>
      </c>
      <c r="Y9" s="15">
        <f>[25]Base_Inputs!M262</f>
        <v>0</v>
      </c>
      <c r="Z9" s="20">
        <f>[25]Base_Inputs!M262</f>
        <v>0</v>
      </c>
      <c r="AA9" s="20">
        <f>[25]Base_Inputs!M262</f>
        <v>0</v>
      </c>
      <c r="AB9" s="20">
        <f>[25]Base_Inputs!M262</f>
        <v>0</v>
      </c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106</v>
      </c>
      <c r="D10" s="3" t="s">
        <v>107</v>
      </c>
      <c r="E10" s="3" t="s">
        <v>108</v>
      </c>
      <c r="F10" s="3" t="s">
        <v>109</v>
      </c>
      <c r="G10" s="3" t="s">
        <v>110</v>
      </c>
      <c r="H10" s="3" t="s">
        <v>111</v>
      </c>
      <c r="I10" s="3" t="s">
        <v>112</v>
      </c>
      <c r="J10" s="3" t="s">
        <v>113</v>
      </c>
      <c r="K10" s="3" t="s">
        <v>114</v>
      </c>
      <c r="L10" s="3" t="s">
        <v>115</v>
      </c>
      <c r="M10" s="6" t="s">
        <v>115</v>
      </c>
      <c r="N10" s="6" t="s">
        <v>115</v>
      </c>
      <c r="O10" s="6" t="s">
        <v>115</v>
      </c>
      <c r="P10" s="19" t="str">
        <f>'Model names'!C8</f>
        <v>IN</v>
      </c>
      <c r="Q10" s="15">
        <f>[27]Base_Inputs!E262</f>
        <v>0</v>
      </c>
      <c r="R10" s="15">
        <f>[27]Base_Inputs!F262</f>
        <v>0</v>
      </c>
      <c r="S10" s="15">
        <f>[27]Base_Inputs!G262</f>
        <v>0</v>
      </c>
      <c r="T10" s="15">
        <f>[27]Base_Inputs!H262</f>
        <v>0</v>
      </c>
      <c r="U10" s="15">
        <f>[27]Base_Inputs!I262</f>
        <v>0</v>
      </c>
      <c r="V10" s="15">
        <f>[27]Base_Inputs!J262</f>
        <v>0</v>
      </c>
      <c r="W10" s="15">
        <f>[27]Base_Inputs!K262</f>
        <v>0</v>
      </c>
      <c r="X10" s="15">
        <f>[27]Base_Inputs!L262</f>
        <v>0</v>
      </c>
      <c r="Y10" s="15">
        <f>[27]Base_Inputs!M262</f>
        <v>0</v>
      </c>
      <c r="Z10" s="20">
        <f>[27]Base_Inputs!M262</f>
        <v>0</v>
      </c>
      <c r="AA10" s="20">
        <f>[27]Base_Inputs!M262</f>
        <v>0</v>
      </c>
      <c r="AB10" s="20">
        <f>[27]Base_Inputs!M262</f>
        <v>0</v>
      </c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106</v>
      </c>
      <c r="D11" s="3" t="s">
        <v>107</v>
      </c>
      <c r="E11" s="3" t="s">
        <v>108</v>
      </c>
      <c r="F11" s="3" t="s">
        <v>109</v>
      </c>
      <c r="G11" s="3" t="s">
        <v>110</v>
      </c>
      <c r="H11" s="3" t="s">
        <v>111</v>
      </c>
      <c r="I11" s="3" t="s">
        <v>112</v>
      </c>
      <c r="J11" s="3" t="s">
        <v>113</v>
      </c>
      <c r="K11" s="3" t="s">
        <v>114</v>
      </c>
      <c r="L11" s="3" t="s">
        <v>115</v>
      </c>
      <c r="M11" s="6" t="s">
        <v>115</v>
      </c>
      <c r="N11" s="6" t="s">
        <v>115</v>
      </c>
      <c r="O11" s="6" t="s">
        <v>115</v>
      </c>
      <c r="P11" s="3" t="str">
        <f>'Model names'!C9</f>
        <v>KY</v>
      </c>
      <c r="Q11" s="15">
        <f>[29]Base_Inputs!E262</f>
        <v>0</v>
      </c>
      <c r="R11" s="15">
        <f>[29]Base_Inputs!F262</f>
        <v>0</v>
      </c>
      <c r="S11" s="15">
        <f>[29]Base_Inputs!G262</f>
        <v>0</v>
      </c>
      <c r="T11" s="15">
        <f>[29]Base_Inputs!H262</f>
        <v>200</v>
      </c>
      <c r="U11" s="15">
        <f>[29]Base_Inputs!I262</f>
        <v>1000</v>
      </c>
      <c r="V11" s="15">
        <f>[29]Base_Inputs!J262</f>
        <v>1000</v>
      </c>
      <c r="W11" s="15">
        <f>[29]Base_Inputs!K262</f>
        <v>1000</v>
      </c>
      <c r="X11" s="15">
        <f>[29]Base_Inputs!L262</f>
        <v>2300</v>
      </c>
      <c r="Y11" s="15">
        <f>[29]Base_Inputs!M262</f>
        <v>1600</v>
      </c>
      <c r="Z11" s="20">
        <f>[29]Base_Inputs!M262</f>
        <v>1600</v>
      </c>
      <c r="AA11" s="20">
        <f>[29]Base_Inputs!M262</f>
        <v>1600</v>
      </c>
      <c r="AB11" s="20">
        <f>[29]Base_Inputs!M262</f>
        <v>1600</v>
      </c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106</v>
      </c>
      <c r="D12" s="3" t="s">
        <v>107</v>
      </c>
      <c r="E12" s="3" t="s">
        <v>108</v>
      </c>
      <c r="F12" s="3" t="s">
        <v>109</v>
      </c>
      <c r="G12" s="3" t="s">
        <v>110</v>
      </c>
      <c r="H12" s="3" t="s">
        <v>111</v>
      </c>
      <c r="I12" s="3" t="s">
        <v>112</v>
      </c>
      <c r="J12" s="3" t="s">
        <v>113</v>
      </c>
      <c r="K12" s="3" t="s">
        <v>114</v>
      </c>
      <c r="L12" s="3" t="s">
        <v>115</v>
      </c>
      <c r="M12" s="6" t="s">
        <v>115</v>
      </c>
      <c r="N12" s="6" t="s">
        <v>115</v>
      </c>
      <c r="O12" s="6" t="s">
        <v>115</v>
      </c>
      <c r="P12" s="3" t="str">
        <f>'Model names'!C10</f>
        <v>Liberty</v>
      </c>
      <c r="Q12" s="15">
        <f>[31]Base_Inputs!E262</f>
        <v>0</v>
      </c>
      <c r="R12" s="15">
        <f>[31]Base_Inputs!F262</f>
        <v>0</v>
      </c>
      <c r="S12" s="15">
        <f>[31]Base_Inputs!G262</f>
        <v>0</v>
      </c>
      <c r="T12" s="15">
        <f>[31]Base_Inputs!H262</f>
        <v>0</v>
      </c>
      <c r="U12" s="15">
        <f>[31]Base_Inputs!I262</f>
        <v>0</v>
      </c>
      <c r="V12" s="15">
        <f>[31]Base_Inputs!J262</f>
        <v>0</v>
      </c>
      <c r="W12" s="15">
        <f>[31]Base_Inputs!K262</f>
        <v>0</v>
      </c>
      <c r="X12" s="15">
        <f>[31]Base_Inputs!L262</f>
        <v>0</v>
      </c>
      <c r="Y12" s="15">
        <f>[31]Base_Inputs!M262</f>
        <v>0</v>
      </c>
      <c r="Z12" s="20">
        <f>[31]Base_Inputs!M262</f>
        <v>0</v>
      </c>
      <c r="AA12" s="20">
        <f>[31]Base_Inputs!M262</f>
        <v>0</v>
      </c>
      <c r="AB12" s="20">
        <f>[31]Base_Inputs!M262</f>
        <v>0</v>
      </c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106</v>
      </c>
      <c r="D13" s="3" t="s">
        <v>107</v>
      </c>
      <c r="E13" s="3" t="s">
        <v>108</v>
      </c>
      <c r="F13" s="3" t="s">
        <v>109</v>
      </c>
      <c r="G13" s="3" t="s">
        <v>110</v>
      </c>
      <c r="H13" s="3" t="s">
        <v>111</v>
      </c>
      <c r="I13" s="3" t="s">
        <v>112</v>
      </c>
      <c r="J13" s="3" t="s">
        <v>113</v>
      </c>
      <c r="K13" s="3" t="s">
        <v>114</v>
      </c>
      <c r="L13" s="3" t="s">
        <v>115</v>
      </c>
      <c r="M13" s="6" t="s">
        <v>115</v>
      </c>
      <c r="N13" s="6" t="s">
        <v>115</v>
      </c>
      <c r="O13" s="6" t="s">
        <v>115</v>
      </c>
      <c r="P13" s="3" t="str">
        <f>'Model names'!C11</f>
        <v>LW</v>
      </c>
      <c r="Q13" s="15">
        <f>[33]Base_Inputs!E262</f>
        <v>0</v>
      </c>
      <c r="R13" s="15">
        <f>[33]Base_Inputs!F262</f>
        <v>0</v>
      </c>
      <c r="S13" s="15">
        <f>[33]Base_Inputs!G262</f>
        <v>0</v>
      </c>
      <c r="T13" s="15">
        <f>[33]Base_Inputs!H262</f>
        <v>0</v>
      </c>
      <c r="U13" s="15">
        <f>[33]Base_Inputs!I262</f>
        <v>0</v>
      </c>
      <c r="V13" s="15">
        <f>[33]Base_Inputs!J262</f>
        <v>0</v>
      </c>
      <c r="W13" s="15">
        <f>[33]Base_Inputs!K262</f>
        <v>0</v>
      </c>
      <c r="X13" s="15">
        <f>[33]Base_Inputs!L262</f>
        <v>0</v>
      </c>
      <c r="Y13" s="15">
        <f>[33]Base_Inputs!M262</f>
        <v>0</v>
      </c>
      <c r="Z13" s="20">
        <f>[33]Base_Inputs!M262</f>
        <v>0</v>
      </c>
      <c r="AA13" s="20">
        <f>[33]Base_Inputs!M262</f>
        <v>0</v>
      </c>
      <c r="AB13" s="20">
        <f>[33]Base_Inputs!M262</f>
        <v>0</v>
      </c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106</v>
      </c>
      <c r="D14" s="3" t="s">
        <v>107</v>
      </c>
      <c r="E14" s="3" t="s">
        <v>108</v>
      </c>
      <c r="F14" s="3" t="s">
        <v>109</v>
      </c>
      <c r="G14" s="3" t="s">
        <v>110</v>
      </c>
      <c r="H14" s="3" t="s">
        <v>111</v>
      </c>
      <c r="I14" s="3" t="s">
        <v>112</v>
      </c>
      <c r="J14" s="3" t="s">
        <v>113</v>
      </c>
      <c r="K14" s="3" t="s">
        <v>114</v>
      </c>
      <c r="L14" s="3" t="s">
        <v>115</v>
      </c>
      <c r="M14" s="6" t="s">
        <v>115</v>
      </c>
      <c r="N14" s="6" t="s">
        <v>115</v>
      </c>
      <c r="O14" s="6" t="s">
        <v>115</v>
      </c>
      <c r="P14" s="3" t="str">
        <f>'Model names'!C12</f>
        <v>MD</v>
      </c>
      <c r="Q14" s="15">
        <f>[35]Base_Inputs!E262</f>
        <v>0</v>
      </c>
      <c r="R14" s="15">
        <f>[35]Base_Inputs!F262</f>
        <v>0</v>
      </c>
      <c r="S14" s="15">
        <f>[35]Base_Inputs!G262</f>
        <v>0</v>
      </c>
      <c r="T14" s="15">
        <f>[35]Base_Inputs!H262</f>
        <v>0</v>
      </c>
      <c r="U14" s="15">
        <f>[35]Base_Inputs!I262</f>
        <v>0</v>
      </c>
      <c r="V14" s="15">
        <f>[35]Base_Inputs!J262</f>
        <v>0</v>
      </c>
      <c r="W14" s="15">
        <f>[35]Base_Inputs!K262</f>
        <v>0</v>
      </c>
      <c r="X14" s="15">
        <f>[35]Base_Inputs!L262</f>
        <v>0</v>
      </c>
      <c r="Y14" s="15">
        <f>[35]Base_Inputs!M262</f>
        <v>0</v>
      </c>
      <c r="Z14" s="20">
        <f>[35]Base_Inputs!M262</f>
        <v>0</v>
      </c>
      <c r="AA14" s="20">
        <f>[35]Base_Inputs!M262</f>
        <v>0</v>
      </c>
      <c r="AB14" s="20">
        <f>[35]Base_Inputs!M262</f>
        <v>0</v>
      </c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106</v>
      </c>
      <c r="D15" s="3" t="s">
        <v>107</v>
      </c>
      <c r="E15" s="3" t="s">
        <v>108</v>
      </c>
      <c r="F15" s="3" t="s">
        <v>109</v>
      </c>
      <c r="G15" s="3" t="s">
        <v>110</v>
      </c>
      <c r="H15" s="3" t="s">
        <v>111</v>
      </c>
      <c r="I15" s="3" t="s">
        <v>112</v>
      </c>
      <c r="J15" s="3" t="s">
        <v>113</v>
      </c>
      <c r="K15" s="3" t="s">
        <v>114</v>
      </c>
      <c r="L15" s="3" t="s">
        <v>115</v>
      </c>
      <c r="M15" s="6" t="s">
        <v>115</v>
      </c>
      <c r="N15" s="6" t="s">
        <v>115</v>
      </c>
      <c r="O15" s="6" t="s">
        <v>115</v>
      </c>
      <c r="P15" s="3" t="str">
        <f>'Model names'!C13</f>
        <v>MI</v>
      </c>
      <c r="Q15" s="15">
        <f>[37]Base_Inputs!E262</f>
        <v>0</v>
      </c>
      <c r="R15" s="15">
        <f>[37]Base_Inputs!F262</f>
        <v>30</v>
      </c>
      <c r="S15" s="15">
        <f>[37]Base_Inputs!G262</f>
        <v>0</v>
      </c>
      <c r="T15" s="15">
        <f>[37]Base_Inputs!H262</f>
        <v>33</v>
      </c>
      <c r="U15" s="15">
        <f>[37]Base_Inputs!I262</f>
        <v>0</v>
      </c>
      <c r="V15" s="15">
        <f>[37]Base_Inputs!J262</f>
        <v>41</v>
      </c>
      <c r="W15" s="15">
        <f>[37]Base_Inputs!K262</f>
        <v>0</v>
      </c>
      <c r="X15" s="15">
        <f>[37]Base_Inputs!L262</f>
        <v>60</v>
      </c>
      <c r="Y15" s="15">
        <f>[37]Base_Inputs!M262</f>
        <v>0</v>
      </c>
      <c r="Z15" s="20">
        <f>[37]Base_Inputs!M262</f>
        <v>0</v>
      </c>
      <c r="AA15" s="20">
        <f>[37]Base_Inputs!M262</f>
        <v>0</v>
      </c>
      <c r="AB15" s="20">
        <f>[37]Base_Inputs!M262</f>
        <v>0</v>
      </c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106</v>
      </c>
      <c r="D16" s="3" t="s">
        <v>107</v>
      </c>
      <c r="E16" s="3" t="s">
        <v>108</v>
      </c>
      <c r="F16" s="3" t="s">
        <v>109</v>
      </c>
      <c r="G16" s="3" t="s">
        <v>110</v>
      </c>
      <c r="H16" s="3" t="s">
        <v>111</v>
      </c>
      <c r="I16" s="3" t="s">
        <v>112</v>
      </c>
      <c r="J16" s="3" t="s">
        <v>113</v>
      </c>
      <c r="K16" s="3" t="s">
        <v>114</v>
      </c>
      <c r="L16" s="3" t="s">
        <v>115</v>
      </c>
      <c r="M16" s="6" t="s">
        <v>115</v>
      </c>
      <c r="N16" s="6" t="s">
        <v>115</v>
      </c>
      <c r="O16" s="6" t="s">
        <v>115</v>
      </c>
      <c r="P16" s="3" t="str">
        <f>'Model names'!C14</f>
        <v>MO</v>
      </c>
      <c r="Q16" s="15">
        <f>[39]Base_Inputs!E262</f>
        <v>0</v>
      </c>
      <c r="R16" s="15">
        <f>[39]Base_Inputs!F262</f>
        <v>0</v>
      </c>
      <c r="S16" s="15">
        <f>[39]Base_Inputs!G262</f>
        <v>0</v>
      </c>
      <c r="T16" s="15">
        <f>[39]Base_Inputs!H262</f>
        <v>0</v>
      </c>
      <c r="U16" s="15">
        <f>[39]Base_Inputs!I262</f>
        <v>4000</v>
      </c>
      <c r="V16" s="15">
        <f>[39]Base_Inputs!J262</f>
        <v>0</v>
      </c>
      <c r="W16" s="15">
        <f>[39]Base_Inputs!K262</f>
        <v>0</v>
      </c>
      <c r="X16" s="15">
        <f>[39]Base_Inputs!L262</f>
        <v>0</v>
      </c>
      <c r="Y16" s="15">
        <f>[39]Base_Inputs!M262</f>
        <v>0</v>
      </c>
      <c r="Z16" s="20">
        <f>[39]Base_Inputs!M262</f>
        <v>0</v>
      </c>
      <c r="AA16" s="20">
        <f>[39]Base_Inputs!M262</f>
        <v>0</v>
      </c>
      <c r="AB16" s="20">
        <f>[39]Base_Inputs!M262</f>
        <v>0</v>
      </c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106</v>
      </c>
      <c r="D17" s="3" t="s">
        <v>107</v>
      </c>
      <c r="E17" s="3" t="s">
        <v>108</v>
      </c>
      <c r="F17" s="3" t="s">
        <v>109</v>
      </c>
      <c r="G17" s="3" t="s">
        <v>110</v>
      </c>
      <c r="H17" s="3" t="s">
        <v>111</v>
      </c>
      <c r="I17" s="3" t="s">
        <v>112</v>
      </c>
      <c r="J17" s="3" t="s">
        <v>113</v>
      </c>
      <c r="K17" s="3" t="s">
        <v>114</v>
      </c>
      <c r="L17" s="3" t="s">
        <v>115</v>
      </c>
      <c r="M17" s="6" t="s">
        <v>115</v>
      </c>
      <c r="N17" s="6" t="s">
        <v>115</v>
      </c>
      <c r="O17" s="6" t="s">
        <v>115</v>
      </c>
      <c r="P17" s="3" t="str">
        <f>'Model names'!C15</f>
        <v>NJ</v>
      </c>
      <c r="Q17" s="15">
        <f>[41]Base_Inputs!E262</f>
        <v>0</v>
      </c>
      <c r="R17" s="15">
        <f>[41]Base_Inputs!F262</f>
        <v>0</v>
      </c>
      <c r="S17" s="15">
        <f>[41]Base_Inputs!G262</f>
        <v>0</v>
      </c>
      <c r="T17" s="15">
        <f>[41]Base_Inputs!H262</f>
        <v>0</v>
      </c>
      <c r="U17" s="15">
        <f>[41]Base_Inputs!I262</f>
        <v>0</v>
      </c>
      <c r="V17" s="15">
        <f>[41]Base_Inputs!J262</f>
        <v>0</v>
      </c>
      <c r="W17" s="15">
        <f>[41]Base_Inputs!K262</f>
        <v>0</v>
      </c>
      <c r="X17" s="15">
        <f>[41]Base_Inputs!L262</f>
        <v>0</v>
      </c>
      <c r="Y17" s="15">
        <f>[41]Base_Inputs!M262</f>
        <v>0</v>
      </c>
      <c r="Z17" s="20">
        <f>[41]Base_Inputs!M262</f>
        <v>0</v>
      </c>
      <c r="AA17" s="20">
        <f>[41]Base_Inputs!M262</f>
        <v>0</v>
      </c>
      <c r="AB17" s="20">
        <f>[41]Base_Inputs!M262</f>
        <v>0</v>
      </c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106</v>
      </c>
      <c r="D18" s="3" t="s">
        <v>107</v>
      </c>
      <c r="E18" s="3" t="s">
        <v>108</v>
      </c>
      <c r="F18" s="3" t="s">
        <v>109</v>
      </c>
      <c r="G18" s="3" t="s">
        <v>110</v>
      </c>
      <c r="H18" s="3" t="s">
        <v>111</v>
      </c>
      <c r="I18" s="3" t="s">
        <v>112</v>
      </c>
      <c r="J18" s="3" t="s">
        <v>113</v>
      </c>
      <c r="K18" s="3" t="s">
        <v>114</v>
      </c>
      <c r="L18" s="3" t="s">
        <v>115</v>
      </c>
      <c r="M18" s="6" t="s">
        <v>115</v>
      </c>
      <c r="N18" s="6" t="s">
        <v>115</v>
      </c>
      <c r="O18" s="6" t="s">
        <v>115</v>
      </c>
      <c r="P18" s="3" t="str">
        <f>'Model names'!C16</f>
        <v>NY</v>
      </c>
      <c r="Q18" s="15">
        <f>[43]Base_Inputs!E262</f>
        <v>0</v>
      </c>
      <c r="R18" s="15">
        <f>[43]Base_Inputs!F262</f>
        <v>0</v>
      </c>
      <c r="S18" s="15">
        <f>[43]Base_Inputs!G262</f>
        <v>0</v>
      </c>
      <c r="T18" s="15">
        <f>[43]Base_Inputs!H262</f>
        <v>0</v>
      </c>
      <c r="U18" s="15">
        <f>[43]Base_Inputs!I262</f>
        <v>0</v>
      </c>
      <c r="V18" s="15">
        <f>[43]Base_Inputs!J262</f>
        <v>0</v>
      </c>
      <c r="W18" s="15">
        <f>[43]Base_Inputs!K262</f>
        <v>0</v>
      </c>
      <c r="X18" s="15">
        <f>[43]Base_Inputs!L262</f>
        <v>0</v>
      </c>
      <c r="Y18" s="15">
        <f>[43]Base_Inputs!M262</f>
        <v>0</v>
      </c>
      <c r="Z18" s="20">
        <f>[43]Base_Inputs!M262</f>
        <v>0</v>
      </c>
      <c r="AA18" s="20">
        <f>[43]Base_Inputs!M262</f>
        <v>0</v>
      </c>
      <c r="AB18" s="20">
        <f>[43]Base_Inputs!M262</f>
        <v>0</v>
      </c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106</v>
      </c>
      <c r="D19" s="3" t="s">
        <v>107</v>
      </c>
      <c r="E19" s="3" t="s">
        <v>108</v>
      </c>
      <c r="F19" s="3" t="s">
        <v>109</v>
      </c>
      <c r="G19" s="3" t="s">
        <v>110</v>
      </c>
      <c r="H19" s="3" t="s">
        <v>111</v>
      </c>
      <c r="I19" s="3" t="s">
        <v>112</v>
      </c>
      <c r="J19" s="3" t="s">
        <v>113</v>
      </c>
      <c r="K19" s="3" t="s">
        <v>114</v>
      </c>
      <c r="L19" s="3" t="s">
        <v>115</v>
      </c>
      <c r="M19" s="6" t="s">
        <v>115</v>
      </c>
      <c r="N19" s="6" t="s">
        <v>115</v>
      </c>
      <c r="O19" s="6" t="s">
        <v>115</v>
      </c>
      <c r="P19" s="3" t="str">
        <f>'Model names'!C17</f>
        <v>PA</v>
      </c>
      <c r="Q19" s="15">
        <f>[45]Base_Inputs!E262</f>
        <v>6000</v>
      </c>
      <c r="R19" s="15">
        <f>[45]Base_Inputs!F262</f>
        <v>6000</v>
      </c>
      <c r="S19" s="15">
        <f>[45]Base_Inputs!G262</f>
        <v>6000</v>
      </c>
      <c r="T19" s="15">
        <f>[45]Base_Inputs!H262</f>
        <v>6000</v>
      </c>
      <c r="U19" s="15">
        <f>[45]Base_Inputs!I262</f>
        <v>0</v>
      </c>
      <c r="V19" s="15">
        <f>[45]Base_Inputs!J262</f>
        <v>0</v>
      </c>
      <c r="W19" s="15">
        <f>[45]Base_Inputs!K262</f>
        <v>0</v>
      </c>
      <c r="X19" s="15">
        <f>[45]Base_Inputs!L262</f>
        <v>0</v>
      </c>
      <c r="Y19" s="15">
        <f>[45]Base_Inputs!M262</f>
        <v>0</v>
      </c>
      <c r="Z19" s="20">
        <f>[45]Base_Inputs!M262</f>
        <v>0</v>
      </c>
      <c r="AA19" s="20">
        <f>[45]Base_Inputs!M262</f>
        <v>0</v>
      </c>
      <c r="AB19" s="20">
        <f>[45]Base_Inputs!M262</f>
        <v>0</v>
      </c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106</v>
      </c>
      <c r="D20" s="3" t="s">
        <v>107</v>
      </c>
      <c r="E20" s="3" t="s">
        <v>108</v>
      </c>
      <c r="F20" s="3" t="s">
        <v>109</v>
      </c>
      <c r="G20" s="3" t="s">
        <v>110</v>
      </c>
      <c r="H20" s="3" t="s">
        <v>111</v>
      </c>
      <c r="I20" s="3" t="s">
        <v>112</v>
      </c>
      <c r="J20" s="3" t="s">
        <v>113</v>
      </c>
      <c r="K20" s="3" t="s">
        <v>114</v>
      </c>
      <c r="L20" s="3" t="s">
        <v>115</v>
      </c>
      <c r="M20" s="6" t="s">
        <v>115</v>
      </c>
      <c r="N20" s="6" t="s">
        <v>115</v>
      </c>
      <c r="O20" s="6" t="s">
        <v>115</v>
      </c>
      <c r="P20" s="3" t="str">
        <f>'Model names'!C18</f>
        <v>TN</v>
      </c>
      <c r="Q20" s="15">
        <f>[47]Base_Inputs!E262</f>
        <v>0</v>
      </c>
      <c r="R20" s="15">
        <f>[47]Base_Inputs!F262</f>
        <v>0</v>
      </c>
      <c r="S20" s="15">
        <f>[47]Base_Inputs!G262</f>
        <v>300</v>
      </c>
      <c r="T20" s="15">
        <f>[47]Base_Inputs!H262</f>
        <v>650</v>
      </c>
      <c r="U20" s="15">
        <f>[47]Base_Inputs!I262</f>
        <v>650</v>
      </c>
      <c r="V20" s="15">
        <f>[47]Base_Inputs!J262</f>
        <v>1500</v>
      </c>
      <c r="W20" s="15">
        <f>[47]Base_Inputs!K262</f>
        <v>1200</v>
      </c>
      <c r="X20" s="15">
        <f>[47]Base_Inputs!L262</f>
        <v>1200</v>
      </c>
      <c r="Y20" s="15">
        <f>[47]Base_Inputs!M262</f>
        <v>1500</v>
      </c>
      <c r="Z20" s="20">
        <f>[47]Base_Inputs!M262</f>
        <v>1500</v>
      </c>
      <c r="AA20" s="20">
        <f>[47]Base_Inputs!M262</f>
        <v>1500</v>
      </c>
      <c r="AB20" s="20">
        <f>[47]Base_Inputs!M262</f>
        <v>1500</v>
      </c>
      <c r="AC20" s="8"/>
      <c r="AG20" s="5"/>
      <c r="AH20" s="5"/>
    </row>
    <row r="21" spans="1:34" outlineLevel="1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106</v>
      </c>
      <c r="D21" s="3" t="s">
        <v>107</v>
      </c>
      <c r="E21" s="3" t="s">
        <v>108</v>
      </c>
      <c r="F21" s="3" t="s">
        <v>109</v>
      </c>
      <c r="G21" s="3" t="s">
        <v>110</v>
      </c>
      <c r="H21" s="3" t="s">
        <v>111</v>
      </c>
      <c r="I21" s="3" t="s">
        <v>112</v>
      </c>
      <c r="J21" s="3" t="s">
        <v>113</v>
      </c>
      <c r="K21" s="3" t="s">
        <v>114</v>
      </c>
      <c r="L21" s="3" t="s">
        <v>115</v>
      </c>
      <c r="M21" s="6" t="s">
        <v>115</v>
      </c>
      <c r="N21" s="6" t="s">
        <v>115</v>
      </c>
      <c r="O21" s="6" t="s">
        <v>115</v>
      </c>
      <c r="P21" s="3" t="str">
        <f>'Model names'!C19</f>
        <v>VA</v>
      </c>
      <c r="Q21" s="15">
        <f>[49]Base_Inputs!E262</f>
        <v>0</v>
      </c>
      <c r="R21" s="15">
        <f>[49]Base_Inputs!F262</f>
        <v>0</v>
      </c>
      <c r="S21" s="15">
        <f>[49]Base_Inputs!G262</f>
        <v>0</v>
      </c>
      <c r="T21" s="15">
        <f>[49]Base_Inputs!H262</f>
        <v>0</v>
      </c>
      <c r="U21" s="15">
        <f>[49]Base_Inputs!I262</f>
        <v>0</v>
      </c>
      <c r="V21" s="15">
        <f>[49]Base_Inputs!J262</f>
        <v>0</v>
      </c>
      <c r="W21" s="15">
        <f>[49]Base_Inputs!K262</f>
        <v>0</v>
      </c>
      <c r="X21" s="15">
        <f>[49]Base_Inputs!L262</f>
        <v>0</v>
      </c>
      <c r="Y21" s="15">
        <f>[49]Base_Inputs!M262</f>
        <v>0</v>
      </c>
      <c r="Z21" s="20">
        <f>[49]Base_Inputs!M262</f>
        <v>0</v>
      </c>
      <c r="AA21" s="20">
        <f>[49]Base_Inputs!M262</f>
        <v>0</v>
      </c>
      <c r="AB21" s="20">
        <f>[49]Base_Inputs!M262</f>
        <v>0</v>
      </c>
      <c r="AC21" s="8"/>
    </row>
    <row r="22" spans="1:34" outlineLevel="1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106</v>
      </c>
      <c r="D22" s="3" t="s">
        <v>107</v>
      </c>
      <c r="E22" s="3" t="s">
        <v>108</v>
      </c>
      <c r="F22" s="3" t="s">
        <v>109</v>
      </c>
      <c r="G22" s="3" t="s">
        <v>110</v>
      </c>
      <c r="H22" s="3" t="s">
        <v>111</v>
      </c>
      <c r="I22" s="3" t="s">
        <v>112</v>
      </c>
      <c r="J22" s="3" t="s">
        <v>113</v>
      </c>
      <c r="K22" s="3" t="s">
        <v>114</v>
      </c>
      <c r="L22" s="3" t="s">
        <v>115</v>
      </c>
      <c r="M22" s="6" t="s">
        <v>115</v>
      </c>
      <c r="N22" s="6" t="s">
        <v>115</v>
      </c>
      <c r="O22" s="6" t="s">
        <v>115</v>
      </c>
      <c r="P22" s="3" t="str">
        <f>'Model names'!C20</f>
        <v>WV</v>
      </c>
      <c r="Q22" s="15">
        <f>[51]Base_Inputs!E262</f>
        <v>0</v>
      </c>
      <c r="R22" s="15">
        <f>[51]Base_Inputs!F262</f>
        <v>0</v>
      </c>
      <c r="S22" s="15">
        <f>[51]Base_Inputs!G262</f>
        <v>0</v>
      </c>
      <c r="T22" s="15">
        <f>[51]Base_Inputs!H262</f>
        <v>0</v>
      </c>
      <c r="U22" s="15">
        <f>[51]Base_Inputs!I262</f>
        <v>0</v>
      </c>
      <c r="V22" s="15">
        <f>[51]Base_Inputs!J262</f>
        <v>0</v>
      </c>
      <c r="W22" s="15">
        <f>[51]Base_Inputs!K262</f>
        <v>0</v>
      </c>
      <c r="X22" s="15">
        <f>[51]Base_Inputs!L262</f>
        <v>0</v>
      </c>
      <c r="Y22" s="15">
        <f>[51]Base_Inputs!M262</f>
        <v>0</v>
      </c>
      <c r="Z22" s="20">
        <f>[51]Base_Inputs!M262</f>
        <v>0</v>
      </c>
      <c r="AA22" s="20">
        <f>[51]Base_Inputs!M262</f>
        <v>0</v>
      </c>
      <c r="AB22" s="20">
        <f>[51]Base_Inputs!M262</f>
        <v>0</v>
      </c>
      <c r="AC22" s="8"/>
    </row>
    <row r="23" spans="1:34" outlineLevel="1" x14ac:dyDescent="0.3">
      <c r="A23" s="2" t="str">
        <f t="shared" ref="A23:A33" si="0">IF(B23=0,"",A22)</f>
        <v/>
      </c>
      <c r="B23" s="3">
        <f>'Model names'!B21</f>
        <v>0</v>
      </c>
      <c r="C23" s="3" t="str">
        <f t="shared" ref="C23:C30" si="1">IF(B23=0,"",C22)</f>
        <v/>
      </c>
      <c r="D23" s="3"/>
      <c r="E23" s="3"/>
      <c r="F23" s="3"/>
      <c r="G23" s="3"/>
      <c r="H23" s="3"/>
      <c r="I23" s="3"/>
      <c r="J23" s="3"/>
      <c r="K23" s="3"/>
      <c r="L23" s="3"/>
      <c r="M23" s="6"/>
      <c r="N23" s="6"/>
      <c r="O23" s="6"/>
      <c r="P23" s="18">
        <f>'Model names'!C21</f>
        <v>0</v>
      </c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8"/>
      <c r="AC23" s="8"/>
    </row>
    <row r="24" spans="1:34" outlineLevel="1" x14ac:dyDescent="0.3">
      <c r="A24" s="2" t="e">
        <f t="shared" si="0"/>
        <v>#REF!</v>
      </c>
      <c r="B24" s="3" t="e">
        <f>'Model names'!#REF!</f>
        <v>#REF!</v>
      </c>
      <c r="C24" s="3" t="e">
        <f t="shared" si="1"/>
        <v>#REF!</v>
      </c>
      <c r="D24" s="3"/>
      <c r="E24" s="3"/>
      <c r="F24" s="3"/>
      <c r="G24" s="3"/>
      <c r="H24" s="3"/>
      <c r="I24" s="3"/>
      <c r="J24" s="3"/>
      <c r="K24" s="3"/>
      <c r="L24" s="3"/>
      <c r="M24" s="6"/>
      <c r="N24" s="6"/>
      <c r="O24" s="6"/>
      <c r="P24" s="18" t="e">
        <f>'Model names'!#REF!</f>
        <v>#REF!</v>
      </c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8"/>
      <c r="AC24" s="8"/>
    </row>
    <row r="25" spans="1:34" outlineLevel="1" x14ac:dyDescent="0.3">
      <c r="A25" s="2" t="e">
        <f t="shared" si="0"/>
        <v>#REF!</v>
      </c>
      <c r="B25" s="3" t="e">
        <f>'Model names'!#REF!</f>
        <v>#REF!</v>
      </c>
      <c r="C25" s="3" t="e">
        <f t="shared" si="1"/>
        <v>#REF!</v>
      </c>
      <c r="D25" s="3"/>
      <c r="E25" s="3"/>
      <c r="F25" s="3"/>
      <c r="G25" s="3"/>
      <c r="H25" s="3"/>
      <c r="I25" s="3"/>
      <c r="J25" s="3"/>
      <c r="K25" s="3"/>
      <c r="L25" s="3"/>
      <c r="M25" s="6"/>
      <c r="N25" s="6"/>
      <c r="O25" s="6"/>
      <c r="P25" s="18" t="e">
        <f>'Model names'!#REF!</f>
        <v>#REF!</v>
      </c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8"/>
      <c r="AC25" s="8"/>
    </row>
    <row r="26" spans="1:34" outlineLevel="1" x14ac:dyDescent="0.3">
      <c r="A26" s="2" t="e">
        <f t="shared" si="0"/>
        <v>#REF!</v>
      </c>
      <c r="B26" s="3" t="e">
        <f>'Model names'!#REF!</f>
        <v>#REF!</v>
      </c>
      <c r="C26" s="3" t="e">
        <f t="shared" si="1"/>
        <v>#REF!</v>
      </c>
      <c r="D26" s="3"/>
      <c r="E26" s="3"/>
      <c r="F26" s="3"/>
      <c r="G26" s="3"/>
      <c r="H26" s="3"/>
      <c r="I26" s="3"/>
      <c r="J26" s="3"/>
      <c r="K26" s="3"/>
      <c r="L26" s="3"/>
      <c r="M26" s="6"/>
      <c r="N26" s="6"/>
      <c r="O26" s="6"/>
      <c r="P26" s="18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outlineLevel="1" x14ac:dyDescent="0.3">
      <c r="A27" s="2" t="e">
        <f t="shared" si="0"/>
        <v>#REF!</v>
      </c>
      <c r="B27" s="3" t="e">
        <f>'Model names'!#REF!</f>
        <v>#REF!</v>
      </c>
      <c r="C27" s="3" t="e">
        <f t="shared" si="1"/>
        <v>#REF!</v>
      </c>
      <c r="D27" s="3"/>
      <c r="E27" s="3"/>
      <c r="F27" s="3"/>
      <c r="G27" s="3"/>
      <c r="H27" s="3"/>
      <c r="I27" s="3"/>
      <c r="J27" s="3"/>
      <c r="K27" s="3"/>
      <c r="L27" s="3"/>
      <c r="M27" s="6"/>
      <c r="N27" s="6"/>
      <c r="O27" s="6"/>
      <c r="P27" s="18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outlineLevel="1" x14ac:dyDescent="0.3">
      <c r="A28" s="2" t="e">
        <f t="shared" si="0"/>
        <v>#REF!</v>
      </c>
      <c r="B28" s="3" t="e">
        <f>'Model names'!#REF!</f>
        <v>#REF!</v>
      </c>
      <c r="C28" s="3" t="e">
        <f t="shared" si="1"/>
        <v>#REF!</v>
      </c>
      <c r="D28" s="3"/>
      <c r="E28" s="3"/>
      <c r="F28" s="3"/>
      <c r="G28" s="3"/>
      <c r="H28" s="3"/>
      <c r="I28" s="3"/>
      <c r="J28" s="3"/>
      <c r="K28" s="3"/>
      <c r="L28" s="3"/>
      <c r="M28" s="6"/>
      <c r="N28" s="6"/>
      <c r="O28" s="6"/>
      <c r="P28" s="18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outlineLevel="1" x14ac:dyDescent="0.3">
      <c r="A29" s="2" t="e">
        <f t="shared" si="0"/>
        <v>#REF!</v>
      </c>
      <c r="B29" s="3" t="e">
        <f>'Model names'!#REF!</f>
        <v>#REF!</v>
      </c>
      <c r="C29" s="3" t="e">
        <f t="shared" si="1"/>
        <v>#REF!</v>
      </c>
      <c r="D29" s="3"/>
      <c r="E29" s="3"/>
      <c r="F29" s="3"/>
      <c r="G29" s="3"/>
      <c r="H29" s="3"/>
      <c r="I29" s="3"/>
      <c r="J29" s="3"/>
      <c r="K29" s="3"/>
      <c r="L29" s="3"/>
      <c r="M29" s="6"/>
      <c r="N29" s="6"/>
      <c r="O29" s="6"/>
      <c r="P29" s="18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outlineLevel="1" x14ac:dyDescent="0.3">
      <c r="A30" s="2" t="e">
        <f t="shared" si="0"/>
        <v>#REF!</v>
      </c>
      <c r="B30" s="3" t="e">
        <f>'Model names'!#REF!</f>
        <v>#REF!</v>
      </c>
      <c r="C30" s="3" t="e">
        <f t="shared" si="1"/>
        <v>#REF!</v>
      </c>
      <c r="D30" s="3"/>
      <c r="E30" s="3"/>
      <c r="F30" s="3"/>
      <c r="G30" s="3"/>
      <c r="H30" s="3"/>
      <c r="I30" s="3"/>
      <c r="J30" s="3"/>
      <c r="K30" s="3"/>
      <c r="L30" s="3"/>
      <c r="M30" s="6"/>
      <c r="N30" s="6"/>
      <c r="O30" s="6"/>
      <c r="P30" s="18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outlineLevel="1" x14ac:dyDescent="0.3">
      <c r="A31" s="2" t="e">
        <f t="shared" si="0"/>
        <v>#REF!</v>
      </c>
      <c r="B31" s="3" t="e">
        <f>'Model names'!#REF!</f>
        <v>#REF!</v>
      </c>
      <c r="C31" s="3" t="e">
        <f>IF(B31=0,"",C30)</f>
        <v>#REF!</v>
      </c>
      <c r="D31" s="3"/>
      <c r="E31" s="3"/>
      <c r="F31" s="3"/>
      <c r="G31" s="3"/>
      <c r="H31" s="3"/>
      <c r="I31" s="3"/>
      <c r="J31" s="3"/>
      <c r="K31" s="3"/>
      <c r="L31" s="3"/>
      <c r="M31" s="6"/>
      <c r="N31" s="6"/>
      <c r="O31" s="6"/>
      <c r="P31" s="18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outlineLevel="1" x14ac:dyDescent="0.3">
      <c r="A32" s="2" t="e">
        <f t="shared" si="0"/>
        <v>#REF!</v>
      </c>
      <c r="B32" s="3" t="e">
        <f>'Model names'!#REF!</f>
        <v>#REF!</v>
      </c>
      <c r="C32" s="3" t="e">
        <f>IF(B32=0,"",C31)</f>
        <v>#REF!</v>
      </c>
      <c r="D32" s="3"/>
      <c r="E32" s="3"/>
      <c r="F32" s="3"/>
      <c r="G32" s="3"/>
      <c r="H32" s="3"/>
      <c r="I32" s="3"/>
      <c r="J32" s="3"/>
      <c r="K32" s="3"/>
      <c r="L32" s="3"/>
      <c r="M32" s="6"/>
      <c r="N32" s="6"/>
      <c r="O32" s="6"/>
      <c r="P32" s="18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outlineLevel="1" x14ac:dyDescent="0.3">
      <c r="A33" s="2" t="e">
        <f t="shared" si="0"/>
        <v>#REF!</v>
      </c>
      <c r="B33" s="3" t="e">
        <f>'Model names'!#REF!</f>
        <v>#REF!</v>
      </c>
      <c r="C33" s="3" t="e">
        <f>IF(B33=0,"",C32)</f>
        <v>#REF!</v>
      </c>
      <c r="D33" s="3"/>
      <c r="E33" s="3"/>
      <c r="F33" s="3"/>
      <c r="G33" s="3"/>
      <c r="H33" s="3"/>
      <c r="I33" s="3"/>
      <c r="J33" s="3"/>
      <c r="K33" s="3"/>
      <c r="L33" s="3"/>
      <c r="M33" s="6"/>
      <c r="N33" s="6"/>
      <c r="O33" s="6"/>
      <c r="P33" s="18" t="e">
        <f>'Model names'!#REF!</f>
        <v>#REF!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33" priority="3" operator="equal">
      <formula>"On"</formula>
    </cfRule>
  </conditionalFormatting>
  <conditionalFormatting sqref="V21:AA23">
    <cfRule type="cellIs" dxfId="32" priority="2" operator="equal">
      <formula>"On"</formula>
    </cfRule>
  </conditionalFormatting>
  <conditionalFormatting sqref="R21:R23">
    <cfRule type="cellIs" dxfId="31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pageSetup orientation="portrait" verticalDpi="0" r:id="rId1"/>
  <customProperties>
    <customPr name="_pios_id" r:id="rId2"/>
  </customProperties>
  <drawing r:id="rId3"/>
  <legacyDrawing r:id="rId4"/>
  <controls>
    <mc:AlternateContent xmlns:mc="http://schemas.openxmlformats.org/markup-compatibility/2006">
      <mc:Choice Requires="x14">
        <control shapeId="26625" r:id="rId5" name="CommandButton21">
          <controlPr autoLine="0" r:id="rId6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26625" r:id="rId5" name="CommandButton2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/>
  </sheetPr>
  <dimension ref="A1:AH40"/>
  <sheetViews>
    <sheetView topLeftCell="P1" zoomScale="70" zoomScaleNormal="70" workbookViewId="0">
      <selection activeCell="AE43" sqref="AE43"/>
    </sheetView>
  </sheetViews>
  <sheetFormatPr defaultRowHeight="14.4" outlineLevelRow="1" outlineLevelCol="1" x14ac:dyDescent="0.3"/>
  <cols>
    <col min="1" max="1" width="108" hidden="1" customWidth="1" outlineLevel="1"/>
    <col min="2" max="2" width="49.109375" hidden="1" customWidth="1" outlineLevel="1"/>
    <col min="3" max="3" width="14.44140625" hidden="1" customWidth="1" outlineLevel="1"/>
    <col min="4" max="7" width="5.33203125" hidden="1" customWidth="1" outlineLevel="1"/>
    <col min="8" max="8" width="5" hidden="1" customWidth="1" outlineLevel="1"/>
    <col min="9" max="10" width="5.33203125" hidden="1" customWidth="1" outlineLevel="1"/>
    <col min="11" max="11" width="4.5546875" hidden="1" customWidth="1" outlineLevel="1"/>
    <col min="12" max="12" width="5.6640625" hidden="1" customWidth="1" outlineLevel="1"/>
    <col min="13" max="13" width="5.33203125" hidden="1" customWidth="1" outlineLevel="1"/>
    <col min="14" max="14" width="5" hidden="1" customWidth="1" outlineLevel="1"/>
    <col min="15" max="15" width="5.33203125" hidden="1" customWidth="1" outlineLevel="1"/>
    <col min="16" max="16" width="9.44140625" customWidth="1" collapsed="1"/>
    <col min="17" max="17" width="14.33203125" customWidth="1"/>
    <col min="18" max="21" width="10" customWidth="1"/>
    <col min="22" max="22" width="10" hidden="1" customWidth="1" outlineLevel="1"/>
    <col min="23" max="23" width="11" hidden="1" customWidth="1" outlineLevel="1"/>
    <col min="24" max="27" width="10" hidden="1" customWidth="1" outlineLevel="1"/>
    <col min="28" max="28" width="13.33203125" hidden="1" customWidth="1" outlineLevel="1"/>
    <col min="29" max="29" width="3.6640625" customWidth="1" collapsed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12</v>
      </c>
      <c r="P2" s="1">
        <v>12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names'!J1</f>
        <v>2018</v>
      </c>
      <c r="R3" s="2">
        <f>'Model names'!K1</f>
        <v>2019</v>
      </c>
      <c r="S3" s="2">
        <f>'Model names'!L1</f>
        <v>2020</v>
      </c>
      <c r="T3" s="2">
        <f>'Model names'!M1</f>
        <v>2021</v>
      </c>
      <c r="U3" s="2">
        <f>'Model names'!N1</f>
        <v>2022</v>
      </c>
      <c r="V3" s="2">
        <f>'Model names'!O1</f>
        <v>2023</v>
      </c>
      <c r="W3" s="2">
        <f>'Model names'!P1</f>
        <v>2024</v>
      </c>
      <c r="X3" s="2">
        <f>'Model names'!Q1</f>
        <v>2025</v>
      </c>
      <c r="Y3" s="2">
        <f>'Model names'!R1</f>
        <v>2026</v>
      </c>
      <c r="Z3" s="2"/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51</v>
      </c>
      <c r="D4" s="3" t="s">
        <v>116</v>
      </c>
      <c r="E4" s="3" t="s">
        <v>117</v>
      </c>
      <c r="F4" s="3" t="s">
        <v>118</v>
      </c>
      <c r="G4" s="3" t="s">
        <v>119</v>
      </c>
      <c r="H4" s="3" t="s">
        <v>120</v>
      </c>
      <c r="I4" s="3" t="s">
        <v>121</v>
      </c>
      <c r="J4" s="3" t="s">
        <v>122</v>
      </c>
      <c r="K4" s="3" t="s">
        <v>123</v>
      </c>
      <c r="L4" s="3" t="s">
        <v>124</v>
      </c>
      <c r="M4" s="6" t="s">
        <v>124</v>
      </c>
      <c r="N4" s="6" t="s">
        <v>124</v>
      </c>
      <c r="O4" s="6" t="s">
        <v>124</v>
      </c>
      <c r="P4" s="3" t="str">
        <f>'Model names'!C2</f>
        <v>BFW</v>
      </c>
      <c r="Q4" s="15">
        <f>[15]Growth_Inputs!E386</f>
        <v>0</v>
      </c>
      <c r="R4" s="15">
        <f>[15]Growth_Inputs!F386</f>
        <v>0</v>
      </c>
      <c r="S4" s="15">
        <f>[15]Growth_Inputs!G386</f>
        <v>0</v>
      </c>
      <c r="T4" s="15">
        <f>[15]Growth_Inputs!H386</f>
        <v>0</v>
      </c>
      <c r="U4" s="15">
        <f>[15]Growth_Inputs!I386</f>
        <v>3.6189099544832501</v>
      </c>
      <c r="V4" s="15">
        <f>[15]Growth_Inputs!J386</f>
        <v>4.6189099544832501</v>
      </c>
      <c r="W4" s="15">
        <f>[15]Growth_Inputs!K386</f>
        <v>5.6189099544832501</v>
      </c>
      <c r="X4" s="15">
        <f>[15]Growth_Inputs!L386</f>
        <v>6.6189099544832501</v>
      </c>
      <c r="Y4" s="15">
        <f>[15]Growth_Inputs!M386</f>
        <v>7.6189099544832501</v>
      </c>
      <c r="Z4" s="20">
        <f>[15]Growth_Inputs!M386</f>
        <v>7.6189099544832501</v>
      </c>
      <c r="AA4" s="20">
        <f>[15]Growth_Inputs!M386</f>
        <v>7.6189099544832501</v>
      </c>
      <c r="AB4" s="20">
        <f>[15]Growth_Inputs!M386</f>
        <v>7.6189099544832501</v>
      </c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51</v>
      </c>
      <c r="D5" s="3" t="s">
        <v>116</v>
      </c>
      <c r="E5" s="3" t="s">
        <v>117</v>
      </c>
      <c r="F5" s="3" t="s">
        <v>118</v>
      </c>
      <c r="G5" s="3" t="s">
        <v>119</v>
      </c>
      <c r="H5" s="3" t="s">
        <v>120</v>
      </c>
      <c r="I5" s="3" t="s">
        <v>121</v>
      </c>
      <c r="J5" s="3" t="s">
        <v>122</v>
      </c>
      <c r="K5" s="3" t="s">
        <v>123</v>
      </c>
      <c r="L5" s="3" t="s">
        <v>124</v>
      </c>
      <c r="M5" s="6" t="s">
        <v>124</v>
      </c>
      <c r="N5" s="6" t="s">
        <v>124</v>
      </c>
      <c r="O5" s="6" t="s">
        <v>124</v>
      </c>
      <c r="P5" s="19" t="str">
        <f>'Model names'!C3</f>
        <v>CA</v>
      </c>
      <c r="Q5" s="15">
        <f>[17]Growth_Inputs!E386</f>
        <v>4732</v>
      </c>
      <c r="R5" s="15">
        <f>[17]Growth_Inputs!F386</f>
        <v>2600.7809810491658</v>
      </c>
      <c r="S5" s="15">
        <f>[17]Growth_Inputs!G386</f>
        <v>8464.8115426558925</v>
      </c>
      <c r="T5" s="15">
        <f>[17]Growth_Inputs!H386</f>
        <v>1867.0431858637778</v>
      </c>
      <c r="U5" s="15">
        <f>[17]Growth_Inputs!I386</f>
        <v>1834.741766612229</v>
      </c>
      <c r="V5" s="15">
        <f>[17]Growth_Inputs!J386</f>
        <v>1809.4632878422708</v>
      </c>
      <c r="W5" s="15">
        <f>[17]Growth_Inputs!K386</f>
        <v>1786.8486753717439</v>
      </c>
      <c r="X5" s="15">
        <f>[17]Growth_Inputs!L386</f>
        <v>1768.3568129238859</v>
      </c>
      <c r="Y5" s="15">
        <f>[17]Growth_Inputs!M386</f>
        <v>4894.6017681117983</v>
      </c>
      <c r="Z5" s="20">
        <f>[17]Growth_Inputs!M386</f>
        <v>4894.6017681117983</v>
      </c>
      <c r="AA5" s="20">
        <f>[17]Growth_Inputs!M386</f>
        <v>4894.6017681117983</v>
      </c>
      <c r="AB5" s="20">
        <f>[17]Growth_Inputs!M386</f>
        <v>4894.6017681117983</v>
      </c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51</v>
      </c>
      <c r="D6" s="3" t="s">
        <v>116</v>
      </c>
      <c r="E6" s="3" t="s">
        <v>117</v>
      </c>
      <c r="F6" s="3" t="s">
        <v>118</v>
      </c>
      <c r="G6" s="3" t="s">
        <v>119</v>
      </c>
      <c r="H6" s="3" t="s">
        <v>120</v>
      </c>
      <c r="I6" s="3" t="s">
        <v>121</v>
      </c>
      <c r="J6" s="3" t="s">
        <v>122</v>
      </c>
      <c r="K6" s="3" t="s">
        <v>123</v>
      </c>
      <c r="L6" s="3" t="s">
        <v>124</v>
      </c>
      <c r="M6" s="6" t="s">
        <v>124</v>
      </c>
      <c r="N6" s="6" t="s">
        <v>124</v>
      </c>
      <c r="O6" s="6" t="s">
        <v>124</v>
      </c>
      <c r="P6" s="19" t="str">
        <f>'Model names'!C4</f>
        <v>ETS</v>
      </c>
      <c r="Q6" s="15">
        <f>[19]Growth_Inputs!E386</f>
        <v>0</v>
      </c>
      <c r="R6" s="15">
        <f>[19]Growth_Inputs!F386</f>
        <v>0</v>
      </c>
      <c r="S6" s="15">
        <f>[19]Growth_Inputs!G386</f>
        <v>0</v>
      </c>
      <c r="T6" s="15">
        <f>[19]Growth_Inputs!H386</f>
        <v>0</v>
      </c>
      <c r="U6" s="15">
        <f>[19]Growth_Inputs!I386</f>
        <v>0</v>
      </c>
      <c r="V6" s="15">
        <f>[19]Growth_Inputs!J386</f>
        <v>0</v>
      </c>
      <c r="W6" s="15">
        <f>[19]Growth_Inputs!K386</f>
        <v>0</v>
      </c>
      <c r="X6" s="15">
        <f>[19]Growth_Inputs!L386</f>
        <v>0</v>
      </c>
      <c r="Y6" s="15">
        <f>[19]Growth_Inputs!M386</f>
        <v>0</v>
      </c>
      <c r="Z6" s="20">
        <f>[19]Growth_Inputs!M386</f>
        <v>0</v>
      </c>
      <c r="AA6" s="20">
        <f>[19]Growth_Inputs!M386</f>
        <v>0</v>
      </c>
      <c r="AB6" s="20">
        <f>[19]Growth_Inputs!M386</f>
        <v>0</v>
      </c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51</v>
      </c>
      <c r="D7" s="3" t="s">
        <v>116</v>
      </c>
      <c r="E7" s="3" t="s">
        <v>117</v>
      </c>
      <c r="F7" s="3" t="s">
        <v>118</v>
      </c>
      <c r="G7" s="3" t="s">
        <v>119</v>
      </c>
      <c r="H7" s="3" t="s">
        <v>120</v>
      </c>
      <c r="I7" s="3" t="s">
        <v>121</v>
      </c>
      <c r="J7" s="3" t="s">
        <v>122</v>
      </c>
      <c r="K7" s="3" t="s">
        <v>123</v>
      </c>
      <c r="L7" s="3" t="s">
        <v>124</v>
      </c>
      <c r="M7" s="6" t="s">
        <v>124</v>
      </c>
      <c r="N7" s="6" t="s">
        <v>124</v>
      </c>
      <c r="O7" s="6" t="s">
        <v>124</v>
      </c>
      <c r="P7" s="19" t="str">
        <f>'Model names'!C5</f>
        <v>HI</v>
      </c>
      <c r="Q7" s="15">
        <f>[21]Growth_Inputs!E386</f>
        <v>0</v>
      </c>
      <c r="R7" s="15">
        <f>[21]Growth_Inputs!F386</f>
        <v>0</v>
      </c>
      <c r="S7" s="15">
        <f>[21]Growth_Inputs!G386</f>
        <v>0</v>
      </c>
      <c r="T7" s="15">
        <f>[21]Growth_Inputs!H386</f>
        <v>118</v>
      </c>
      <c r="U7" s="15">
        <f>[21]Growth_Inputs!I386</f>
        <v>0</v>
      </c>
      <c r="V7" s="15">
        <f>[21]Growth_Inputs!J386</f>
        <v>0</v>
      </c>
      <c r="W7" s="15">
        <f>[21]Growth_Inputs!K386</f>
        <v>0</v>
      </c>
      <c r="X7" s="15">
        <f>[21]Growth_Inputs!L386</f>
        <v>0</v>
      </c>
      <c r="Y7" s="15">
        <f>[21]Growth_Inputs!M386</f>
        <v>98</v>
      </c>
      <c r="Z7" s="20">
        <f>[21]Growth_Inputs!M386</f>
        <v>98</v>
      </c>
      <c r="AA7" s="20">
        <f>[21]Growth_Inputs!M386</f>
        <v>98</v>
      </c>
      <c r="AB7" s="20">
        <f>[21]Growth_Inputs!M386</f>
        <v>98</v>
      </c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51</v>
      </c>
      <c r="D8" s="3" t="s">
        <v>116</v>
      </c>
      <c r="E8" s="3" t="s">
        <v>117</v>
      </c>
      <c r="F8" s="3" t="s">
        <v>118</v>
      </c>
      <c r="G8" s="3" t="s">
        <v>119</v>
      </c>
      <c r="H8" s="3" t="s">
        <v>120</v>
      </c>
      <c r="I8" s="3" t="s">
        <v>121</v>
      </c>
      <c r="J8" s="3" t="s">
        <v>122</v>
      </c>
      <c r="K8" s="3" t="s">
        <v>123</v>
      </c>
      <c r="L8" s="3" t="s">
        <v>124</v>
      </c>
      <c r="M8" s="6" t="s">
        <v>124</v>
      </c>
      <c r="N8" s="6" t="s">
        <v>124</v>
      </c>
      <c r="O8" s="6" t="s">
        <v>124</v>
      </c>
      <c r="P8" s="19" t="str">
        <f>'Model names'!C6</f>
        <v>IA</v>
      </c>
      <c r="Q8" s="15">
        <f>[23]Growth_Inputs!E386</f>
        <v>0</v>
      </c>
      <c r="R8" s="15">
        <f>[23]Growth_Inputs!F386</f>
        <v>0</v>
      </c>
      <c r="S8" s="15">
        <f>[23]Growth_Inputs!G386</f>
        <v>0</v>
      </c>
      <c r="T8" s="15">
        <f>[23]Growth_Inputs!H386</f>
        <v>0</v>
      </c>
      <c r="U8" s="15">
        <f>[23]Growth_Inputs!I386</f>
        <v>0</v>
      </c>
      <c r="V8" s="15">
        <f>[23]Growth_Inputs!J386</f>
        <v>0</v>
      </c>
      <c r="W8" s="15">
        <f>[23]Growth_Inputs!K386</f>
        <v>0</v>
      </c>
      <c r="X8" s="15">
        <f>[23]Growth_Inputs!L386</f>
        <v>0</v>
      </c>
      <c r="Y8" s="15">
        <f>[23]Growth_Inputs!M386</f>
        <v>0</v>
      </c>
      <c r="Z8" s="20">
        <f>[23]Growth_Inputs!M386</f>
        <v>0</v>
      </c>
      <c r="AA8" s="20">
        <f>[23]Growth_Inputs!M386</f>
        <v>0</v>
      </c>
      <c r="AB8" s="20">
        <f>[23]Growth_Inputs!M386</f>
        <v>0</v>
      </c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51</v>
      </c>
      <c r="D9" s="3" t="s">
        <v>116</v>
      </c>
      <c r="E9" s="3" t="s">
        <v>117</v>
      </c>
      <c r="F9" s="3" t="s">
        <v>118</v>
      </c>
      <c r="G9" s="3" t="s">
        <v>119</v>
      </c>
      <c r="H9" s="3" t="s">
        <v>120</v>
      </c>
      <c r="I9" s="3" t="s">
        <v>121</v>
      </c>
      <c r="J9" s="3" t="s">
        <v>122</v>
      </c>
      <c r="K9" s="3" t="s">
        <v>123</v>
      </c>
      <c r="L9" s="3" t="s">
        <v>124</v>
      </c>
      <c r="M9" s="6" t="s">
        <v>124</v>
      </c>
      <c r="N9" s="6" t="s">
        <v>124</v>
      </c>
      <c r="O9" s="6" t="s">
        <v>124</v>
      </c>
      <c r="P9" s="19" t="str">
        <f>'Model names'!C7</f>
        <v>IL</v>
      </c>
      <c r="Q9" s="15">
        <f>[25]Growth_Inputs!E386</f>
        <v>0</v>
      </c>
      <c r="R9" s="15">
        <f>[25]Growth_Inputs!F386</f>
        <v>0</v>
      </c>
      <c r="S9" s="15">
        <f>[25]Growth_Inputs!G386</f>
        <v>0</v>
      </c>
      <c r="T9" s="15">
        <f>[25]Growth_Inputs!H386</f>
        <v>0</v>
      </c>
      <c r="U9" s="15">
        <f>[25]Growth_Inputs!I386</f>
        <v>0</v>
      </c>
      <c r="V9" s="15">
        <f>[25]Growth_Inputs!J386</f>
        <v>0</v>
      </c>
      <c r="W9" s="15">
        <f>[25]Growth_Inputs!K386</f>
        <v>0</v>
      </c>
      <c r="X9" s="15">
        <f>[25]Growth_Inputs!L386</f>
        <v>0</v>
      </c>
      <c r="Y9" s="15">
        <f>[25]Growth_Inputs!M386</f>
        <v>0</v>
      </c>
      <c r="Z9" s="20">
        <f>[25]Growth_Inputs!M386</f>
        <v>0</v>
      </c>
      <c r="AA9" s="20">
        <f>[25]Growth_Inputs!M386</f>
        <v>0</v>
      </c>
      <c r="AB9" s="20">
        <f>[25]Growth_Inputs!M386</f>
        <v>0</v>
      </c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51</v>
      </c>
      <c r="D10" s="3" t="s">
        <v>116</v>
      </c>
      <c r="E10" s="3" t="s">
        <v>117</v>
      </c>
      <c r="F10" s="3" t="s">
        <v>118</v>
      </c>
      <c r="G10" s="3" t="s">
        <v>119</v>
      </c>
      <c r="H10" s="3" t="s">
        <v>120</v>
      </c>
      <c r="I10" s="3" t="s">
        <v>121</v>
      </c>
      <c r="J10" s="3" t="s">
        <v>122</v>
      </c>
      <c r="K10" s="3" t="s">
        <v>123</v>
      </c>
      <c r="L10" s="3" t="s">
        <v>124</v>
      </c>
      <c r="M10" s="6" t="s">
        <v>124</v>
      </c>
      <c r="N10" s="6" t="s">
        <v>124</v>
      </c>
      <c r="O10" s="6" t="s">
        <v>124</v>
      </c>
      <c r="P10" s="19" t="str">
        <f>'Model names'!C8</f>
        <v>IN</v>
      </c>
      <c r="Q10" s="15">
        <f>[27]Growth_Inputs!E386</f>
        <v>5000</v>
      </c>
      <c r="R10" s="15">
        <f>[27]Growth_Inputs!F386</f>
        <v>20000</v>
      </c>
      <c r="S10" s="15">
        <f>[27]Growth_Inputs!G386</f>
        <v>5000</v>
      </c>
      <c r="T10" s="15">
        <f>[27]Growth_Inputs!H386</f>
        <v>7000</v>
      </c>
      <c r="U10" s="15">
        <f>[27]Growth_Inputs!I386</f>
        <v>5000</v>
      </c>
      <c r="V10" s="15">
        <f>[27]Growth_Inputs!J386</f>
        <v>30000</v>
      </c>
      <c r="W10" s="15">
        <f>[27]Growth_Inputs!K386</f>
        <v>7000</v>
      </c>
      <c r="X10" s="15">
        <f>[27]Growth_Inputs!L386</f>
        <v>7000</v>
      </c>
      <c r="Y10" s="15">
        <f>[27]Growth_Inputs!M386</f>
        <v>7000</v>
      </c>
      <c r="Z10" s="20">
        <f>[27]Growth_Inputs!M386</f>
        <v>7000</v>
      </c>
      <c r="AA10" s="20">
        <f>[27]Growth_Inputs!M386</f>
        <v>7000</v>
      </c>
      <c r="AB10" s="20">
        <f>[27]Growth_Inputs!M386</f>
        <v>7000</v>
      </c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51</v>
      </c>
      <c r="D11" s="3" t="s">
        <v>116</v>
      </c>
      <c r="E11" s="3" t="s">
        <v>117</v>
      </c>
      <c r="F11" s="3" t="s">
        <v>118</v>
      </c>
      <c r="G11" s="3" t="s">
        <v>119</v>
      </c>
      <c r="H11" s="3" t="s">
        <v>120</v>
      </c>
      <c r="I11" s="3" t="s">
        <v>121</v>
      </c>
      <c r="J11" s="3" t="s">
        <v>122</v>
      </c>
      <c r="K11" s="3" t="s">
        <v>123</v>
      </c>
      <c r="L11" s="3" t="s">
        <v>124</v>
      </c>
      <c r="M11" s="6" t="s">
        <v>124</v>
      </c>
      <c r="N11" s="6" t="s">
        <v>124</v>
      </c>
      <c r="O11" s="6" t="s">
        <v>124</v>
      </c>
      <c r="P11" s="3" t="str">
        <f>'Model names'!C9</f>
        <v>KY</v>
      </c>
      <c r="Q11" s="15">
        <f>[29]Growth_Inputs!E386</f>
        <v>5600</v>
      </c>
      <c r="R11" s="15">
        <f>[29]Growth_Inputs!F386</f>
        <v>5000</v>
      </c>
      <c r="S11" s="15">
        <f>[29]Growth_Inputs!G386</f>
        <v>3870</v>
      </c>
      <c r="T11" s="15">
        <f>[29]Growth_Inputs!H386</f>
        <v>6096</v>
      </c>
      <c r="U11" s="15">
        <f>[29]Growth_Inputs!I386</f>
        <v>5000</v>
      </c>
      <c r="V11" s="15">
        <f>[29]Growth_Inputs!J386</f>
        <v>5000</v>
      </c>
      <c r="W11" s="15">
        <f>[29]Growth_Inputs!K386</f>
        <v>23000</v>
      </c>
      <c r="X11" s="15">
        <f>[29]Growth_Inputs!L386</f>
        <v>6000</v>
      </c>
      <c r="Y11" s="15">
        <f>[29]Growth_Inputs!M386</f>
        <v>5000</v>
      </c>
      <c r="Z11" s="20">
        <f>[29]Growth_Inputs!M386</f>
        <v>5000</v>
      </c>
      <c r="AA11" s="20">
        <f>[29]Growth_Inputs!M386</f>
        <v>5000</v>
      </c>
      <c r="AB11" s="20">
        <f>[29]Growth_Inputs!M386</f>
        <v>5000</v>
      </c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51</v>
      </c>
      <c r="D12" s="3" t="s">
        <v>116</v>
      </c>
      <c r="E12" s="3" t="s">
        <v>117</v>
      </c>
      <c r="F12" s="3" t="s">
        <v>118</v>
      </c>
      <c r="G12" s="3" t="s">
        <v>119</v>
      </c>
      <c r="H12" s="3" t="s">
        <v>120</v>
      </c>
      <c r="I12" s="3" t="s">
        <v>121</v>
      </c>
      <c r="J12" s="3" t="s">
        <v>122</v>
      </c>
      <c r="K12" s="3" t="s">
        <v>123</v>
      </c>
      <c r="L12" s="3" t="s">
        <v>124</v>
      </c>
      <c r="M12" s="6" t="s">
        <v>124</v>
      </c>
      <c r="N12" s="6" t="s">
        <v>124</v>
      </c>
      <c r="O12" s="6" t="s">
        <v>124</v>
      </c>
      <c r="P12" s="3" t="str">
        <f>'Model names'!C10</f>
        <v>Liberty</v>
      </c>
      <c r="Q12" s="15">
        <f>[31]Growth_Inputs!E386</f>
        <v>0</v>
      </c>
      <c r="R12" s="15">
        <f>[31]Growth_Inputs!F386</f>
        <v>0</v>
      </c>
      <c r="S12" s="15">
        <f>[31]Growth_Inputs!G386</f>
        <v>0</v>
      </c>
      <c r="T12" s="15">
        <f>[31]Growth_Inputs!H386</f>
        <v>0</v>
      </c>
      <c r="U12" s="15">
        <f>[31]Growth_Inputs!I386</f>
        <v>0</v>
      </c>
      <c r="V12" s="15">
        <f>[31]Growth_Inputs!J386</f>
        <v>0</v>
      </c>
      <c r="W12" s="15">
        <f>[31]Growth_Inputs!K386</f>
        <v>0</v>
      </c>
      <c r="X12" s="15">
        <f>[31]Growth_Inputs!L386</f>
        <v>0</v>
      </c>
      <c r="Y12" s="15">
        <f>[31]Growth_Inputs!M386</f>
        <v>0</v>
      </c>
      <c r="Z12" s="20">
        <f>[31]Growth_Inputs!M386</f>
        <v>0</v>
      </c>
      <c r="AA12" s="20">
        <f>[31]Growth_Inputs!M386</f>
        <v>0</v>
      </c>
      <c r="AB12" s="20">
        <f>[31]Growth_Inputs!M386</f>
        <v>0</v>
      </c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51</v>
      </c>
      <c r="D13" s="3" t="s">
        <v>116</v>
      </c>
      <c r="E13" s="3" t="s">
        <v>117</v>
      </c>
      <c r="F13" s="3" t="s">
        <v>118</v>
      </c>
      <c r="G13" s="3" t="s">
        <v>119</v>
      </c>
      <c r="H13" s="3" t="s">
        <v>120</v>
      </c>
      <c r="I13" s="3" t="s">
        <v>121</v>
      </c>
      <c r="J13" s="3" t="s">
        <v>122</v>
      </c>
      <c r="K13" s="3" t="s">
        <v>123</v>
      </c>
      <c r="L13" s="3" t="s">
        <v>124</v>
      </c>
      <c r="M13" s="6" t="s">
        <v>124</v>
      </c>
      <c r="N13" s="6" t="s">
        <v>124</v>
      </c>
      <c r="O13" s="6" t="s">
        <v>124</v>
      </c>
      <c r="P13" s="3" t="str">
        <f>'Model names'!C11</f>
        <v>LW</v>
      </c>
      <c r="Q13" s="15">
        <f>[33]Growth_Inputs!E386</f>
        <v>0</v>
      </c>
      <c r="R13" s="15">
        <f>[33]Growth_Inputs!F386</f>
        <v>0</v>
      </c>
      <c r="S13" s="15">
        <f>[33]Growth_Inputs!G386</f>
        <v>0</v>
      </c>
      <c r="T13" s="15">
        <f>[33]Growth_Inputs!H386</f>
        <v>0</v>
      </c>
      <c r="U13" s="15">
        <f>[33]Growth_Inputs!I386</f>
        <v>3.6189099544832501</v>
      </c>
      <c r="V13" s="15">
        <f>[33]Growth_Inputs!J386</f>
        <v>4.6189099544832501</v>
      </c>
      <c r="W13" s="15">
        <f>[33]Growth_Inputs!K386</f>
        <v>5.6189099544832501</v>
      </c>
      <c r="X13" s="15">
        <f>[33]Growth_Inputs!L386</f>
        <v>6.6189099544832501</v>
      </c>
      <c r="Y13" s="15">
        <f>[33]Growth_Inputs!M386</f>
        <v>7.6189099544832501</v>
      </c>
      <c r="Z13" s="20">
        <f>[33]Growth_Inputs!M386</f>
        <v>7.6189099544832501</v>
      </c>
      <c r="AA13" s="20">
        <f>[33]Growth_Inputs!M386</f>
        <v>7.6189099544832501</v>
      </c>
      <c r="AB13" s="20">
        <f>[33]Growth_Inputs!M386</f>
        <v>7.6189099544832501</v>
      </c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51</v>
      </c>
      <c r="D14" s="3" t="s">
        <v>116</v>
      </c>
      <c r="E14" s="3" t="s">
        <v>117</v>
      </c>
      <c r="F14" s="3" t="s">
        <v>118</v>
      </c>
      <c r="G14" s="3" t="s">
        <v>119</v>
      </c>
      <c r="H14" s="3" t="s">
        <v>120</v>
      </c>
      <c r="I14" s="3" t="s">
        <v>121</v>
      </c>
      <c r="J14" s="3" t="s">
        <v>122</v>
      </c>
      <c r="K14" s="3" t="s">
        <v>123</v>
      </c>
      <c r="L14" s="3" t="s">
        <v>124</v>
      </c>
      <c r="M14" s="6" t="s">
        <v>124</v>
      </c>
      <c r="N14" s="6" t="s">
        <v>124</v>
      </c>
      <c r="O14" s="6" t="s">
        <v>124</v>
      </c>
      <c r="P14" s="3" t="str">
        <f>'Model names'!C12</f>
        <v>MD</v>
      </c>
      <c r="Q14" s="15">
        <f>[35]Growth_Inputs!E386</f>
        <v>39</v>
      </c>
      <c r="R14" s="15">
        <f>[35]Growth_Inputs!F386</f>
        <v>96</v>
      </c>
      <c r="S14" s="15">
        <f>[35]Growth_Inputs!G386</f>
        <v>25</v>
      </c>
      <c r="T14" s="15">
        <f>[35]Growth_Inputs!H386</f>
        <v>6</v>
      </c>
      <c r="U14" s="15">
        <f>[35]Growth_Inputs!I386</f>
        <v>32</v>
      </c>
      <c r="V14" s="15">
        <f>[35]Growth_Inputs!J386</f>
        <v>30</v>
      </c>
      <c r="W14" s="15">
        <f>[35]Growth_Inputs!K386</f>
        <v>29</v>
      </c>
      <c r="X14" s="15">
        <f>[35]Growth_Inputs!L386</f>
        <v>27</v>
      </c>
      <c r="Y14" s="15">
        <f>[35]Growth_Inputs!M386</f>
        <v>26</v>
      </c>
      <c r="Z14" s="20">
        <f>[35]Growth_Inputs!M386</f>
        <v>26</v>
      </c>
      <c r="AA14" s="20">
        <f>[35]Growth_Inputs!M386</f>
        <v>26</v>
      </c>
      <c r="AB14" s="20">
        <f>[35]Growth_Inputs!M386</f>
        <v>26</v>
      </c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51</v>
      </c>
      <c r="D15" s="3" t="s">
        <v>116</v>
      </c>
      <c r="E15" s="3" t="s">
        <v>117</v>
      </c>
      <c r="F15" s="3" t="s">
        <v>118</v>
      </c>
      <c r="G15" s="3" t="s">
        <v>119</v>
      </c>
      <c r="H15" s="3" t="s">
        <v>120</v>
      </c>
      <c r="I15" s="3" t="s">
        <v>121</v>
      </c>
      <c r="J15" s="3" t="s">
        <v>122</v>
      </c>
      <c r="K15" s="3" t="s">
        <v>123</v>
      </c>
      <c r="L15" s="3" t="s">
        <v>124</v>
      </c>
      <c r="M15" s="6" t="s">
        <v>124</v>
      </c>
      <c r="N15" s="6" t="s">
        <v>124</v>
      </c>
      <c r="O15" s="6" t="s">
        <v>124</v>
      </c>
      <c r="P15" s="3" t="str">
        <f>'Model names'!C13</f>
        <v>MI</v>
      </c>
      <c r="Q15" s="15">
        <f>[37]Growth_Inputs!E386</f>
        <v>0</v>
      </c>
      <c r="R15" s="15">
        <f>[37]Growth_Inputs!F386</f>
        <v>0</v>
      </c>
      <c r="S15" s="15">
        <f>[37]Growth_Inputs!G386</f>
        <v>0</v>
      </c>
      <c r="T15" s="15">
        <f>[37]Growth_Inputs!H386</f>
        <v>0</v>
      </c>
      <c r="U15" s="15">
        <f>[37]Growth_Inputs!I386</f>
        <v>0</v>
      </c>
      <c r="V15" s="15">
        <f>[37]Growth_Inputs!J386</f>
        <v>0</v>
      </c>
      <c r="W15" s="15">
        <f>[37]Growth_Inputs!K386</f>
        <v>0</v>
      </c>
      <c r="X15" s="15">
        <f>[37]Growth_Inputs!L386</f>
        <v>0</v>
      </c>
      <c r="Y15" s="15">
        <f>[37]Growth_Inputs!M386</f>
        <v>0</v>
      </c>
      <c r="Z15" s="20">
        <f>[37]Growth_Inputs!M386</f>
        <v>0</v>
      </c>
      <c r="AA15" s="20">
        <f>[37]Growth_Inputs!M386</f>
        <v>0</v>
      </c>
      <c r="AB15" s="20">
        <f>[37]Growth_Inputs!M386</f>
        <v>0</v>
      </c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51</v>
      </c>
      <c r="D16" s="3" t="s">
        <v>116</v>
      </c>
      <c r="E16" s="3" t="s">
        <v>117</v>
      </c>
      <c r="F16" s="3" t="s">
        <v>118</v>
      </c>
      <c r="G16" s="3" t="s">
        <v>119</v>
      </c>
      <c r="H16" s="3" t="s">
        <v>120</v>
      </c>
      <c r="I16" s="3" t="s">
        <v>121</v>
      </c>
      <c r="J16" s="3" t="s">
        <v>122</v>
      </c>
      <c r="K16" s="3" t="s">
        <v>123</v>
      </c>
      <c r="L16" s="3" t="s">
        <v>124</v>
      </c>
      <c r="M16" s="6" t="s">
        <v>124</v>
      </c>
      <c r="N16" s="6" t="s">
        <v>124</v>
      </c>
      <c r="O16" s="6" t="s">
        <v>124</v>
      </c>
      <c r="P16" s="3" t="str">
        <f>'Model names'!C14</f>
        <v>MO</v>
      </c>
      <c r="Q16" s="15">
        <f>[39]Growth_Inputs!E386</f>
        <v>14060.607973921355</v>
      </c>
      <c r="R16" s="15">
        <f>[39]Growth_Inputs!F386</f>
        <v>24929.97796784715</v>
      </c>
      <c r="S16" s="15">
        <f>[39]Growth_Inputs!G386</f>
        <v>26293.529219162316</v>
      </c>
      <c r="T16" s="15">
        <f>[39]Growth_Inputs!H386</f>
        <v>25058.501071991261</v>
      </c>
      <c r="U16" s="15">
        <f>[39]Growth_Inputs!I386</f>
        <v>26907.108909901297</v>
      </c>
      <c r="V16" s="15">
        <f>[39]Growth_Inputs!J386</f>
        <v>27008.826412658549</v>
      </c>
      <c r="W16" s="15">
        <f>[39]Growth_Inputs!K386</f>
        <v>29459.918660809286</v>
      </c>
      <c r="X16" s="15">
        <f>[39]Growth_Inputs!L386</f>
        <v>30162.58154922496</v>
      </c>
      <c r="Y16" s="15">
        <f>[39]Growth_Inputs!M386</f>
        <v>31463.082440240138</v>
      </c>
      <c r="Z16" s="20">
        <f>[39]Growth_Inputs!M386</f>
        <v>31463.082440240138</v>
      </c>
      <c r="AA16" s="20">
        <f>[39]Growth_Inputs!M386</f>
        <v>31463.082440240138</v>
      </c>
      <c r="AB16" s="20">
        <f>[39]Growth_Inputs!M386</f>
        <v>31463.082440240138</v>
      </c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51</v>
      </c>
      <c r="D17" s="3" t="s">
        <v>116</v>
      </c>
      <c r="E17" s="3" t="s">
        <v>117</v>
      </c>
      <c r="F17" s="3" t="s">
        <v>118</v>
      </c>
      <c r="G17" s="3" t="s">
        <v>119</v>
      </c>
      <c r="H17" s="3" t="s">
        <v>120</v>
      </c>
      <c r="I17" s="3" t="s">
        <v>121</v>
      </c>
      <c r="J17" s="3" t="s">
        <v>122</v>
      </c>
      <c r="K17" s="3" t="s">
        <v>123</v>
      </c>
      <c r="L17" s="3" t="s">
        <v>124</v>
      </c>
      <c r="M17" s="6" t="s">
        <v>124</v>
      </c>
      <c r="N17" s="6" t="s">
        <v>124</v>
      </c>
      <c r="O17" s="6" t="s">
        <v>124</v>
      </c>
      <c r="P17" s="3" t="str">
        <f>'Model names'!C15</f>
        <v>NJ</v>
      </c>
      <c r="Q17" s="15">
        <f>[41]Growth_Inputs!E386</f>
        <v>4476.8714296644112</v>
      </c>
      <c r="R17" s="15">
        <f>[41]Growth_Inputs!F386</f>
        <v>3218.1860907511978</v>
      </c>
      <c r="S17" s="15">
        <f>[41]Growth_Inputs!G386</f>
        <v>7409.4933427442775</v>
      </c>
      <c r="T17" s="15">
        <f>[41]Growth_Inputs!H386</f>
        <v>20729.942124852227</v>
      </c>
      <c r="U17" s="15">
        <f>[41]Growth_Inputs!I386</f>
        <v>0</v>
      </c>
      <c r="V17" s="15">
        <f>[41]Growth_Inputs!J386</f>
        <v>0</v>
      </c>
      <c r="W17" s="15">
        <f>[41]Growth_Inputs!K386</f>
        <v>6298.9954752772364</v>
      </c>
      <c r="X17" s="15">
        <f>[41]Growth_Inputs!L386</f>
        <v>0</v>
      </c>
      <c r="Y17" s="15">
        <f>[41]Growth_Inputs!M386</f>
        <v>0</v>
      </c>
      <c r="Z17" s="20">
        <f>[41]Growth_Inputs!M386</f>
        <v>0</v>
      </c>
      <c r="AA17" s="20">
        <f>[41]Growth_Inputs!M386</f>
        <v>0</v>
      </c>
      <c r="AB17" s="20">
        <f>[41]Growth_Inputs!M386</f>
        <v>0</v>
      </c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51</v>
      </c>
      <c r="D18" s="3" t="s">
        <v>116</v>
      </c>
      <c r="E18" s="3" t="s">
        <v>117</v>
      </c>
      <c r="F18" s="3" t="s">
        <v>118</v>
      </c>
      <c r="G18" s="3" t="s">
        <v>119</v>
      </c>
      <c r="H18" s="3" t="s">
        <v>120</v>
      </c>
      <c r="I18" s="3" t="s">
        <v>121</v>
      </c>
      <c r="J18" s="3" t="s">
        <v>122</v>
      </c>
      <c r="K18" s="3" t="s">
        <v>123</v>
      </c>
      <c r="L18" s="3" t="s">
        <v>124</v>
      </c>
      <c r="M18" s="6" t="s">
        <v>124</v>
      </c>
      <c r="N18" s="6" t="s">
        <v>124</v>
      </c>
      <c r="O18" s="6" t="s">
        <v>124</v>
      </c>
      <c r="P18" s="3" t="str">
        <f>'Model names'!C16</f>
        <v>NY</v>
      </c>
      <c r="Q18" s="15">
        <f>[43]Growth_Inputs!E386</f>
        <v>600</v>
      </c>
      <c r="R18" s="15">
        <f>[43]Growth_Inputs!F386</f>
        <v>600</v>
      </c>
      <c r="S18" s="15">
        <f>[43]Growth_Inputs!G386</f>
        <v>1300</v>
      </c>
      <c r="T18" s="15">
        <f>[43]Growth_Inputs!H386</f>
        <v>1300</v>
      </c>
      <c r="U18" s="15">
        <f>[43]Growth_Inputs!I386</f>
        <v>1300</v>
      </c>
      <c r="V18" s="15">
        <f>[43]Growth_Inputs!J386</f>
        <v>1300</v>
      </c>
      <c r="W18" s="15">
        <f>[43]Growth_Inputs!K386</f>
        <v>1300</v>
      </c>
      <c r="X18" s="15">
        <f>[43]Growth_Inputs!L386</f>
        <v>1300</v>
      </c>
      <c r="Y18" s="15">
        <f>[43]Growth_Inputs!M386</f>
        <v>1300</v>
      </c>
      <c r="Z18" s="20">
        <f>[43]Growth_Inputs!M386</f>
        <v>1300</v>
      </c>
      <c r="AA18" s="20">
        <f>[43]Growth_Inputs!M386</f>
        <v>1300</v>
      </c>
      <c r="AB18" s="20">
        <f>[43]Growth_Inputs!M386</f>
        <v>1300</v>
      </c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51</v>
      </c>
      <c r="D19" s="3" t="s">
        <v>116</v>
      </c>
      <c r="E19" s="3" t="s">
        <v>117</v>
      </c>
      <c r="F19" s="3" t="s">
        <v>118</v>
      </c>
      <c r="G19" s="3" t="s">
        <v>119</v>
      </c>
      <c r="H19" s="3" t="s">
        <v>120</v>
      </c>
      <c r="I19" s="3" t="s">
        <v>121</v>
      </c>
      <c r="J19" s="3" t="s">
        <v>122</v>
      </c>
      <c r="K19" s="3" t="s">
        <v>123</v>
      </c>
      <c r="L19" s="3" t="s">
        <v>124</v>
      </c>
      <c r="M19" s="6" t="s">
        <v>124</v>
      </c>
      <c r="N19" s="6" t="s">
        <v>124</v>
      </c>
      <c r="O19" s="6" t="s">
        <v>124</v>
      </c>
      <c r="P19" s="3" t="str">
        <f>'Model names'!C17</f>
        <v>PA</v>
      </c>
      <c r="Q19" s="15">
        <f>[45]Growth_Inputs!E386</f>
        <v>0</v>
      </c>
      <c r="R19" s="15">
        <f>[45]Growth_Inputs!F386</f>
        <v>0</v>
      </c>
      <c r="S19" s="15">
        <f>[45]Growth_Inputs!G386</f>
        <v>0</v>
      </c>
      <c r="T19" s="15">
        <f>[45]Growth_Inputs!H386</f>
        <v>0</v>
      </c>
      <c r="U19" s="15">
        <f>[45]Growth_Inputs!I386</f>
        <v>3.6189099544832501</v>
      </c>
      <c r="V19" s="15">
        <f>[45]Growth_Inputs!J386</f>
        <v>4.6189099544832501</v>
      </c>
      <c r="W19" s="15">
        <f>[45]Growth_Inputs!K386</f>
        <v>5.6189099544832501</v>
      </c>
      <c r="X19" s="15">
        <f>[45]Growth_Inputs!L386</f>
        <v>6.6189099544832501</v>
      </c>
      <c r="Y19" s="15">
        <f>[45]Growth_Inputs!M386</f>
        <v>7.6189099544832501</v>
      </c>
      <c r="Z19" s="20">
        <f>[45]Growth_Inputs!M386</f>
        <v>7.6189099544832501</v>
      </c>
      <c r="AA19" s="20">
        <f>[45]Growth_Inputs!M386</f>
        <v>7.6189099544832501</v>
      </c>
      <c r="AB19" s="20">
        <f>[45]Growth_Inputs!M386</f>
        <v>7.6189099544832501</v>
      </c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51</v>
      </c>
      <c r="D20" s="3" t="s">
        <v>116</v>
      </c>
      <c r="E20" s="3" t="s">
        <v>117</v>
      </c>
      <c r="F20" s="3" t="s">
        <v>118</v>
      </c>
      <c r="G20" s="3" t="s">
        <v>119</v>
      </c>
      <c r="H20" s="3" t="s">
        <v>120</v>
      </c>
      <c r="I20" s="3" t="s">
        <v>121</v>
      </c>
      <c r="J20" s="3" t="s">
        <v>122</v>
      </c>
      <c r="K20" s="3" t="s">
        <v>123</v>
      </c>
      <c r="L20" s="3" t="s">
        <v>124</v>
      </c>
      <c r="M20" s="6" t="s">
        <v>124</v>
      </c>
      <c r="N20" s="6" t="s">
        <v>124</v>
      </c>
      <c r="O20" s="6" t="s">
        <v>124</v>
      </c>
      <c r="P20" s="3" t="str">
        <f>'Model names'!C18</f>
        <v>TN</v>
      </c>
      <c r="Q20" s="15">
        <f>[47]Growth_Inputs!E386</f>
        <v>3550</v>
      </c>
      <c r="R20" s="15">
        <f>[47]Growth_Inputs!F386</f>
        <v>5168</v>
      </c>
      <c r="S20" s="15">
        <f>[47]Growth_Inputs!G386</f>
        <v>2184</v>
      </c>
      <c r="T20" s="15">
        <f>[47]Growth_Inputs!H386</f>
        <v>13460</v>
      </c>
      <c r="U20" s="15">
        <f>[47]Growth_Inputs!I386</f>
        <v>4710</v>
      </c>
      <c r="V20" s="15">
        <f>[47]Growth_Inputs!J386</f>
        <v>4379</v>
      </c>
      <c r="W20" s="15">
        <f>[47]Growth_Inputs!K386</f>
        <v>27000</v>
      </c>
      <c r="X20" s="15">
        <f>[47]Growth_Inputs!L386</f>
        <v>9089</v>
      </c>
      <c r="Y20" s="15">
        <f>[47]Growth_Inputs!M386</f>
        <v>5679</v>
      </c>
      <c r="Z20" s="20">
        <f>[47]Growth_Inputs!M386</f>
        <v>5679</v>
      </c>
      <c r="AA20" s="20">
        <f>[47]Growth_Inputs!M386</f>
        <v>5679</v>
      </c>
      <c r="AB20" s="20">
        <f>[47]Growth_Inputs!M386</f>
        <v>5679</v>
      </c>
      <c r="AC20" s="8"/>
      <c r="AG20" s="5"/>
      <c r="AH20" s="5"/>
    </row>
    <row r="21" spans="1:34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51</v>
      </c>
      <c r="D21" s="3" t="s">
        <v>116</v>
      </c>
      <c r="E21" s="3" t="s">
        <v>117</v>
      </c>
      <c r="F21" s="3" t="s">
        <v>118</v>
      </c>
      <c r="G21" s="3" t="s">
        <v>119</v>
      </c>
      <c r="H21" s="3" t="s">
        <v>120</v>
      </c>
      <c r="I21" s="3" t="s">
        <v>121</v>
      </c>
      <c r="J21" s="3" t="s">
        <v>122</v>
      </c>
      <c r="K21" s="3" t="s">
        <v>123</v>
      </c>
      <c r="L21" s="3" t="s">
        <v>124</v>
      </c>
      <c r="M21" s="6" t="s">
        <v>124</v>
      </c>
      <c r="N21" s="6" t="s">
        <v>124</v>
      </c>
      <c r="O21" s="6" t="s">
        <v>124</v>
      </c>
      <c r="P21" s="3" t="str">
        <f>'Model names'!C19</f>
        <v>VA</v>
      </c>
      <c r="Q21" s="15">
        <f>[49]Growth_Inputs!E386</f>
        <v>2202</v>
      </c>
      <c r="R21" s="15">
        <f>[49]Growth_Inputs!F386</f>
        <v>0</v>
      </c>
      <c r="S21" s="15">
        <f>[49]Growth_Inputs!G386</f>
        <v>0</v>
      </c>
      <c r="T21" s="15">
        <f>[49]Growth_Inputs!H386</f>
        <v>0</v>
      </c>
      <c r="U21" s="15">
        <f>[49]Growth_Inputs!I386</f>
        <v>865</v>
      </c>
      <c r="V21" s="15">
        <f>[49]Growth_Inputs!J386</f>
        <v>0</v>
      </c>
      <c r="W21" s="15">
        <f>[49]Growth_Inputs!K386</f>
        <v>0</v>
      </c>
      <c r="X21" s="15">
        <f>[49]Growth_Inputs!L386</f>
        <v>717</v>
      </c>
      <c r="Y21" s="15">
        <f>[49]Growth_Inputs!M386</f>
        <v>0</v>
      </c>
      <c r="Z21" s="20">
        <f>[49]Growth_Inputs!M386</f>
        <v>0</v>
      </c>
      <c r="AA21" s="20">
        <f>[49]Growth_Inputs!M386</f>
        <v>0</v>
      </c>
      <c r="AB21" s="20">
        <f>[49]Growth_Inputs!M386</f>
        <v>0</v>
      </c>
      <c r="AC21" s="8"/>
    </row>
    <row r="22" spans="1:34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51</v>
      </c>
      <c r="D22" s="3" t="s">
        <v>116</v>
      </c>
      <c r="E22" s="3" t="s">
        <v>117</v>
      </c>
      <c r="F22" s="3" t="s">
        <v>118</v>
      </c>
      <c r="G22" s="3" t="s">
        <v>119</v>
      </c>
      <c r="H22" s="3" t="s">
        <v>120</v>
      </c>
      <c r="I22" s="3" t="s">
        <v>121</v>
      </c>
      <c r="J22" s="3" t="s">
        <v>122</v>
      </c>
      <c r="K22" s="3" t="s">
        <v>123</v>
      </c>
      <c r="L22" s="3" t="s">
        <v>124</v>
      </c>
      <c r="M22" s="6" t="s">
        <v>124</v>
      </c>
      <c r="N22" s="6" t="s">
        <v>124</v>
      </c>
      <c r="O22" s="6" t="s">
        <v>124</v>
      </c>
      <c r="P22" s="3" t="str">
        <f>'Model names'!C20</f>
        <v>WV</v>
      </c>
      <c r="Q22" s="15">
        <f>[51]Growth_Inputs!E386</f>
        <v>778.03544978034881</v>
      </c>
      <c r="R22" s="15">
        <f>[51]Growth_Inputs!F386</f>
        <v>2259.0208637624633</v>
      </c>
      <c r="S22" s="15">
        <f>[51]Growth_Inputs!G386</f>
        <v>6800.2438725659767</v>
      </c>
      <c r="T22" s="15">
        <f>[51]Growth_Inputs!H386</f>
        <v>1632.7697504790278</v>
      </c>
      <c r="U22" s="15">
        <f>[51]Growth_Inputs!I386</f>
        <v>1476.6615038636896</v>
      </c>
      <c r="V22" s="15">
        <f>[51]Growth_Inputs!J386</f>
        <v>1396.0110997638553</v>
      </c>
      <c r="W22" s="15">
        <f>[51]Growth_Inputs!K386</f>
        <v>1185.094797244386</v>
      </c>
      <c r="X22" s="15">
        <f>[51]Growth_Inputs!L386</f>
        <v>1262.1647604894329</v>
      </c>
      <c r="Y22" s="15">
        <f>[51]Growth_Inputs!M386</f>
        <v>1205.4432609863982</v>
      </c>
      <c r="Z22" s="20">
        <f>[51]Growth_Inputs!M386</f>
        <v>1205.4432609863982</v>
      </c>
      <c r="AA22" s="20">
        <f>[51]Growth_Inputs!M386</f>
        <v>1205.4432609863982</v>
      </c>
      <c r="AB22" s="20">
        <f>[51]Growth_Inputs!M386</f>
        <v>1205.4432609863982</v>
      </c>
      <c r="AC22" s="8"/>
    </row>
    <row r="23" spans="1:34" hidden="1" outlineLevel="1" x14ac:dyDescent="0.3">
      <c r="A23" s="2" t="str">
        <f t="shared" ref="A23:A33" si="0">IF(B23=0,"",A22)</f>
        <v/>
      </c>
      <c r="B23" s="3">
        <f>'Model names'!B21</f>
        <v>0</v>
      </c>
      <c r="C23" s="3" t="str">
        <f t="shared" ref="C23:C33" si="1">IF(B23=0,"",C22)</f>
        <v/>
      </c>
      <c r="D23" s="3"/>
      <c r="E23" s="3"/>
      <c r="F23" s="3"/>
      <c r="G23" s="3"/>
      <c r="H23" s="3"/>
      <c r="I23" s="3"/>
      <c r="J23" s="3"/>
      <c r="K23" s="3"/>
      <c r="L23" s="3"/>
      <c r="M23" s="6"/>
      <c r="N23" s="6"/>
      <c r="O23" s="6"/>
      <c r="P23" s="18">
        <f>'Model names'!C21</f>
        <v>0</v>
      </c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8"/>
      <c r="AC23" s="8"/>
    </row>
    <row r="24" spans="1:34" hidden="1" outlineLevel="1" x14ac:dyDescent="0.3">
      <c r="A24" s="2" t="e">
        <f t="shared" si="0"/>
        <v>#REF!</v>
      </c>
      <c r="B24" s="3" t="e">
        <f>'Model names'!#REF!</f>
        <v>#REF!</v>
      </c>
      <c r="C24" s="3" t="e">
        <f t="shared" si="1"/>
        <v>#REF!</v>
      </c>
      <c r="D24" s="3"/>
      <c r="E24" s="3"/>
      <c r="F24" s="3"/>
      <c r="G24" s="3"/>
      <c r="H24" s="3"/>
      <c r="I24" s="3"/>
      <c r="J24" s="3"/>
      <c r="K24" s="3"/>
      <c r="L24" s="3"/>
      <c r="M24" s="6"/>
      <c r="N24" s="6"/>
      <c r="O24" s="6"/>
      <c r="P24" s="18" t="e">
        <f>'Model names'!#REF!</f>
        <v>#REF!</v>
      </c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8"/>
      <c r="AC24" s="8"/>
    </row>
    <row r="25" spans="1:34" hidden="1" outlineLevel="1" x14ac:dyDescent="0.3">
      <c r="A25" s="2" t="e">
        <f t="shared" si="0"/>
        <v>#REF!</v>
      </c>
      <c r="B25" s="3" t="e">
        <f>'Model names'!#REF!</f>
        <v>#REF!</v>
      </c>
      <c r="C25" s="3" t="e">
        <f t="shared" si="1"/>
        <v>#REF!</v>
      </c>
      <c r="D25" s="3"/>
      <c r="E25" s="3"/>
      <c r="F25" s="3"/>
      <c r="G25" s="3"/>
      <c r="H25" s="3"/>
      <c r="I25" s="3"/>
      <c r="J25" s="3"/>
      <c r="K25" s="3"/>
      <c r="L25" s="3"/>
      <c r="M25" s="6"/>
      <c r="N25" s="6"/>
      <c r="O25" s="6"/>
      <c r="P25" s="18" t="e">
        <f>'Model names'!#REF!</f>
        <v>#REF!</v>
      </c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8"/>
      <c r="AC25" s="8"/>
    </row>
    <row r="26" spans="1:34" hidden="1" outlineLevel="1" x14ac:dyDescent="0.3">
      <c r="A26" s="2" t="e">
        <f t="shared" si="0"/>
        <v>#REF!</v>
      </c>
      <c r="B26" s="3" t="e">
        <f>'Model names'!#REF!</f>
        <v>#REF!</v>
      </c>
      <c r="C26" s="3" t="e">
        <f t="shared" si="1"/>
        <v>#REF!</v>
      </c>
      <c r="D26" s="3"/>
      <c r="E26" s="3"/>
      <c r="F26" s="3"/>
      <c r="G26" s="3"/>
      <c r="H26" s="3"/>
      <c r="I26" s="3"/>
      <c r="J26" s="3"/>
      <c r="K26" s="3"/>
      <c r="L26" s="3"/>
      <c r="M26" s="6"/>
      <c r="N26" s="6"/>
      <c r="O26" s="6"/>
      <c r="P26" s="18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2" t="e">
        <f t="shared" si="0"/>
        <v>#REF!</v>
      </c>
      <c r="B27" s="3" t="e">
        <f>'Model names'!#REF!</f>
        <v>#REF!</v>
      </c>
      <c r="C27" s="3" t="e">
        <f t="shared" si="1"/>
        <v>#REF!</v>
      </c>
      <c r="D27" s="3"/>
      <c r="E27" s="3"/>
      <c r="F27" s="3"/>
      <c r="G27" s="3"/>
      <c r="H27" s="3"/>
      <c r="I27" s="3"/>
      <c r="J27" s="3"/>
      <c r="K27" s="3"/>
      <c r="L27" s="3"/>
      <c r="M27" s="6"/>
      <c r="N27" s="6"/>
      <c r="O27" s="6"/>
      <c r="P27" s="18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2" t="e">
        <f t="shared" si="0"/>
        <v>#REF!</v>
      </c>
      <c r="B28" s="3" t="e">
        <f>'Model names'!#REF!</f>
        <v>#REF!</v>
      </c>
      <c r="C28" s="3" t="e">
        <f t="shared" si="1"/>
        <v>#REF!</v>
      </c>
      <c r="D28" s="3"/>
      <c r="E28" s="3"/>
      <c r="F28" s="3"/>
      <c r="G28" s="3"/>
      <c r="H28" s="3"/>
      <c r="I28" s="3"/>
      <c r="J28" s="3"/>
      <c r="K28" s="3"/>
      <c r="L28" s="3"/>
      <c r="M28" s="6"/>
      <c r="N28" s="6"/>
      <c r="O28" s="6"/>
      <c r="P28" s="18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2" t="e">
        <f t="shared" si="0"/>
        <v>#REF!</v>
      </c>
      <c r="B29" s="3" t="e">
        <f>'Model names'!#REF!</f>
        <v>#REF!</v>
      </c>
      <c r="C29" s="3" t="e">
        <f t="shared" si="1"/>
        <v>#REF!</v>
      </c>
      <c r="D29" s="3"/>
      <c r="E29" s="3"/>
      <c r="F29" s="3"/>
      <c r="G29" s="3"/>
      <c r="H29" s="3"/>
      <c r="I29" s="3"/>
      <c r="J29" s="3"/>
      <c r="K29" s="3"/>
      <c r="L29" s="3"/>
      <c r="M29" s="6"/>
      <c r="N29" s="6"/>
      <c r="O29" s="6"/>
      <c r="P29" s="18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2" t="e">
        <f t="shared" si="0"/>
        <v>#REF!</v>
      </c>
      <c r="B30" s="3" t="e">
        <f>'Model names'!#REF!</f>
        <v>#REF!</v>
      </c>
      <c r="C30" s="3" t="e">
        <f t="shared" si="1"/>
        <v>#REF!</v>
      </c>
      <c r="D30" s="3"/>
      <c r="E30" s="3"/>
      <c r="F30" s="3"/>
      <c r="G30" s="3"/>
      <c r="H30" s="3"/>
      <c r="I30" s="3"/>
      <c r="J30" s="3"/>
      <c r="K30" s="3"/>
      <c r="L30" s="3"/>
      <c r="M30" s="6"/>
      <c r="N30" s="6"/>
      <c r="O30" s="6"/>
      <c r="P30" s="18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2" t="e">
        <f t="shared" si="0"/>
        <v>#REF!</v>
      </c>
      <c r="B31" s="3" t="e">
        <f>'Model names'!#REF!</f>
        <v>#REF!</v>
      </c>
      <c r="C31" s="3" t="e">
        <f t="shared" si="1"/>
        <v>#REF!</v>
      </c>
      <c r="D31" s="3"/>
      <c r="E31" s="3"/>
      <c r="F31" s="3"/>
      <c r="G31" s="3"/>
      <c r="H31" s="3"/>
      <c r="I31" s="3"/>
      <c r="J31" s="3"/>
      <c r="K31" s="3"/>
      <c r="L31" s="3"/>
      <c r="M31" s="6"/>
      <c r="N31" s="6"/>
      <c r="O31" s="6"/>
      <c r="P31" s="18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2" t="e">
        <f t="shared" si="0"/>
        <v>#REF!</v>
      </c>
      <c r="B32" s="3" t="e">
        <f>'Model names'!#REF!</f>
        <v>#REF!</v>
      </c>
      <c r="C32" s="3" t="e">
        <f t="shared" si="1"/>
        <v>#REF!</v>
      </c>
      <c r="D32" s="3"/>
      <c r="E32" s="3"/>
      <c r="F32" s="3"/>
      <c r="G32" s="3"/>
      <c r="H32" s="3"/>
      <c r="I32" s="3"/>
      <c r="J32" s="3"/>
      <c r="K32" s="3"/>
      <c r="L32" s="3"/>
      <c r="M32" s="6"/>
      <c r="N32" s="6"/>
      <c r="O32" s="6"/>
      <c r="P32" s="18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2" t="e">
        <f t="shared" si="0"/>
        <v>#REF!</v>
      </c>
      <c r="B33" s="3" t="e">
        <f>'Model names'!#REF!</f>
        <v>#REF!</v>
      </c>
      <c r="C33" s="3" t="e">
        <f t="shared" si="1"/>
        <v>#REF!</v>
      </c>
      <c r="D33" s="3"/>
      <c r="E33" s="3"/>
      <c r="F33" s="3"/>
      <c r="G33" s="3"/>
      <c r="H33" s="3"/>
      <c r="I33" s="3"/>
      <c r="J33" s="3"/>
      <c r="K33" s="3"/>
      <c r="L33" s="3"/>
      <c r="M33" s="6"/>
      <c r="N33" s="6"/>
      <c r="O33" s="6"/>
      <c r="P33" s="18" t="e">
        <f>'Model names'!#REF!</f>
        <v>#REF!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30" priority="3" operator="equal">
      <formula>"On"</formula>
    </cfRule>
  </conditionalFormatting>
  <conditionalFormatting sqref="V21:AA23">
    <cfRule type="cellIs" dxfId="29" priority="2" operator="equal">
      <formula>"On"</formula>
    </cfRule>
  </conditionalFormatting>
  <conditionalFormatting sqref="R21:R23">
    <cfRule type="cellIs" dxfId="28" priority="1" operator="equal">
      <formula>"On"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27649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27649" r:id="rId4" name="CommandButton2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FC000"/>
  </sheetPr>
  <dimension ref="A1:AH40"/>
  <sheetViews>
    <sheetView topLeftCell="C1" zoomScale="70" zoomScaleNormal="70" workbookViewId="0">
      <selection activeCell="Q5" sqref="Q5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21.10937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5</v>
      </c>
      <c r="P2" s="1">
        <v>5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 t="s">
        <v>191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61</v>
      </c>
      <c r="D4" s="3" t="s">
        <v>215</v>
      </c>
      <c r="E4" s="6" t="s">
        <v>215</v>
      </c>
      <c r="F4" s="6" t="s">
        <v>215</v>
      </c>
      <c r="G4" s="6" t="s">
        <v>215</v>
      </c>
      <c r="H4" s="6" t="s">
        <v>215</v>
      </c>
      <c r="I4" s="6" t="s">
        <v>215</v>
      </c>
      <c r="J4" s="6" t="s">
        <v>215</v>
      </c>
      <c r="K4" s="6" t="s">
        <v>215</v>
      </c>
      <c r="L4" s="6" t="s">
        <v>215</v>
      </c>
      <c r="M4" s="6" t="s">
        <v>215</v>
      </c>
      <c r="N4" s="6" t="s">
        <v>215</v>
      </c>
      <c r="O4" s="6" t="s">
        <v>215</v>
      </c>
      <c r="P4" s="3" t="str">
        <f>'Model names'!C2</f>
        <v>BFW</v>
      </c>
      <c r="Q4" s="8">
        <f>[15]Growth_Reports!C532</f>
        <v>0</v>
      </c>
      <c r="R4" s="7">
        <f>[15]Growth_Reports!C532</f>
        <v>0</v>
      </c>
      <c r="S4" s="7">
        <f>[15]Growth_Reports!C532</f>
        <v>0</v>
      </c>
      <c r="T4" s="7">
        <f>[15]Growth_Reports!C532</f>
        <v>0</v>
      </c>
      <c r="U4" s="7">
        <f>[15]Growth_Reports!C532</f>
        <v>0</v>
      </c>
      <c r="V4" s="7"/>
      <c r="W4" s="7"/>
      <c r="X4" s="7"/>
      <c r="Y4" s="7"/>
      <c r="Z4" s="7"/>
      <c r="AA4" s="7"/>
      <c r="AB4" s="7"/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61</v>
      </c>
      <c r="D5" s="3" t="s">
        <v>215</v>
      </c>
      <c r="E5" s="6" t="s">
        <v>215</v>
      </c>
      <c r="F5" s="6" t="s">
        <v>215</v>
      </c>
      <c r="G5" s="6" t="s">
        <v>215</v>
      </c>
      <c r="H5" s="6" t="s">
        <v>215</v>
      </c>
      <c r="I5" s="6" t="s">
        <v>215</v>
      </c>
      <c r="J5" s="6" t="s">
        <v>215</v>
      </c>
      <c r="K5" s="6" t="s">
        <v>215</v>
      </c>
      <c r="L5" s="6" t="s">
        <v>215</v>
      </c>
      <c r="M5" s="6" t="s">
        <v>215</v>
      </c>
      <c r="N5" s="6" t="s">
        <v>215</v>
      </c>
      <c r="O5" s="6" t="s">
        <v>215</v>
      </c>
      <c r="P5" s="3" t="str">
        <f>'Model names'!C3</f>
        <v>CA</v>
      </c>
      <c r="Q5" s="8">
        <f>[17]Growth_Reports!C532</f>
        <v>-8.7675289250910282E-10</v>
      </c>
      <c r="R5" s="7">
        <f>[17]Growth_Reports!C532</f>
        <v>-8.7675289250910282E-10</v>
      </c>
      <c r="S5" s="7">
        <f>[17]Growth_Reports!C532</f>
        <v>-8.7675289250910282E-10</v>
      </c>
      <c r="T5" s="7">
        <f>[17]Growth_Reports!C532</f>
        <v>-8.7675289250910282E-10</v>
      </c>
      <c r="U5" s="7">
        <f>[17]Growth_Reports!C532</f>
        <v>-8.7675289250910282E-10</v>
      </c>
      <c r="V5" s="7"/>
      <c r="W5" s="7"/>
      <c r="X5" s="7"/>
      <c r="Y5" s="7"/>
      <c r="Z5" s="7"/>
      <c r="AA5" s="7"/>
      <c r="AB5" s="7"/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61</v>
      </c>
      <c r="D6" s="3" t="s">
        <v>215</v>
      </c>
      <c r="E6" s="6" t="s">
        <v>215</v>
      </c>
      <c r="F6" s="6" t="s">
        <v>215</v>
      </c>
      <c r="G6" s="6" t="s">
        <v>215</v>
      </c>
      <c r="H6" s="6" t="s">
        <v>215</v>
      </c>
      <c r="I6" s="6" t="s">
        <v>215</v>
      </c>
      <c r="J6" s="6" t="s">
        <v>215</v>
      </c>
      <c r="K6" s="6" t="s">
        <v>215</v>
      </c>
      <c r="L6" s="6" t="s">
        <v>215</v>
      </c>
      <c r="M6" s="6" t="s">
        <v>215</v>
      </c>
      <c r="N6" s="6" t="s">
        <v>215</v>
      </c>
      <c r="O6" s="6" t="s">
        <v>215</v>
      </c>
      <c r="P6" s="3" t="str">
        <f>'Model names'!C4</f>
        <v>ETS</v>
      </c>
      <c r="Q6" s="8">
        <f>[19]Growth_Reports!C532</f>
        <v>0</v>
      </c>
      <c r="R6" s="7">
        <f>[19]Growth_Reports!C532</f>
        <v>0</v>
      </c>
      <c r="S6" s="7">
        <f>[19]Growth_Reports!C532</f>
        <v>0</v>
      </c>
      <c r="T6" s="7">
        <f>[19]Growth_Reports!C532</f>
        <v>0</v>
      </c>
      <c r="U6" s="7">
        <f>[19]Growth_Reports!C532</f>
        <v>0</v>
      </c>
      <c r="V6" s="7"/>
      <c r="W6" s="7"/>
      <c r="X6" s="7"/>
      <c r="Y6" s="7"/>
      <c r="Z6" s="7"/>
      <c r="AA6" s="7"/>
      <c r="AB6" s="7"/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61</v>
      </c>
      <c r="D7" s="3" t="s">
        <v>215</v>
      </c>
      <c r="E7" s="6" t="s">
        <v>215</v>
      </c>
      <c r="F7" s="6" t="s">
        <v>215</v>
      </c>
      <c r="G7" s="6" t="s">
        <v>215</v>
      </c>
      <c r="H7" s="6" t="s">
        <v>215</v>
      </c>
      <c r="I7" s="6" t="s">
        <v>215</v>
      </c>
      <c r="J7" s="6" t="s">
        <v>215</v>
      </c>
      <c r="K7" s="6" t="s">
        <v>215</v>
      </c>
      <c r="L7" s="6" t="s">
        <v>215</v>
      </c>
      <c r="M7" s="6" t="s">
        <v>215</v>
      </c>
      <c r="N7" s="6" t="s">
        <v>215</v>
      </c>
      <c r="O7" s="6" t="s">
        <v>215</v>
      </c>
      <c r="P7" s="3" t="str">
        <f>'Model names'!C5</f>
        <v>HI</v>
      </c>
      <c r="Q7" s="8">
        <f>[21]Growth_Reports!C532</f>
        <v>0</v>
      </c>
      <c r="R7" s="7">
        <f>[21]Growth_Reports!C532</f>
        <v>0</v>
      </c>
      <c r="S7" s="7">
        <f>[21]Growth_Reports!C532</f>
        <v>0</v>
      </c>
      <c r="T7" s="7">
        <f>[21]Growth_Reports!C532</f>
        <v>0</v>
      </c>
      <c r="U7" s="7">
        <f>[21]Growth_Reports!C532</f>
        <v>0</v>
      </c>
      <c r="V7" s="7"/>
      <c r="W7" s="7"/>
      <c r="X7" s="7"/>
      <c r="Y7" s="7"/>
      <c r="Z7" s="7"/>
      <c r="AA7" s="7"/>
      <c r="AB7" s="7"/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61</v>
      </c>
      <c r="D8" s="3" t="s">
        <v>215</v>
      </c>
      <c r="E8" s="6" t="s">
        <v>215</v>
      </c>
      <c r="F8" s="6" t="s">
        <v>215</v>
      </c>
      <c r="G8" s="6" t="s">
        <v>215</v>
      </c>
      <c r="H8" s="6" t="s">
        <v>215</v>
      </c>
      <c r="I8" s="6" t="s">
        <v>215</v>
      </c>
      <c r="J8" s="6" t="s">
        <v>215</v>
      </c>
      <c r="K8" s="6" t="s">
        <v>215</v>
      </c>
      <c r="L8" s="6" t="s">
        <v>215</v>
      </c>
      <c r="M8" s="6" t="s">
        <v>215</v>
      </c>
      <c r="N8" s="6" t="s">
        <v>215</v>
      </c>
      <c r="O8" s="6" t="s">
        <v>215</v>
      </c>
      <c r="P8" s="3" t="str">
        <f>'Model names'!C6</f>
        <v>IA</v>
      </c>
      <c r="Q8" s="8">
        <f>[23]Growth_Reports!C532</f>
        <v>266.79734186799487</v>
      </c>
      <c r="R8" s="7">
        <f>[23]Growth_Reports!C532</f>
        <v>266.79734186799487</v>
      </c>
      <c r="S8" s="7">
        <f>[23]Growth_Reports!C532</f>
        <v>266.79734186799487</v>
      </c>
      <c r="T8" s="7">
        <f>[23]Growth_Reports!C532</f>
        <v>266.79734186799487</v>
      </c>
      <c r="U8" s="7">
        <f>[23]Growth_Reports!C532</f>
        <v>266.79734186799487</v>
      </c>
      <c r="V8" s="7"/>
      <c r="W8" s="7"/>
      <c r="X8" s="7"/>
      <c r="Y8" s="7"/>
      <c r="Z8" s="7"/>
      <c r="AA8" s="7"/>
      <c r="AB8" s="7"/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61</v>
      </c>
      <c r="D9" s="3" t="s">
        <v>215</v>
      </c>
      <c r="E9" s="6" t="s">
        <v>215</v>
      </c>
      <c r="F9" s="6" t="s">
        <v>215</v>
      </c>
      <c r="G9" s="6" t="s">
        <v>215</v>
      </c>
      <c r="H9" s="6" t="s">
        <v>215</v>
      </c>
      <c r="I9" s="6" t="s">
        <v>215</v>
      </c>
      <c r="J9" s="6" t="s">
        <v>215</v>
      </c>
      <c r="K9" s="6" t="s">
        <v>215</v>
      </c>
      <c r="L9" s="6" t="s">
        <v>215</v>
      </c>
      <c r="M9" s="6" t="s">
        <v>215</v>
      </c>
      <c r="N9" s="6" t="s">
        <v>215</v>
      </c>
      <c r="O9" s="6" t="s">
        <v>215</v>
      </c>
      <c r="P9" s="3" t="str">
        <f>'Model names'!C7</f>
        <v>IL</v>
      </c>
      <c r="Q9" s="8">
        <f>[25]Growth_Reports!C532</f>
        <v>-1.0000017937272787E-5</v>
      </c>
      <c r="R9" s="7">
        <f>[25]Growth_Reports!C532</f>
        <v>-1.0000017937272787E-5</v>
      </c>
      <c r="S9" s="7">
        <f>[25]Growth_Reports!C532</f>
        <v>-1.0000017937272787E-5</v>
      </c>
      <c r="T9" s="7">
        <f>[25]Growth_Reports!C532</f>
        <v>-1.0000017937272787E-5</v>
      </c>
      <c r="U9" s="7">
        <f>[25]Growth_Reports!C532</f>
        <v>-1.0000017937272787E-5</v>
      </c>
      <c r="V9" s="7"/>
      <c r="W9" s="7"/>
      <c r="X9" s="7"/>
      <c r="Y9" s="7"/>
      <c r="Z9" s="7"/>
      <c r="AA9" s="7"/>
      <c r="AB9" s="7"/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61</v>
      </c>
      <c r="D10" s="3" t="s">
        <v>215</v>
      </c>
      <c r="E10" s="6" t="s">
        <v>215</v>
      </c>
      <c r="F10" s="6" t="s">
        <v>215</v>
      </c>
      <c r="G10" s="6" t="s">
        <v>215</v>
      </c>
      <c r="H10" s="6" t="s">
        <v>215</v>
      </c>
      <c r="I10" s="6" t="s">
        <v>215</v>
      </c>
      <c r="J10" s="6" t="s">
        <v>215</v>
      </c>
      <c r="K10" s="6" t="s">
        <v>215</v>
      </c>
      <c r="L10" s="6" t="s">
        <v>215</v>
      </c>
      <c r="M10" s="6" t="s">
        <v>215</v>
      </c>
      <c r="N10" s="6" t="s">
        <v>215</v>
      </c>
      <c r="O10" s="6" t="s">
        <v>215</v>
      </c>
      <c r="P10" s="3" t="str">
        <f>'Model names'!C8</f>
        <v>IN</v>
      </c>
      <c r="Q10" s="8">
        <f>[27]Growth_Reports!C532</f>
        <v>0</v>
      </c>
      <c r="R10" s="7">
        <f>[27]Growth_Reports!C532</f>
        <v>0</v>
      </c>
      <c r="S10" s="7">
        <f>[27]Growth_Reports!C532</f>
        <v>0</v>
      </c>
      <c r="T10" s="7">
        <f>[27]Growth_Reports!C532</f>
        <v>0</v>
      </c>
      <c r="U10" s="7">
        <f>[27]Growth_Reports!C532</f>
        <v>0</v>
      </c>
      <c r="V10" s="7"/>
      <c r="W10" s="7"/>
      <c r="X10" s="7"/>
      <c r="Y10" s="7"/>
      <c r="Z10" s="7"/>
      <c r="AA10" s="7"/>
      <c r="AB10" s="7"/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61</v>
      </c>
      <c r="D11" s="3" t="s">
        <v>215</v>
      </c>
      <c r="E11" s="6" t="s">
        <v>215</v>
      </c>
      <c r="F11" s="6" t="s">
        <v>215</v>
      </c>
      <c r="G11" s="6" t="s">
        <v>215</v>
      </c>
      <c r="H11" s="6" t="s">
        <v>215</v>
      </c>
      <c r="I11" s="6" t="s">
        <v>215</v>
      </c>
      <c r="J11" s="6" t="s">
        <v>215</v>
      </c>
      <c r="K11" s="6" t="s">
        <v>215</v>
      </c>
      <c r="L11" s="6" t="s">
        <v>215</v>
      </c>
      <c r="M11" s="6" t="s">
        <v>215</v>
      </c>
      <c r="N11" s="6" t="s">
        <v>215</v>
      </c>
      <c r="O11" s="6" t="s">
        <v>215</v>
      </c>
      <c r="P11" s="3" t="str">
        <f>'Model names'!C9</f>
        <v>KY</v>
      </c>
      <c r="Q11" s="8">
        <f>[29]Growth_Reports!C532</f>
        <v>-3.9419319364242256E-7</v>
      </c>
      <c r="R11" s="7">
        <f>[29]Growth_Reports!C532</f>
        <v>-3.9419319364242256E-7</v>
      </c>
      <c r="S11" s="7">
        <f>[29]Growth_Reports!C532</f>
        <v>-3.9419319364242256E-7</v>
      </c>
      <c r="T11" s="7">
        <f>[29]Growth_Reports!C532</f>
        <v>-3.9419319364242256E-7</v>
      </c>
      <c r="U11" s="7">
        <f>[29]Growth_Reports!C532</f>
        <v>-3.9419319364242256E-7</v>
      </c>
      <c r="V11" s="7"/>
      <c r="W11" s="7"/>
      <c r="X11" s="7"/>
      <c r="Y11" s="7"/>
      <c r="Z11" s="7"/>
      <c r="AA11" s="7"/>
      <c r="AB11" s="7"/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61</v>
      </c>
      <c r="D12" s="3" t="s">
        <v>215</v>
      </c>
      <c r="E12" s="6" t="s">
        <v>215</v>
      </c>
      <c r="F12" s="6" t="s">
        <v>215</v>
      </c>
      <c r="G12" s="6" t="s">
        <v>215</v>
      </c>
      <c r="H12" s="6" t="s">
        <v>215</v>
      </c>
      <c r="I12" s="6" t="s">
        <v>215</v>
      </c>
      <c r="J12" s="6" t="s">
        <v>215</v>
      </c>
      <c r="K12" s="6" t="s">
        <v>215</v>
      </c>
      <c r="L12" s="6" t="s">
        <v>215</v>
      </c>
      <c r="M12" s="6" t="s">
        <v>215</v>
      </c>
      <c r="N12" s="6" t="s">
        <v>215</v>
      </c>
      <c r="O12" s="6" t="s">
        <v>215</v>
      </c>
      <c r="P12" s="3" t="str">
        <f>'Model names'!C10</f>
        <v>Liberty</v>
      </c>
      <c r="Q12" s="8">
        <f>[31]Growth_Reports!C532</f>
        <v>0</v>
      </c>
      <c r="R12" s="7">
        <f>[31]Growth_Reports!C532</f>
        <v>0</v>
      </c>
      <c r="S12" s="7">
        <f>[31]Growth_Reports!C532</f>
        <v>0</v>
      </c>
      <c r="T12" s="7">
        <f>[31]Growth_Reports!C532</f>
        <v>0</v>
      </c>
      <c r="U12" s="7">
        <f>[31]Growth_Reports!C532</f>
        <v>0</v>
      </c>
      <c r="V12" s="7"/>
      <c r="W12" s="7"/>
      <c r="X12" s="7"/>
      <c r="Y12" s="7"/>
      <c r="Z12" s="7"/>
      <c r="AA12" s="7"/>
      <c r="AB12" s="7"/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61</v>
      </c>
      <c r="D13" s="3" t="s">
        <v>215</v>
      </c>
      <c r="E13" s="6" t="s">
        <v>215</v>
      </c>
      <c r="F13" s="6" t="s">
        <v>215</v>
      </c>
      <c r="G13" s="6" t="s">
        <v>215</v>
      </c>
      <c r="H13" s="6" t="s">
        <v>215</v>
      </c>
      <c r="I13" s="6" t="s">
        <v>215</v>
      </c>
      <c r="J13" s="6" t="s">
        <v>215</v>
      </c>
      <c r="K13" s="6" t="s">
        <v>215</v>
      </c>
      <c r="L13" s="6" t="s">
        <v>215</v>
      </c>
      <c r="M13" s="6" t="s">
        <v>215</v>
      </c>
      <c r="N13" s="6" t="s">
        <v>215</v>
      </c>
      <c r="O13" s="6" t="s">
        <v>215</v>
      </c>
      <c r="P13" s="3" t="str">
        <f>'Model names'!C11</f>
        <v>LW</v>
      </c>
      <c r="Q13" s="8">
        <f>[33]Growth_Reports!C532</f>
        <v>0</v>
      </c>
      <c r="R13" s="7">
        <f>[33]Growth_Reports!C532</f>
        <v>0</v>
      </c>
      <c r="S13" s="7">
        <f>[33]Growth_Reports!C532</f>
        <v>0</v>
      </c>
      <c r="T13" s="7">
        <f>[33]Growth_Reports!C532</f>
        <v>0</v>
      </c>
      <c r="U13" s="7">
        <f>[33]Growth_Reports!C532</f>
        <v>0</v>
      </c>
      <c r="V13" s="7"/>
      <c r="W13" s="7"/>
      <c r="X13" s="7"/>
      <c r="Y13" s="7"/>
      <c r="Z13" s="7"/>
      <c r="AA13" s="7"/>
      <c r="AB13" s="7"/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61</v>
      </c>
      <c r="D14" s="3" t="s">
        <v>215</v>
      </c>
      <c r="E14" s="6" t="s">
        <v>215</v>
      </c>
      <c r="F14" s="6" t="s">
        <v>215</v>
      </c>
      <c r="G14" s="6" t="s">
        <v>215</v>
      </c>
      <c r="H14" s="6" t="s">
        <v>215</v>
      </c>
      <c r="I14" s="6" t="s">
        <v>215</v>
      </c>
      <c r="J14" s="6" t="s">
        <v>215</v>
      </c>
      <c r="K14" s="6" t="s">
        <v>215</v>
      </c>
      <c r="L14" s="6" t="s">
        <v>215</v>
      </c>
      <c r="M14" s="6" t="s">
        <v>215</v>
      </c>
      <c r="N14" s="6" t="s">
        <v>215</v>
      </c>
      <c r="O14" s="6" t="s">
        <v>215</v>
      </c>
      <c r="P14" s="3" t="str">
        <f>'Model names'!C12</f>
        <v>MD</v>
      </c>
      <c r="Q14" s="8">
        <f>[35]Growth_Reports!C532</f>
        <v>2.5863755581667647E-12</v>
      </c>
      <c r="R14" s="7">
        <f>[35]Growth_Reports!C532</f>
        <v>2.5863755581667647E-12</v>
      </c>
      <c r="S14" s="7">
        <f>[35]Growth_Reports!C532</f>
        <v>2.5863755581667647E-12</v>
      </c>
      <c r="T14" s="7">
        <f>[35]Growth_Reports!C532</f>
        <v>2.5863755581667647E-12</v>
      </c>
      <c r="U14" s="7">
        <f>[35]Growth_Reports!C532</f>
        <v>2.5863755581667647E-12</v>
      </c>
      <c r="V14" s="7"/>
      <c r="W14" s="7"/>
      <c r="X14" s="7"/>
      <c r="Y14" s="7"/>
      <c r="Z14" s="7"/>
      <c r="AA14" s="7"/>
      <c r="AB14" s="7"/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61</v>
      </c>
      <c r="D15" s="3" t="s">
        <v>215</v>
      </c>
      <c r="E15" s="6" t="s">
        <v>215</v>
      </c>
      <c r="F15" s="6" t="s">
        <v>215</v>
      </c>
      <c r="G15" s="6" t="s">
        <v>215</v>
      </c>
      <c r="H15" s="6" t="s">
        <v>215</v>
      </c>
      <c r="I15" s="6" t="s">
        <v>215</v>
      </c>
      <c r="J15" s="6" t="s">
        <v>215</v>
      </c>
      <c r="K15" s="6" t="s">
        <v>215</v>
      </c>
      <c r="L15" s="6" t="s">
        <v>215</v>
      </c>
      <c r="M15" s="6" t="s">
        <v>215</v>
      </c>
      <c r="N15" s="6" t="s">
        <v>215</v>
      </c>
      <c r="O15" s="6" t="s">
        <v>215</v>
      </c>
      <c r="P15" s="3" t="str">
        <f>'Model names'!C13</f>
        <v>MI</v>
      </c>
      <c r="Q15" s="8">
        <f>[37]Growth_Reports!C532</f>
        <v>0</v>
      </c>
      <c r="R15" s="7">
        <f>[37]Growth_Reports!C532</f>
        <v>0</v>
      </c>
      <c r="S15" s="7">
        <f>[37]Growth_Reports!C532</f>
        <v>0</v>
      </c>
      <c r="T15" s="7">
        <f>[37]Growth_Reports!C532</f>
        <v>0</v>
      </c>
      <c r="U15" s="7">
        <f>[37]Growth_Reports!C532</f>
        <v>0</v>
      </c>
      <c r="V15" s="7"/>
      <c r="W15" s="7"/>
      <c r="X15" s="7"/>
      <c r="Y15" s="7"/>
      <c r="Z15" s="7"/>
      <c r="AA15" s="7"/>
      <c r="AB15" s="7"/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61</v>
      </c>
      <c r="D16" s="3" t="s">
        <v>215</v>
      </c>
      <c r="E16" s="6" t="s">
        <v>215</v>
      </c>
      <c r="F16" s="6" t="s">
        <v>215</v>
      </c>
      <c r="G16" s="6" t="s">
        <v>215</v>
      </c>
      <c r="H16" s="6" t="s">
        <v>215</v>
      </c>
      <c r="I16" s="6" t="s">
        <v>215</v>
      </c>
      <c r="J16" s="6" t="s">
        <v>215</v>
      </c>
      <c r="K16" s="6" t="s">
        <v>215</v>
      </c>
      <c r="L16" s="6" t="s">
        <v>215</v>
      </c>
      <c r="M16" s="6" t="s">
        <v>215</v>
      </c>
      <c r="N16" s="6" t="s">
        <v>215</v>
      </c>
      <c r="O16" s="6" t="s">
        <v>215</v>
      </c>
      <c r="P16" s="3" t="str">
        <f>'Model names'!C14</f>
        <v>MO</v>
      </c>
      <c r="Q16" s="8">
        <f>[39]Growth_Reports!C532</f>
        <v>0.99999999999636202</v>
      </c>
      <c r="R16" s="7">
        <f>[39]Growth_Reports!C532</f>
        <v>0.99999999999636202</v>
      </c>
      <c r="S16" s="7">
        <f>[39]Growth_Reports!C532</f>
        <v>0.99999999999636202</v>
      </c>
      <c r="T16" s="7">
        <f>[39]Growth_Reports!C532</f>
        <v>0.99999999999636202</v>
      </c>
      <c r="U16" s="7">
        <f>[39]Growth_Reports!C532</f>
        <v>0.99999999999636202</v>
      </c>
      <c r="V16" s="7"/>
      <c r="W16" s="7"/>
      <c r="X16" s="7"/>
      <c r="Y16" s="7"/>
      <c r="Z16" s="7"/>
      <c r="AA16" s="7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61</v>
      </c>
      <c r="D17" s="3" t="s">
        <v>215</v>
      </c>
      <c r="E17" s="6" t="s">
        <v>215</v>
      </c>
      <c r="F17" s="6" t="s">
        <v>215</v>
      </c>
      <c r="G17" s="6" t="s">
        <v>215</v>
      </c>
      <c r="H17" s="6" t="s">
        <v>215</v>
      </c>
      <c r="I17" s="6" t="s">
        <v>215</v>
      </c>
      <c r="J17" s="6" t="s">
        <v>215</v>
      </c>
      <c r="K17" s="6" t="s">
        <v>215</v>
      </c>
      <c r="L17" s="6" t="s">
        <v>215</v>
      </c>
      <c r="M17" s="6" t="s">
        <v>215</v>
      </c>
      <c r="N17" s="6" t="s">
        <v>215</v>
      </c>
      <c r="O17" s="6" t="s">
        <v>215</v>
      </c>
      <c r="P17" s="3" t="str">
        <f>'Model names'!C15</f>
        <v>NJ</v>
      </c>
      <c r="Q17" s="8">
        <f>[41]Growth_Reports!C532</f>
        <v>2168.2276358599502</v>
      </c>
      <c r="R17" s="7">
        <f>[41]Growth_Reports!C532</f>
        <v>2168.2276358599502</v>
      </c>
      <c r="S17" s="7">
        <f>[41]Growth_Reports!C532</f>
        <v>2168.2276358599502</v>
      </c>
      <c r="T17" s="7">
        <f>[41]Growth_Reports!C532</f>
        <v>2168.2276358599502</v>
      </c>
      <c r="U17" s="7">
        <f>[41]Growth_Reports!C532</f>
        <v>2168.2276358599502</v>
      </c>
      <c r="V17" s="7"/>
      <c r="W17" s="7"/>
      <c r="X17" s="7"/>
      <c r="Y17" s="7"/>
      <c r="Z17" s="7"/>
      <c r="AA17" s="7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61</v>
      </c>
      <c r="D18" s="3" t="s">
        <v>215</v>
      </c>
      <c r="E18" s="6" t="s">
        <v>215</v>
      </c>
      <c r="F18" s="6" t="s">
        <v>215</v>
      </c>
      <c r="G18" s="6" t="s">
        <v>215</v>
      </c>
      <c r="H18" s="6" t="s">
        <v>215</v>
      </c>
      <c r="I18" s="6" t="s">
        <v>215</v>
      </c>
      <c r="J18" s="6" t="s">
        <v>215</v>
      </c>
      <c r="K18" s="6" t="s">
        <v>215</v>
      </c>
      <c r="L18" s="6" t="s">
        <v>215</v>
      </c>
      <c r="M18" s="6" t="s">
        <v>215</v>
      </c>
      <c r="N18" s="6" t="s">
        <v>215</v>
      </c>
      <c r="O18" s="6" t="s">
        <v>215</v>
      </c>
      <c r="P18" s="3" t="str">
        <f>'Model names'!C16</f>
        <v>NY</v>
      </c>
      <c r="Q18" s="8">
        <f>[43]Growth_Reports!C532</f>
        <v>-0.25143539630806799</v>
      </c>
      <c r="R18" s="7">
        <f>[43]Growth_Reports!C532</f>
        <v>-0.25143539630806799</v>
      </c>
      <c r="S18" s="7">
        <f>[43]Growth_Reports!C532</f>
        <v>-0.25143539630806799</v>
      </c>
      <c r="T18" s="7">
        <f>[43]Growth_Reports!C532</f>
        <v>-0.25143539630806799</v>
      </c>
      <c r="U18" s="7">
        <f>[43]Growth_Reports!C532</f>
        <v>-0.25143539630806799</v>
      </c>
      <c r="V18" s="7"/>
      <c r="W18" s="7"/>
      <c r="X18" s="7"/>
      <c r="Y18" s="7"/>
      <c r="Z18" s="7"/>
      <c r="AA18" s="7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61</v>
      </c>
      <c r="D19" s="3" t="s">
        <v>215</v>
      </c>
      <c r="E19" s="6" t="s">
        <v>215</v>
      </c>
      <c r="F19" s="6" t="s">
        <v>215</v>
      </c>
      <c r="G19" s="6" t="s">
        <v>215</v>
      </c>
      <c r="H19" s="6" t="s">
        <v>215</v>
      </c>
      <c r="I19" s="6" t="s">
        <v>215</v>
      </c>
      <c r="J19" s="6" t="s">
        <v>215</v>
      </c>
      <c r="K19" s="6" t="s">
        <v>215</v>
      </c>
      <c r="L19" s="6" t="s">
        <v>215</v>
      </c>
      <c r="M19" s="6" t="s">
        <v>215</v>
      </c>
      <c r="N19" s="6" t="s">
        <v>215</v>
      </c>
      <c r="O19" s="6" t="s">
        <v>215</v>
      </c>
      <c r="P19" s="3" t="str">
        <f>'Model names'!C17</f>
        <v>PA</v>
      </c>
      <c r="Q19" s="8">
        <f>[45]Growth_Reports!C532</f>
        <v>-1.5877519627392758</v>
      </c>
      <c r="R19" s="7">
        <f>[45]Growth_Reports!C532</f>
        <v>-1.5877519627392758</v>
      </c>
      <c r="S19" s="7">
        <f>[45]Growth_Reports!C532</f>
        <v>-1.5877519627392758</v>
      </c>
      <c r="T19" s="7">
        <f>[45]Growth_Reports!C532</f>
        <v>-1.5877519627392758</v>
      </c>
      <c r="U19" s="7">
        <f>[45]Growth_Reports!C532</f>
        <v>-1.5877519627392758</v>
      </c>
      <c r="V19" s="7"/>
      <c r="W19" s="7"/>
      <c r="X19" s="7"/>
      <c r="Y19" s="7"/>
      <c r="Z19" s="7"/>
      <c r="AA19" s="7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61</v>
      </c>
      <c r="D20" s="3" t="s">
        <v>215</v>
      </c>
      <c r="E20" s="6" t="s">
        <v>215</v>
      </c>
      <c r="F20" s="6" t="s">
        <v>215</v>
      </c>
      <c r="G20" s="6" t="s">
        <v>215</v>
      </c>
      <c r="H20" s="6" t="s">
        <v>215</v>
      </c>
      <c r="I20" s="6" t="s">
        <v>215</v>
      </c>
      <c r="J20" s="6" t="s">
        <v>215</v>
      </c>
      <c r="K20" s="6" t="s">
        <v>215</v>
      </c>
      <c r="L20" s="6" t="s">
        <v>215</v>
      </c>
      <c r="M20" s="6" t="s">
        <v>215</v>
      </c>
      <c r="N20" s="6" t="s">
        <v>215</v>
      </c>
      <c r="O20" s="6" t="s">
        <v>215</v>
      </c>
      <c r="P20" s="3" t="str">
        <f>'Model names'!C18</f>
        <v>TN</v>
      </c>
      <c r="Q20" s="8">
        <f>[47]Growth_Reports!C532</f>
        <v>2.2230378817766905E-6</v>
      </c>
      <c r="R20" s="7">
        <f>[47]Growth_Reports!C532</f>
        <v>2.2230378817766905E-6</v>
      </c>
      <c r="S20" s="7">
        <f>[47]Growth_Reports!C532</f>
        <v>2.2230378817766905E-6</v>
      </c>
      <c r="T20" s="7">
        <f>[47]Growth_Reports!C532</f>
        <v>2.2230378817766905E-6</v>
      </c>
      <c r="U20" s="7">
        <f>[47]Growth_Reports!C532</f>
        <v>2.2230378817766905E-6</v>
      </c>
      <c r="V20" s="7"/>
      <c r="W20" s="7"/>
      <c r="X20" s="7"/>
      <c r="Y20" s="7"/>
      <c r="Z20" s="7"/>
      <c r="AA20" s="7"/>
      <c r="AB20" s="7"/>
      <c r="AC20" s="8"/>
      <c r="AG20" s="5"/>
      <c r="AH20" s="5"/>
    </row>
    <row r="21" spans="1:34" outlineLevel="1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61</v>
      </c>
      <c r="D21" s="3" t="s">
        <v>215</v>
      </c>
      <c r="E21" s="6" t="s">
        <v>215</v>
      </c>
      <c r="F21" s="6" t="s">
        <v>215</v>
      </c>
      <c r="G21" s="6" t="s">
        <v>215</v>
      </c>
      <c r="H21" s="6" t="s">
        <v>215</v>
      </c>
      <c r="I21" s="6" t="s">
        <v>215</v>
      </c>
      <c r="J21" s="6" t="s">
        <v>215</v>
      </c>
      <c r="K21" s="6" t="s">
        <v>215</v>
      </c>
      <c r="L21" s="6" t="s">
        <v>215</v>
      </c>
      <c r="M21" s="6" t="s">
        <v>215</v>
      </c>
      <c r="N21" s="6" t="s">
        <v>215</v>
      </c>
      <c r="O21" s="6" t="s">
        <v>215</v>
      </c>
      <c r="P21" s="3" t="str">
        <f>'Model names'!C19</f>
        <v>VA</v>
      </c>
      <c r="Q21" s="8">
        <f>[49]Growth_Reports!C532</f>
        <v>1.2517403774836566E-3</v>
      </c>
      <c r="R21" s="7">
        <f>[49]Growth_Reports!C532</f>
        <v>1.2517403774836566E-3</v>
      </c>
      <c r="S21" s="7">
        <f>[49]Growth_Reports!C532</f>
        <v>1.2517403774836566E-3</v>
      </c>
      <c r="T21" s="7">
        <f>[49]Growth_Reports!C532</f>
        <v>1.2517403774836566E-3</v>
      </c>
      <c r="U21" s="7">
        <f>[49]Growth_Reports!C532</f>
        <v>1.2517403774836566E-3</v>
      </c>
      <c r="V21" s="7"/>
      <c r="W21" s="7"/>
      <c r="X21" s="7"/>
      <c r="Y21" s="7"/>
      <c r="Z21" s="7"/>
      <c r="AA21" s="7"/>
      <c r="AB21" s="7"/>
      <c r="AC21" s="8"/>
    </row>
    <row r="22" spans="1:34" outlineLevel="1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61</v>
      </c>
      <c r="D22" s="3" t="s">
        <v>215</v>
      </c>
      <c r="E22" s="6" t="s">
        <v>215</v>
      </c>
      <c r="F22" s="6" t="s">
        <v>215</v>
      </c>
      <c r="G22" s="6" t="s">
        <v>215</v>
      </c>
      <c r="H22" s="6" t="s">
        <v>215</v>
      </c>
      <c r="I22" s="6" t="s">
        <v>215</v>
      </c>
      <c r="J22" s="6" t="s">
        <v>215</v>
      </c>
      <c r="K22" s="6" t="s">
        <v>215</v>
      </c>
      <c r="L22" s="6" t="s">
        <v>215</v>
      </c>
      <c r="M22" s="6" t="s">
        <v>215</v>
      </c>
      <c r="N22" s="6" t="s">
        <v>215</v>
      </c>
      <c r="O22" s="6" t="s">
        <v>215</v>
      </c>
      <c r="P22" s="3" t="str">
        <f>'Model names'!C20</f>
        <v>WV</v>
      </c>
      <c r="Q22" s="8">
        <f>[51]Growth_Reports!C532</f>
        <v>1.3242242857813835E-9</v>
      </c>
      <c r="R22" s="7">
        <f>[51]Growth_Reports!C532</f>
        <v>1.3242242857813835E-9</v>
      </c>
      <c r="S22" s="7">
        <f>[51]Growth_Reports!C532</f>
        <v>1.3242242857813835E-9</v>
      </c>
      <c r="T22" s="7">
        <f>[51]Growth_Reports!C532</f>
        <v>1.3242242857813835E-9</v>
      </c>
      <c r="U22" s="7">
        <f>[51]Growth_Reports!C532</f>
        <v>1.3242242857813835E-9</v>
      </c>
      <c r="V22" s="7"/>
      <c r="W22" s="7"/>
      <c r="X22" s="7"/>
      <c r="Y22" s="7"/>
      <c r="Z22" s="7"/>
      <c r="AA22" s="7"/>
      <c r="AB22" s="7"/>
      <c r="AC22" s="8"/>
    </row>
    <row r="23" spans="1:34" outlineLevel="1" x14ac:dyDescent="0.3">
      <c r="A23" s="2"/>
      <c r="B23" s="3"/>
      <c r="C23" s="3"/>
      <c r="D23" s="3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"/>
      <c r="Q23" s="8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8"/>
    </row>
    <row r="24" spans="1:34" outlineLevel="1" x14ac:dyDescent="0.3">
      <c r="A24" s="2"/>
      <c r="B24" s="3"/>
      <c r="C24" s="3"/>
      <c r="D24" s="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"/>
      <c r="Q24" s="8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8"/>
    </row>
    <row r="25" spans="1:34" outlineLevel="1" x14ac:dyDescent="0.3">
      <c r="A25" s="2"/>
      <c r="B25" s="3"/>
      <c r="C25" s="3"/>
      <c r="D25" s="3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"/>
      <c r="Q25" s="8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8"/>
    </row>
    <row r="26" spans="1:34" outlineLevel="1" x14ac:dyDescent="0.3">
      <c r="A26" s="2"/>
      <c r="B26" s="3"/>
      <c r="C26" s="3"/>
      <c r="D26" s="3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3"/>
      <c r="Q26" s="8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8"/>
    </row>
    <row r="27" spans="1:34" outlineLevel="1" x14ac:dyDescent="0.3">
      <c r="A27" s="2"/>
      <c r="B27" s="3"/>
      <c r="C27" s="3"/>
      <c r="D27" s="3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"/>
      <c r="Q27" s="8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8"/>
    </row>
    <row r="28" spans="1:34" outlineLevel="1" x14ac:dyDescent="0.3">
      <c r="A28" s="2"/>
      <c r="B28" s="3"/>
      <c r="C28" s="3"/>
      <c r="D28" s="3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"/>
      <c r="Q28" s="8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8"/>
    </row>
    <row r="29" spans="1:34" outlineLevel="1" x14ac:dyDescent="0.3">
      <c r="A29" s="2" t="str">
        <f>IF(B29=0,"",A28)</f>
        <v/>
      </c>
      <c r="B29" s="3"/>
      <c r="C29" s="3"/>
      <c r="D29" s="3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"/>
      <c r="Q29" s="8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8"/>
    </row>
    <row r="30" spans="1:34" outlineLevel="1" x14ac:dyDescent="0.3">
      <c r="A30" s="2" t="str">
        <f>IF(B30=0,"",A29)</f>
        <v/>
      </c>
      <c r="B30" s="3"/>
      <c r="C30" s="3"/>
      <c r="D30" s="3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3"/>
      <c r="Q30" s="8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8"/>
    </row>
    <row r="31" spans="1:34" outlineLevel="1" x14ac:dyDescent="0.3">
      <c r="A31" s="2" t="str">
        <f>IF(B31=0,"",A30)</f>
        <v/>
      </c>
      <c r="B31" s="3"/>
      <c r="C31" s="3"/>
      <c r="D31" s="3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"/>
      <c r="Q31" s="8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8"/>
    </row>
    <row r="32" spans="1:34" outlineLevel="1" x14ac:dyDescent="0.3">
      <c r="A32" s="2" t="str">
        <f>IF(B32=0,"",A31)</f>
        <v/>
      </c>
      <c r="B32" s="3"/>
      <c r="C32" s="3"/>
      <c r="D32" s="3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"/>
      <c r="Q32" s="8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8"/>
    </row>
    <row r="33" spans="1:29" outlineLevel="1" x14ac:dyDescent="0.3">
      <c r="A33" s="2" t="str">
        <f>IF(B33=0,"",A32)</f>
        <v/>
      </c>
      <c r="B33" s="3"/>
      <c r="C33" s="3" t="str">
        <f>IF(B33=0,"",C32)</f>
        <v/>
      </c>
      <c r="D33" s="3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"/>
      <c r="Q33" s="8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8"/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">
    <cfRule type="cellIs" dxfId="27" priority="1" operator="equal">
      <formula>"On"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81" r:id="rId3" name="CommandButton21">
          <controlPr autoLine="0" r:id="rId4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152400</xdr:colOff>
                <xdr:row>0</xdr:row>
                <xdr:rowOff>403860</xdr:rowOff>
              </to>
            </anchor>
          </controlPr>
        </control>
      </mc:Choice>
      <mc:Fallback>
        <control shapeId="71681" r:id="rId3" name="CommandButton2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B2:M21"/>
  <sheetViews>
    <sheetView showGridLines="0" zoomScale="70" zoomScaleNormal="70" workbookViewId="0">
      <selection activeCell="W31" sqref="W31"/>
    </sheetView>
  </sheetViews>
  <sheetFormatPr defaultRowHeight="14.4" x14ac:dyDescent="0.3"/>
  <cols>
    <col min="3" max="13" width="10" customWidth="1"/>
  </cols>
  <sheetData>
    <row r="2" spans="2:13" x14ac:dyDescent="0.3">
      <c r="C2" s="24">
        <f>'Total Long term debt'!Q3</f>
        <v>2017</v>
      </c>
      <c r="D2" s="24">
        <f>'Total Long term debt'!R3</f>
        <v>2018</v>
      </c>
      <c r="E2" s="24">
        <f>'Total Long term debt'!S3</f>
        <v>2019</v>
      </c>
      <c r="F2" s="24">
        <f>'Total Long term debt'!T3</f>
        <v>2020</v>
      </c>
      <c r="G2" s="24">
        <f>'Total Long term debt'!U3</f>
        <v>2021</v>
      </c>
      <c r="H2" s="24">
        <f>'Total Long term debt'!V3</f>
        <v>2022</v>
      </c>
      <c r="I2" s="24">
        <f>'Total Long term debt'!W3</f>
        <v>2023</v>
      </c>
      <c r="J2" s="24">
        <f>'Total Long term debt'!X3</f>
        <v>2024</v>
      </c>
      <c r="K2" s="24">
        <f>'Total Long term debt'!Y3</f>
        <v>2025</v>
      </c>
      <c r="L2" s="24">
        <f>'Total Long term debt'!Z3</f>
        <v>2026</v>
      </c>
      <c r="M2" s="24">
        <f>'Total Long term debt'!AA3</f>
        <v>2027</v>
      </c>
    </row>
    <row r="3" spans="2:13" x14ac:dyDescent="0.3">
      <c r="B3" s="24" t="str">
        <f>'Total Long term debt'!P4</f>
        <v>BFW</v>
      </c>
      <c r="C3" s="25">
        <f>'Total Long term debt'!Q4+'Current long term debt'!Q4</f>
        <v>0</v>
      </c>
      <c r="D3" s="25">
        <f>'Total Long term debt'!R4+'Current long term debt'!R4</f>
        <v>0</v>
      </c>
      <c r="E3" s="25">
        <f ca="1">'Total Long term debt'!S4+'Current long term debt'!S4</f>
        <v>0</v>
      </c>
      <c r="F3" s="25">
        <f ca="1">'Total Long term debt'!T4+'Current long term debt'!T4</f>
        <v>0</v>
      </c>
      <c r="G3" s="25">
        <f ca="1">'Total Long term debt'!U4+'Current long term debt'!U4</f>
        <v>0</v>
      </c>
      <c r="H3" s="25">
        <f ca="1">'Total Long term debt'!V4+'Current long term debt'!V4</f>
        <v>0</v>
      </c>
      <c r="I3" s="25">
        <f ca="1">'Total Long term debt'!W4+'Current long term debt'!W4</f>
        <v>0</v>
      </c>
      <c r="J3" s="25">
        <f ca="1">'Total Long term debt'!X4+'Current long term debt'!X4</f>
        <v>0</v>
      </c>
      <c r="K3" s="25">
        <f ca="1">'Total Long term debt'!Y4+'Current long term debt'!Y4</f>
        <v>0</v>
      </c>
      <c r="L3" s="25">
        <f ca="1">'Total Long term debt'!Z4+'Current long term debt'!Z4</f>
        <v>0</v>
      </c>
      <c r="M3" s="25">
        <f ca="1">'Total Long term debt'!AA4+'Current long term debt'!AA4</f>
        <v>0</v>
      </c>
    </row>
    <row r="4" spans="2:13" x14ac:dyDescent="0.3">
      <c r="B4" s="24" t="str">
        <f>'Total Long term debt'!P5</f>
        <v>CA</v>
      </c>
      <c r="C4" s="25">
        <f>'Total Long term debt'!Q5+'Current long term debt'!Q5</f>
        <v>351116.48056158074</v>
      </c>
      <c r="D4" s="25">
        <f>'Total Long term debt'!R5+'Current long term debt'!R5</f>
        <v>386852.35899140855</v>
      </c>
      <c r="E4" s="25">
        <f>'Total Long term debt'!S5+'Current long term debt'!S5</f>
        <v>398601.38889140828</v>
      </c>
      <c r="F4" s="25">
        <f>'Total Long term debt'!T5+'Current long term debt'!T5</f>
        <v>448694.02145083225</v>
      </c>
      <c r="G4" s="25">
        <f>'Total Long term debt'!U5+'Current long term debt'!U5</f>
        <v>542555.64929400606</v>
      </c>
      <c r="H4" s="25">
        <f>'Total Long term debt'!V5+'Current long term debt'!V5</f>
        <v>546657.83727283543</v>
      </c>
      <c r="I4" s="25">
        <f>'Total Long term debt'!W5+'Current long term debt'!W5</f>
        <v>554745.01607666735</v>
      </c>
      <c r="J4" s="25">
        <f>'Total Long term debt'!X5+'Current long term debt'!X5</f>
        <v>564831.72686049913</v>
      </c>
      <c r="K4" s="25">
        <f>'Total Long term debt'!Y5+'Current long term debt'!Y5</f>
        <v>574918.00144433044</v>
      </c>
      <c r="L4" s="25">
        <f>'Total Long term debt'!Z5+'Current long term debt'!Z5</f>
        <v>583003.8694981616</v>
      </c>
      <c r="M4" s="25">
        <f>'Total Long term debt'!AA5+'Current long term debt'!AA5</f>
        <v>599365.60442880436</v>
      </c>
    </row>
    <row r="5" spans="2:13" x14ac:dyDescent="0.3">
      <c r="B5" s="24" t="str">
        <f>'Total Long term debt'!P6</f>
        <v>ETS</v>
      </c>
      <c r="C5" s="25">
        <f>'Total Long term debt'!Q6+'Current long term debt'!Q6</f>
        <v>0</v>
      </c>
      <c r="D5" s="25">
        <f>'Total Long term debt'!R6+'Current long term debt'!R6</f>
        <v>0</v>
      </c>
      <c r="E5" s="25">
        <f>'Total Long term debt'!S6+'Current long term debt'!S6</f>
        <v>0</v>
      </c>
      <c r="F5" s="25">
        <f>'Total Long term debt'!T6+'Current long term debt'!T6</f>
        <v>0</v>
      </c>
      <c r="G5" s="25">
        <f>'Total Long term debt'!U6+'Current long term debt'!U6</f>
        <v>0</v>
      </c>
      <c r="H5" s="25">
        <f>'Total Long term debt'!V6+'Current long term debt'!V6</f>
        <v>0</v>
      </c>
      <c r="I5" s="25">
        <f>'Total Long term debt'!W6+'Current long term debt'!W6</f>
        <v>0</v>
      </c>
      <c r="J5" s="25">
        <f>'Total Long term debt'!X6+'Current long term debt'!X6</f>
        <v>0</v>
      </c>
      <c r="K5" s="25">
        <f>'Total Long term debt'!Y6+'Current long term debt'!Y6</f>
        <v>0</v>
      </c>
      <c r="L5" s="25">
        <f>'Total Long term debt'!Z6+'Current long term debt'!Z6</f>
        <v>0</v>
      </c>
      <c r="M5" s="25">
        <f>'Total Long term debt'!AA6+'Current long term debt'!AA6</f>
        <v>0</v>
      </c>
    </row>
    <row r="6" spans="2:13" x14ac:dyDescent="0.3">
      <c r="B6" s="24" t="str">
        <f>'Total Long term debt'!P7</f>
        <v>HI</v>
      </c>
      <c r="C6" s="25">
        <f>'Total Long term debt'!Q7+'Current long term debt'!Q7</f>
        <v>14270</v>
      </c>
      <c r="D6" s="25">
        <f>'Total Long term debt'!R7+'Current long term debt'!R7</f>
        <v>16770</v>
      </c>
      <c r="E6" s="25">
        <f>'Total Long term debt'!S7+'Current long term debt'!S7</f>
        <v>18770</v>
      </c>
      <c r="F6" s="25">
        <f>'Total Long term debt'!T7+'Current long term debt'!T7</f>
        <v>18770</v>
      </c>
      <c r="G6" s="25">
        <f>'Total Long term debt'!U7+'Current long term debt'!U7</f>
        <v>18770</v>
      </c>
      <c r="H6" s="25">
        <f>'Total Long term debt'!V7+'Current long term debt'!V7</f>
        <v>19036.499999999985</v>
      </c>
      <c r="I6" s="25">
        <f>'Total Long term debt'!W7+'Current long term debt'!W7</f>
        <v>15766.499999999985</v>
      </c>
      <c r="J6" s="25">
        <f>'Total Long term debt'!X7+'Current long term debt'!X7</f>
        <v>15766.499999999985</v>
      </c>
      <c r="K6" s="25">
        <f>'Total Long term debt'!Y7+'Current long term debt'!Y7</f>
        <v>15766.499999999985</v>
      </c>
      <c r="L6" s="25">
        <f>'Total Long term debt'!Z7+'Current long term debt'!Z7</f>
        <v>15766.499999999985</v>
      </c>
      <c r="M6" s="25">
        <f>'Total Long term debt'!AA7+'Current long term debt'!AA7</f>
        <v>16043.499999999993</v>
      </c>
    </row>
    <row r="7" spans="2:13" x14ac:dyDescent="0.3">
      <c r="B7" s="24" t="str">
        <f>'Total Long term debt'!P8</f>
        <v>IA</v>
      </c>
      <c r="C7" s="25">
        <f>'Total Long term debt'!Q8+'Current long term debt'!Q8</f>
        <v>50211.813078799998</v>
      </c>
      <c r="D7" s="25">
        <f>'Total Long term debt'!R8+'Current long term debt'!R8</f>
        <v>50074.265806185198</v>
      </c>
      <c r="E7" s="25">
        <f>'Total Long term debt'!S8+'Current long term debt'!S8</f>
        <v>57927.265806185198</v>
      </c>
      <c r="F7" s="25">
        <f>'Total Long term debt'!T8+'Current long term debt'!T8</f>
        <v>64776.265806185169</v>
      </c>
      <c r="G7" s="25">
        <f>'Total Long term debt'!U8+'Current long term debt'!U8</f>
        <v>68606.26580618514</v>
      </c>
      <c r="H7" s="25">
        <f>'Total Long term debt'!V8+'Current long term debt'!V8</f>
        <v>76582.265806185111</v>
      </c>
      <c r="I7" s="25">
        <f>'Total Long term debt'!W8+'Current long term debt'!W8</f>
        <v>82475.625806185126</v>
      </c>
      <c r="J7" s="25">
        <f>'Total Long term debt'!X8+'Current long term debt'!X8</f>
        <v>86368.985806185141</v>
      </c>
      <c r="K7" s="25">
        <f>'Total Long term debt'!Y8+'Current long term debt'!Y8</f>
        <v>93261.345806185069</v>
      </c>
      <c r="L7" s="25">
        <f>'Total Long term debt'!Z8+'Current long term debt'!Z8</f>
        <v>98452.705806184997</v>
      </c>
      <c r="M7" s="25">
        <f>'Total Long term debt'!AA8+'Current long term debt'!AA8</f>
        <v>103371.06580618492</v>
      </c>
    </row>
    <row r="8" spans="2:13" x14ac:dyDescent="0.3">
      <c r="B8" s="24" t="str">
        <f>'Total Long term debt'!P9</f>
        <v>IL</v>
      </c>
      <c r="C8" s="25">
        <f>'Total Long term debt'!Q9+'Current long term debt'!Q9</f>
        <v>438646.26164082345</v>
      </c>
      <c r="D8" s="25">
        <f>'Total Long term debt'!R9+'Current long term debt'!R9</f>
        <v>395175.53364471701</v>
      </c>
      <c r="E8" s="25">
        <f>'Total Long term debt'!S9+'Current long term debt'!S9</f>
        <v>443736.95882543206</v>
      </c>
      <c r="F8" s="25">
        <f>'Total Long term debt'!T9+'Current long term debt'!T9</f>
        <v>488802.71993198042</v>
      </c>
      <c r="G8" s="25">
        <f>'Total Long term debt'!U9+'Current long term debt'!U9</f>
        <v>503396.13753149105</v>
      </c>
      <c r="H8" s="25">
        <f>'Total Long term debt'!V9+'Current long term debt'!V9</f>
        <v>558964.88861629728</v>
      </c>
      <c r="I8" s="25">
        <f>'Total Long term debt'!W9+'Current long term debt'!W9</f>
        <v>598700.05231650209</v>
      </c>
      <c r="J8" s="25">
        <f>'Total Long term debt'!X9+'Current long term debt'!X9</f>
        <v>629854.22930124251</v>
      </c>
      <c r="K8" s="25">
        <f>'Total Long term debt'!Y9+'Current long term debt'!Y9</f>
        <v>691158.79918935371</v>
      </c>
      <c r="L8" s="25">
        <f>'Total Long term debt'!Z9+'Current long term debt'!Z9</f>
        <v>736264.485559767</v>
      </c>
      <c r="M8" s="25">
        <f>'Total Long term debt'!AA9+'Current long term debt'!AA9</f>
        <v>781721.55125754082</v>
      </c>
    </row>
    <row r="9" spans="2:13" x14ac:dyDescent="0.3">
      <c r="B9" s="24" t="str">
        <f>'Total Long term debt'!P10</f>
        <v>IN</v>
      </c>
      <c r="C9" s="25">
        <f>'Total Long term debt'!Q10+'Current long term debt'!Q10</f>
        <v>351541.42267428734</v>
      </c>
      <c r="D9" s="25">
        <f>'Total Long term debt'!R10+'Current long term debt'!R10</f>
        <v>393709.3772660945</v>
      </c>
      <c r="E9" s="25">
        <f>'Total Long term debt'!S10+'Current long term debt'!S10</f>
        <v>422815.72826609452</v>
      </c>
      <c r="F9" s="25">
        <f>'Total Long term debt'!T10+'Current long term debt'!T10</f>
        <v>487901.38626609452</v>
      </c>
      <c r="G9" s="25">
        <f>'Total Long term debt'!U10+'Current long term debt'!U10</f>
        <v>520966.94326609449</v>
      </c>
      <c r="H9" s="25">
        <f>'Total Long term debt'!V10+'Current long term debt'!V10</f>
        <v>559107.89526609448</v>
      </c>
      <c r="I9" s="25">
        <f>'Total Long term debt'!W10+'Current long term debt'!W10</f>
        <v>603229.83226609451</v>
      </c>
      <c r="J9" s="25">
        <f>'Total Long term debt'!X10+'Current long term debt'!X10</f>
        <v>699833.14726609446</v>
      </c>
      <c r="K9" s="25">
        <f>'Total Long term debt'!Y10+'Current long term debt'!Y10</f>
        <v>719876.14626609441</v>
      </c>
      <c r="L9" s="25">
        <f>'Total Long term debt'!Z10+'Current long term debt'!Z10</f>
        <v>751216.50926609442</v>
      </c>
      <c r="M9" s="25">
        <f>'Total Long term debt'!AA10+'Current long term debt'!AA10</f>
        <v>786055.04426609445</v>
      </c>
    </row>
    <row r="10" spans="2:13" x14ac:dyDescent="0.3">
      <c r="B10" s="24" t="str">
        <f>'Total Long term debt'!P11</f>
        <v>KY</v>
      </c>
      <c r="C10" s="25">
        <f>'Total Long term debt'!Q11+'Current long term debt'!Q11</f>
        <v>207999</v>
      </c>
      <c r="D10" s="25">
        <f>'Total Long term debt'!R11+'Current long term debt'!R11</f>
        <v>208002.05153812945</v>
      </c>
      <c r="E10" s="25">
        <f>'Total Long term debt'!S11+'Current long term debt'!S11</f>
        <v>209002.05153812957</v>
      </c>
      <c r="F10" s="25">
        <f>'Total Long term debt'!T11+'Current long term debt'!T11</f>
        <v>213502.05153812957</v>
      </c>
      <c r="G10" s="25">
        <f>'Total Long term debt'!U11+'Current long term debt'!U11</f>
        <v>214502.05153812969</v>
      </c>
      <c r="H10" s="25">
        <f>'Total Long term debt'!V11+'Current long term debt'!V11</f>
        <v>216252.0515381298</v>
      </c>
      <c r="I10" s="25">
        <f>'Total Long term debt'!W11+'Current long term debt'!W11</f>
        <v>221252.05153812969</v>
      </c>
      <c r="J10" s="25">
        <f>'Total Long term debt'!X11+'Current long term debt'!X11</f>
        <v>226252.05153812957</v>
      </c>
      <c r="K10" s="25">
        <f>'Total Long term debt'!Y11+'Current long term debt'!Y11</f>
        <v>247252.05153812945</v>
      </c>
      <c r="L10" s="25">
        <f>'Total Long term debt'!Z11+'Current long term debt'!Z11</f>
        <v>250752.05153812957</v>
      </c>
      <c r="M10" s="25">
        <f>'Total Long term debt'!AA11+'Current long term debt'!AA11</f>
        <v>252752.05153812969</v>
      </c>
    </row>
    <row r="11" spans="2:13" x14ac:dyDescent="0.3">
      <c r="B11" s="24" t="str">
        <f>'Total Long term debt'!P12</f>
        <v>Liberty</v>
      </c>
      <c r="C11" s="25">
        <f>'Total Long term debt'!Q12+'Current long term debt'!Q12</f>
        <v>0</v>
      </c>
      <c r="D11" s="25">
        <f>'Total Long term debt'!R12+'Current long term debt'!R12</f>
        <v>0</v>
      </c>
      <c r="E11" s="25">
        <f>'Total Long term debt'!S12+'Current long term debt'!S12</f>
        <v>0</v>
      </c>
      <c r="F11" s="25">
        <f>'Total Long term debt'!T12+'Current long term debt'!T12</f>
        <v>0</v>
      </c>
      <c r="G11" s="25">
        <f>'Total Long term debt'!U12+'Current long term debt'!U12</f>
        <v>0</v>
      </c>
      <c r="H11" s="25">
        <f>'Total Long term debt'!V12+'Current long term debt'!V12</f>
        <v>0</v>
      </c>
      <c r="I11" s="25">
        <f>'Total Long term debt'!W12+'Current long term debt'!W12</f>
        <v>0</v>
      </c>
      <c r="J11" s="25">
        <f>'Total Long term debt'!X12+'Current long term debt'!X12</f>
        <v>0</v>
      </c>
      <c r="K11" s="25">
        <f>'Total Long term debt'!Y12+'Current long term debt'!Y12</f>
        <v>0</v>
      </c>
      <c r="L11" s="25">
        <f>'Total Long term debt'!Z12+'Current long term debt'!Z12</f>
        <v>0</v>
      </c>
      <c r="M11" s="25">
        <f>'Total Long term debt'!AA12+'Current long term debt'!AA12</f>
        <v>0</v>
      </c>
    </row>
    <row r="12" spans="2:13" x14ac:dyDescent="0.3">
      <c r="B12" s="24" t="str">
        <f>'Total Long term debt'!P13</f>
        <v>LW</v>
      </c>
      <c r="C12" s="25">
        <f>'Total Long term debt'!Q13+'Current long term debt'!Q13</f>
        <v>0</v>
      </c>
      <c r="D12" s="25">
        <f>'Total Long term debt'!R13+'Current long term debt'!R13</f>
        <v>0</v>
      </c>
      <c r="E12" s="25">
        <f>'Total Long term debt'!S13+'Current long term debt'!S13</f>
        <v>0</v>
      </c>
      <c r="F12" s="25">
        <f>'Total Long term debt'!T13+'Current long term debt'!T13</f>
        <v>0</v>
      </c>
      <c r="G12" s="25">
        <f>'Total Long term debt'!U13+'Current long term debt'!U13</f>
        <v>0</v>
      </c>
      <c r="H12" s="25">
        <f>'Total Long term debt'!V13+'Current long term debt'!V13</f>
        <v>0</v>
      </c>
      <c r="I12" s="25">
        <f>'Total Long term debt'!W13+'Current long term debt'!W13</f>
        <v>3058.6039755351703</v>
      </c>
      <c r="J12" s="25">
        <f>'Total Long term debt'!X13+'Current long term debt'!X13</f>
        <v>6117.7079510703406</v>
      </c>
      <c r="K12" s="25">
        <f>'Total Long term debt'!Y13+'Current long term debt'!Y13</f>
        <v>9177.3119266055146</v>
      </c>
      <c r="L12" s="25">
        <f>'Total Long term debt'!Z13+'Current long term debt'!Z13</f>
        <v>12237.415902140681</v>
      </c>
      <c r="M12" s="25">
        <f>'Total Long term debt'!AA13+'Current long term debt'!AA13</f>
        <v>15298.019877675863</v>
      </c>
    </row>
    <row r="13" spans="2:13" x14ac:dyDescent="0.3">
      <c r="B13" s="24" t="str">
        <f>'Total Long term debt'!P14</f>
        <v>MD</v>
      </c>
      <c r="C13" s="25">
        <f>'Total Long term debt'!Q14+'Current long term debt'!Q14</f>
        <v>5600</v>
      </c>
      <c r="D13" s="25">
        <f>'Total Long term debt'!R14+'Current long term debt'!R14</f>
        <v>5600</v>
      </c>
      <c r="E13" s="25">
        <f>'Total Long term debt'!S14+'Current long term debt'!S14</f>
        <v>4811.4999999999982</v>
      </c>
      <c r="F13" s="25">
        <f>'Total Long term debt'!T14+'Current long term debt'!T14</f>
        <v>7301.5</v>
      </c>
      <c r="G13" s="25">
        <f>'Total Long term debt'!U14+'Current long term debt'!U14</f>
        <v>9581.5000000000036</v>
      </c>
      <c r="H13" s="25">
        <f>'Total Long term debt'!V14+'Current long term debt'!V14</f>
        <v>11501.499999999996</v>
      </c>
      <c r="I13" s="25">
        <f>'Total Long term debt'!W14+'Current long term debt'!W14</f>
        <v>13811.499999999989</v>
      </c>
      <c r="J13" s="25">
        <f>'Total Long term debt'!X14+'Current long term debt'!X14</f>
        <v>15821.499999999982</v>
      </c>
      <c r="K13" s="25">
        <f>'Total Long term debt'!Y14+'Current long term debt'!Y14</f>
        <v>17031.499999999975</v>
      </c>
      <c r="L13" s="25">
        <f>'Total Long term debt'!Z14+'Current long term debt'!Z14</f>
        <v>18141.499999999978</v>
      </c>
      <c r="M13" s="25">
        <f>'Total Long term debt'!AA14+'Current long term debt'!AA14</f>
        <v>19351.499999999993</v>
      </c>
    </row>
    <row r="14" spans="2:13" x14ac:dyDescent="0.3">
      <c r="B14" s="24" t="str">
        <f>'Total Long term debt'!P15</f>
        <v>MI</v>
      </c>
      <c r="C14" s="25">
        <f>'Total Long term debt'!Q15+'Current long term debt'!Q15</f>
        <v>1399.5284799999999</v>
      </c>
      <c r="D14" s="25">
        <f>'Total Long term debt'!R15+'Current long term debt'!R15</f>
        <v>1399.5467200000003</v>
      </c>
      <c r="E14" s="25">
        <f>'Total Long term debt'!S15+'Current long term debt'!S15</f>
        <v>1399.5467200000003</v>
      </c>
      <c r="F14" s="25">
        <f>'Total Long term debt'!T15+'Current long term debt'!T15</f>
        <v>1399.5467200000003</v>
      </c>
      <c r="G14" s="25">
        <f>'Total Long term debt'!U15+'Current long term debt'!U15</f>
        <v>1399.5467200000003</v>
      </c>
      <c r="H14" s="25">
        <f>'Total Long term debt'!V15+'Current long term debt'!V15</f>
        <v>1399.5467200000003</v>
      </c>
      <c r="I14" s="25">
        <f>'Total Long term debt'!W15+'Current long term debt'!W15</f>
        <v>1399.5467200000003</v>
      </c>
      <c r="J14" s="25">
        <f>'Total Long term debt'!X15+'Current long term debt'!X15</f>
        <v>1399.5467200000003</v>
      </c>
      <c r="K14" s="25">
        <f>'Total Long term debt'!Y15+'Current long term debt'!Y15</f>
        <v>1399.5467200000003</v>
      </c>
      <c r="L14" s="25">
        <f>'Total Long term debt'!Z15+'Current long term debt'!Z15</f>
        <v>1399.5467200000003</v>
      </c>
      <c r="M14" s="25">
        <f>'Total Long term debt'!AA15+'Current long term debt'!AA15</f>
        <v>2399.5467200000003</v>
      </c>
    </row>
    <row r="15" spans="2:13" x14ac:dyDescent="0.3">
      <c r="B15" s="24" t="str">
        <f>'Total Long term debt'!P16</f>
        <v>MO</v>
      </c>
      <c r="C15" s="25">
        <f>'Total Long term debt'!Q16+'Current long term debt'!Q16</f>
        <v>586483.25205860229</v>
      </c>
      <c r="D15" s="25">
        <f>'Total Long term debt'!R16+'Current long term debt'!R16</f>
        <v>621318.86416750483</v>
      </c>
      <c r="E15" s="25">
        <f>'Total Long term debt'!S16+'Current long term debt'!S16</f>
        <v>714944.6581613993</v>
      </c>
      <c r="F15" s="25">
        <f>'Total Long term debt'!T16+'Current long term debt'!T16</f>
        <v>816071.95635061886</v>
      </c>
      <c r="G15" s="25">
        <f>'Total Long term debt'!U16+'Current long term debt'!U16</f>
        <v>1025559.5843453713</v>
      </c>
      <c r="H15" s="25">
        <f>'Total Long term debt'!V16+'Current long term debt'!V16</f>
        <v>1160821.0500936897</v>
      </c>
      <c r="I15" s="25">
        <f>'Total Long term debt'!W16+'Current long term debt'!W16</f>
        <v>1294032.1825681336</v>
      </c>
      <c r="J15" s="25">
        <f>'Total Long term debt'!X16+'Current long term debt'!X16</f>
        <v>1396980.7824605803</v>
      </c>
      <c r="K15" s="25">
        <f>'Total Long term debt'!Y16+'Current long term debt'!Y16</f>
        <v>1470962.2717219039</v>
      </c>
      <c r="L15" s="25">
        <f>'Total Long term debt'!Z16+'Current long term debt'!Z16</f>
        <v>1539971.0834049338</v>
      </c>
      <c r="M15" s="25">
        <f>'Total Long term debt'!AA16+'Current long term debt'!AA16</f>
        <v>1611498.4362527567</v>
      </c>
    </row>
    <row r="16" spans="2:13" x14ac:dyDescent="0.3">
      <c r="B16" s="24" t="str">
        <f>'Total Long term debt'!P17</f>
        <v>NJ</v>
      </c>
      <c r="C16" s="25">
        <f>'Total Long term debt'!Q17+'Current long term debt'!Q17</f>
        <v>1335306.4320384823</v>
      </c>
      <c r="D16" s="25">
        <f>'Total Long term debt'!R17+'Current long term debt'!R17</f>
        <v>1399237.1908199014</v>
      </c>
      <c r="E16" s="25">
        <f>'Total Long term debt'!S17+'Current long term debt'!S17</f>
        <v>1448088.1544321594</v>
      </c>
      <c r="F16" s="25">
        <f>'Total Long term debt'!T17+'Current long term debt'!T17</f>
        <v>1561312.4089187025</v>
      </c>
      <c r="G16" s="25">
        <f>'Total Long term debt'!U17+'Current long term debt'!U17</f>
        <v>1647116.3698213059</v>
      </c>
      <c r="H16" s="25">
        <f>'Total Long term debt'!V17+'Current long term debt'!V17</f>
        <v>1807727.3855759199</v>
      </c>
      <c r="I16" s="25">
        <f>'Total Long term debt'!W17+'Current long term debt'!W17</f>
        <v>1864563.36598592</v>
      </c>
      <c r="J16" s="25">
        <f>'Total Long term debt'!X17+'Current long term debt'!X17</f>
        <v>1936323.3412359201</v>
      </c>
      <c r="K16" s="25">
        <f>'Total Long term debt'!Y17+'Current long term debt'!Y17</f>
        <v>2026142.4258970753</v>
      </c>
      <c r="L16" s="25">
        <f>'Total Long term debt'!Z17+'Current long term debt'!Z17</f>
        <v>2073228.1897470756</v>
      </c>
      <c r="M16" s="25">
        <f>'Total Long term debt'!AA17+'Current long term debt'!AA17</f>
        <v>2124248.9535970758</v>
      </c>
    </row>
    <row r="17" spans="2:13" x14ac:dyDescent="0.3">
      <c r="B17" s="24" t="str">
        <f>'Total Long term debt'!P18</f>
        <v>NY</v>
      </c>
      <c r="C17" s="25">
        <f>'Total Long term debt'!Q18+'Current long term debt'!Q18</f>
        <v>153537.58047000004</v>
      </c>
      <c r="D17" s="25">
        <f>'Total Long term debt'!R18+'Current long term debt'!R18</f>
        <v>173564.92921760824</v>
      </c>
      <c r="E17" s="25">
        <f>'Total Long term debt'!S18+'Current long term debt'!S18</f>
        <v>175699.92921760824</v>
      </c>
      <c r="F17" s="25">
        <f>'Total Long term debt'!T18+'Current long term debt'!T18</f>
        <v>183834.92921760824</v>
      </c>
      <c r="G17" s="25">
        <f>'Total Long term debt'!U18+'Current long term debt'!U18</f>
        <v>195604.92921760824</v>
      </c>
      <c r="H17" s="25">
        <f>'Total Long term debt'!V18+'Current long term debt'!V18</f>
        <v>206874.92921760824</v>
      </c>
      <c r="I17" s="25">
        <f>'Total Long term debt'!W18+'Current long term debt'!W18</f>
        <v>220144.92921760824</v>
      </c>
      <c r="J17" s="25">
        <f>'Total Long term debt'!X18+'Current long term debt'!X18</f>
        <v>230414.92921760824</v>
      </c>
      <c r="K17" s="25">
        <f>'Total Long term debt'!Y18+'Current long term debt'!Y18</f>
        <v>240684.92921760824</v>
      </c>
      <c r="L17" s="25">
        <f>'Total Long term debt'!Z18+'Current long term debt'!Z18</f>
        <v>251954.92921760824</v>
      </c>
      <c r="M17" s="25">
        <f>'Total Long term debt'!AA18+'Current long term debt'!AA18</f>
        <v>262224.92921760818</v>
      </c>
    </row>
    <row r="18" spans="2:13" x14ac:dyDescent="0.3">
      <c r="B18" s="24" t="str">
        <f>'Total Long term debt'!P19</f>
        <v>PA</v>
      </c>
      <c r="C18" s="25">
        <f>'Total Long term debt'!Q19+'Current long term debt'!Q19</f>
        <v>1357512.2092009422</v>
      </c>
      <c r="D18" s="25">
        <f>'Total Long term debt'!R19+'Current long term debt'!R19</f>
        <v>1513998.6754618848</v>
      </c>
      <c r="E18" s="25">
        <f>'Total Long term debt'!S19+'Current long term debt'!S19</f>
        <v>1507550.1298951288</v>
      </c>
      <c r="F18" s="25">
        <f>'Total Long term debt'!T19+'Current long term debt'!T19</f>
        <v>1610636.9467717905</v>
      </c>
      <c r="G18" s="25">
        <f>'Total Long term debt'!U19+'Current long term debt'!U19</f>
        <v>1781554.9344626672</v>
      </c>
      <c r="H18" s="25">
        <f>'Total Long term debt'!V19+'Current long term debt'!V19</f>
        <v>1965873.4331564314</v>
      </c>
      <c r="I18" s="25">
        <f>'Total Long term debt'!W19+'Current long term debt'!W19</f>
        <v>1994880.4006762626</v>
      </c>
      <c r="J18" s="25">
        <f>'Total Long term debt'!X19+'Current long term debt'!X19</f>
        <v>2060852.3216147914</v>
      </c>
      <c r="K18" s="25">
        <f>'Total Long term debt'!Y19+'Current long term debt'!Y19</f>
        <v>2198910.5692744283</v>
      </c>
      <c r="L18" s="25">
        <f>'Total Long term debt'!Z19+'Current long term debt'!Z19</f>
        <v>2336638.3896639165</v>
      </c>
      <c r="M18" s="25">
        <f>'Total Long term debt'!AA19+'Current long term debt'!AA19</f>
        <v>2558596.5652985247</v>
      </c>
    </row>
    <row r="19" spans="2:13" x14ac:dyDescent="0.3">
      <c r="B19" s="24" t="str">
        <f>'Total Long term debt'!P20</f>
        <v>TN</v>
      </c>
      <c r="C19" s="25">
        <f>'Total Long term debt'!Q20+'Current long term debt'!Q20</f>
        <v>72438.952510000003</v>
      </c>
      <c r="D19" s="25">
        <f>'Total Long term debt'!R20+'Current long term debt'!R20</f>
        <v>77453.21502370204</v>
      </c>
      <c r="E19" s="25">
        <f>'Total Long term debt'!S20+'Current long term debt'!S20</f>
        <v>78572.845107035333</v>
      </c>
      <c r="F19" s="25">
        <f>'Total Long term debt'!T20+'Current long term debt'!T20</f>
        <v>92547.247676479747</v>
      </c>
      <c r="G19" s="25">
        <f>'Total Long term debt'!U20+'Current long term debt'!U20</f>
        <v>105288.50934314646</v>
      </c>
      <c r="H19" s="25">
        <f>'Total Long term debt'!V20+'Current long term debt'!V20</f>
        <v>113328.5093431464</v>
      </c>
      <c r="I19" s="25">
        <f>'Total Long term debt'!W20+'Current long term debt'!W20</f>
        <v>137346.37733220245</v>
      </c>
      <c r="J19" s="25">
        <f>'Total Long term debt'!X20+'Current long term debt'!X20</f>
        <v>147210.95989043935</v>
      </c>
      <c r="K19" s="25">
        <f>'Total Long term debt'!Y20+'Current long term debt'!Y20</f>
        <v>178770.95989043941</v>
      </c>
      <c r="L19" s="25">
        <f>'Total Long term debt'!Z20+'Current long term debt'!Z20</f>
        <v>192650.95989043941</v>
      </c>
      <c r="M19" s="25">
        <f>'Total Long term debt'!AA20+'Current long term debt'!AA20</f>
        <v>211305.98789421981</v>
      </c>
    </row>
    <row r="20" spans="2:13" x14ac:dyDescent="0.3">
      <c r="B20" s="24" t="str">
        <f>'Total Long term debt'!P21</f>
        <v>VA</v>
      </c>
      <c r="C20" s="25">
        <f>'Total Long term debt'!Q21+'Current long term debt'!Q21</f>
        <v>83074.445694640934</v>
      </c>
      <c r="D20" s="25">
        <f>'Total Long term debt'!R21+'Current long term debt'!R21</f>
        <v>89870.580875948581</v>
      </c>
      <c r="E20" s="25">
        <f>'Total Long term debt'!S21+'Current long term debt'!S21</f>
        <v>99566.420875948621</v>
      </c>
      <c r="F20" s="25">
        <f>'Total Long term debt'!T21+'Current long term debt'!T21</f>
        <v>111426.42087594862</v>
      </c>
      <c r="G20" s="25">
        <f>'Total Long term debt'!U21+'Current long term debt'!U21</f>
        <v>117826.42087594862</v>
      </c>
      <c r="H20" s="25">
        <f>'Total Long term debt'!V21+'Current long term debt'!V21</f>
        <v>125776.42087594862</v>
      </c>
      <c r="I20" s="25">
        <f>'Total Long term debt'!W21+'Current long term debt'!W21</f>
        <v>133229.90087594866</v>
      </c>
      <c r="J20" s="25">
        <f>'Total Long term debt'!X21+'Current long term debt'!X21</f>
        <v>135229.90087594866</v>
      </c>
      <c r="K20" s="25">
        <f>'Total Long term debt'!Y21+'Current long term debt'!Y21</f>
        <v>143229.90087594866</v>
      </c>
      <c r="L20" s="25">
        <f>'Total Long term debt'!Z21+'Current long term debt'!Z21</f>
        <v>152586.52087594863</v>
      </c>
      <c r="M20" s="25">
        <f>'Total Long term debt'!AA21+'Current long term debt'!AA21</f>
        <v>159586.52087594863</v>
      </c>
    </row>
    <row r="21" spans="2:13" x14ac:dyDescent="0.3">
      <c r="B21" s="24" t="str">
        <f>'Total Long term debt'!P22</f>
        <v>WV</v>
      </c>
      <c r="C21" s="25">
        <f>'Total Long term debt'!Q22+'Current long term debt'!Q22</f>
        <v>250734.42427556068</v>
      </c>
      <c r="D21" s="25">
        <f>'Total Long term debt'!R22+'Current long term debt'!R22</f>
        <v>250461.87768112129</v>
      </c>
      <c r="E21" s="25">
        <f>'Total Long term debt'!S22+'Current long term debt'!S22</f>
        <v>253365.62568112116</v>
      </c>
      <c r="F21" s="25">
        <f>'Total Long term debt'!T22+'Current long term debt'!T22</f>
        <v>269329.92923667678</v>
      </c>
      <c r="G21" s="25">
        <f>'Total Long term debt'!U22+'Current long term debt'!U22</f>
        <v>282262.01057001011</v>
      </c>
      <c r="H21" s="25">
        <f>'Total Long term debt'!V22+'Current long term debt'!V22</f>
        <v>296558.53634778777</v>
      </c>
      <c r="I21" s="25">
        <f>'Total Long term debt'!W22+'Current long term debt'!W22</f>
        <v>331519.24332214682</v>
      </c>
      <c r="J21" s="25">
        <f>'Total Long term debt'!X22+'Current long term debt'!X22</f>
        <v>368482.05834778777</v>
      </c>
      <c r="K21" s="25">
        <f>'Total Long term debt'!Y22+'Current long term debt'!Y22</f>
        <v>411519.0470144545</v>
      </c>
      <c r="L21" s="25">
        <f>'Total Long term debt'!Z22+'Current long term debt'!Z22</f>
        <v>442481.86204009526</v>
      </c>
      <c r="M21" s="25">
        <f>'Total Long term debt'!AA22+'Current long term debt'!AA22</f>
        <v>473446.80619753135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70C0"/>
  </sheetPr>
  <dimension ref="A1:AH40"/>
  <sheetViews>
    <sheetView topLeftCell="C1" zoomScale="70" zoomScaleNormal="70" workbookViewId="0">
      <selection activeCell="Q49" sqref="Q49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21" width="11.109375" customWidth="1"/>
    <col min="22" max="28" width="11.10937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12</v>
      </c>
      <c r="P2" s="1">
        <v>12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names'!I1</f>
        <v>2017</v>
      </c>
      <c r="R3" s="2">
        <f>'Model names'!J1</f>
        <v>2018</v>
      </c>
      <c r="S3" s="2">
        <f>'Model names'!K1</f>
        <v>2019</v>
      </c>
      <c r="T3" s="2">
        <f>'Model names'!L1</f>
        <v>2020</v>
      </c>
      <c r="U3" s="2">
        <f>'Model names'!M1</f>
        <v>2021</v>
      </c>
      <c r="V3" s="2">
        <f>'Model names'!N1</f>
        <v>2022</v>
      </c>
      <c r="W3" s="2">
        <f>'Model names'!O1</f>
        <v>2023</v>
      </c>
      <c r="X3" s="2">
        <f>'Model names'!P1</f>
        <v>2024</v>
      </c>
      <c r="Y3" s="2">
        <f>'Model names'!Q1</f>
        <v>2025</v>
      </c>
      <c r="Z3" s="2">
        <f>'Model names'!R1</f>
        <v>2026</v>
      </c>
      <c r="AA3" s="2">
        <f>'Model names'!S1</f>
        <v>2027</v>
      </c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16</v>
      </c>
      <c r="D4" s="3" t="s">
        <v>125</v>
      </c>
      <c r="E4" s="3" t="s">
        <v>126</v>
      </c>
      <c r="F4" s="3" t="s">
        <v>127</v>
      </c>
      <c r="G4" s="3" t="s">
        <v>128</v>
      </c>
      <c r="H4" s="3" t="s">
        <v>129</v>
      </c>
      <c r="I4" s="3" t="s">
        <v>130</v>
      </c>
      <c r="J4" s="3" t="s">
        <v>131</v>
      </c>
      <c r="K4" s="3" t="s">
        <v>132</v>
      </c>
      <c r="L4" s="3" t="s">
        <v>133</v>
      </c>
      <c r="M4" s="3" t="s">
        <v>134</v>
      </c>
      <c r="N4" s="3" t="s">
        <v>135</v>
      </c>
      <c r="O4" s="6" t="s">
        <v>135</v>
      </c>
      <c r="P4" s="3" t="str">
        <f>'Model names'!C2</f>
        <v>BFW</v>
      </c>
      <c r="Q4" s="8">
        <f>[15]Total_Reports!B306</f>
        <v>-281.38404396676009</v>
      </c>
      <c r="R4" s="8">
        <f>[15]Total_Reports!C306</f>
        <v>-307.58869128395935</v>
      </c>
      <c r="S4" s="8">
        <f ca="1">[15]Total_Reports!D306</f>
        <v>-318.11336724981481</v>
      </c>
      <c r="T4" s="8">
        <f ca="1">[15]Total_Reports!E306</f>
        <v>-317.65584105709803</v>
      </c>
      <c r="U4" s="8">
        <f ca="1">[15]Total_Reports!F306</f>
        <v>-317.25889688005265</v>
      </c>
      <c r="V4" s="8">
        <f ca="1">[15]Total_Reports!G306</f>
        <v>-314.05248255813149</v>
      </c>
      <c r="W4" s="8">
        <f ca="1">[15]Total_Reports!H306</f>
        <v>-311.38222136823441</v>
      </c>
      <c r="X4" s="8">
        <f ca="1">[15]Total_Reports!I306</f>
        <v>-308.67764755506391</v>
      </c>
      <c r="Y4" s="8">
        <f ca="1">[15]Total_Reports!J306</f>
        <v>-305.65850701550499</v>
      </c>
      <c r="Z4" s="8">
        <f ca="1">[15]Total_Reports!K306</f>
        <v>-302.24950301276982</v>
      </c>
      <c r="AA4" s="8">
        <f ca="1">[15]Total_Reports!L306</f>
        <v>-299.08159737307182</v>
      </c>
      <c r="AB4" s="7">
        <f ca="1">[15]Total_Reports!L306</f>
        <v>-299.08159737307182</v>
      </c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16</v>
      </c>
      <c r="D5" s="3" t="s">
        <v>125</v>
      </c>
      <c r="E5" s="3" t="s">
        <v>126</v>
      </c>
      <c r="F5" s="3" t="s">
        <v>127</v>
      </c>
      <c r="G5" s="3" t="s">
        <v>128</v>
      </c>
      <c r="H5" s="3" t="s">
        <v>129</v>
      </c>
      <c r="I5" s="3" t="s">
        <v>130</v>
      </c>
      <c r="J5" s="3" t="s">
        <v>131</v>
      </c>
      <c r="K5" s="3" t="s">
        <v>132</v>
      </c>
      <c r="L5" s="3" t="s">
        <v>133</v>
      </c>
      <c r="M5" s="3" t="s">
        <v>134</v>
      </c>
      <c r="N5" s="3" t="s">
        <v>135</v>
      </c>
      <c r="O5" s="6" t="s">
        <v>135</v>
      </c>
      <c r="P5" s="18" t="str">
        <f>'Model names'!C3</f>
        <v>CA</v>
      </c>
      <c r="Q5" s="15">
        <f>[17]Total_Reports!B306</f>
        <v>395857.30737593421</v>
      </c>
      <c r="R5" s="15">
        <f>[17]Total_Reports!C306</f>
        <v>448258.98251184257</v>
      </c>
      <c r="S5" s="15">
        <f>[17]Total_Reports!D306</f>
        <v>461478.4301262591</v>
      </c>
      <c r="T5" s="15">
        <f>[17]Total_Reports!E306</f>
        <v>518330.6678564832</v>
      </c>
      <c r="U5" s="15">
        <f>[17]Total_Reports!F306</f>
        <v>503590.6134844136</v>
      </c>
      <c r="V5" s="15">
        <f>[17]Total_Reports!G306</f>
        <v>511271.68381714181</v>
      </c>
      <c r="W5" s="15">
        <f>[17]Total_Reports!H306</f>
        <v>523703.55728297826</v>
      </c>
      <c r="X5" s="15">
        <f>[17]Total_Reports!I306</f>
        <v>536691.3523797713</v>
      </c>
      <c r="Y5" s="15">
        <f>[17]Total_Reports!J306</f>
        <v>548571.09586603299</v>
      </c>
      <c r="Z5" s="15">
        <f>[17]Total_Reports!K306</f>
        <v>560816.6375038462</v>
      </c>
      <c r="AA5" s="15">
        <f>[17]Total_Reports!L306</f>
        <v>580318.97167108371</v>
      </c>
      <c r="AB5" s="7">
        <f>[17]Total_Reports!L306</f>
        <v>580318.97167108371</v>
      </c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16</v>
      </c>
      <c r="D6" s="3" t="s">
        <v>125</v>
      </c>
      <c r="E6" s="3" t="s">
        <v>126</v>
      </c>
      <c r="F6" s="3" t="s">
        <v>127</v>
      </c>
      <c r="G6" s="3" t="s">
        <v>128</v>
      </c>
      <c r="H6" s="3" t="s">
        <v>129</v>
      </c>
      <c r="I6" s="3" t="s">
        <v>130</v>
      </c>
      <c r="J6" s="3" t="s">
        <v>131</v>
      </c>
      <c r="K6" s="3" t="s">
        <v>132</v>
      </c>
      <c r="L6" s="3" t="s">
        <v>133</v>
      </c>
      <c r="M6" s="3" t="s">
        <v>134</v>
      </c>
      <c r="N6" s="3" t="s">
        <v>135</v>
      </c>
      <c r="O6" s="6" t="s">
        <v>135</v>
      </c>
      <c r="P6" s="3" t="str">
        <f>'Model names'!C4</f>
        <v>ETS</v>
      </c>
      <c r="Q6" s="15">
        <f>[19]Total_Reports!B306</f>
        <v>1234.45268725715</v>
      </c>
      <c r="R6" s="15">
        <f>[19]Total_Reports!C306</f>
        <v>1467.9383889084563</v>
      </c>
      <c r="S6" s="15">
        <f>[19]Total_Reports!D306</f>
        <v>1717.1899610072528</v>
      </c>
      <c r="T6" s="15">
        <f>[19]Total_Reports!E306</f>
        <v>1980.1276652971246</v>
      </c>
      <c r="U6" s="15">
        <f>[19]Total_Reports!F306</f>
        <v>2267.0033459889487</v>
      </c>
      <c r="V6" s="15">
        <f>[19]Total_Reports!G306</f>
        <v>2398.5716821317915</v>
      </c>
      <c r="W6" s="15">
        <f>[19]Total_Reports!H306</f>
        <v>2398.5716821317915</v>
      </c>
      <c r="X6" s="15">
        <f>[19]Total_Reports!I306</f>
        <v>2398.5716821317915</v>
      </c>
      <c r="Y6" s="15">
        <f>[19]Total_Reports!J306</f>
        <v>2398.5716821317915</v>
      </c>
      <c r="Z6" s="15">
        <f>[19]Total_Reports!K306</f>
        <v>2398.5716821317915</v>
      </c>
      <c r="AA6" s="15">
        <f>[19]Total_Reports!L306</f>
        <v>2476.5716821317915</v>
      </c>
      <c r="AB6" s="7">
        <f>[19]Total_Reports!L306</f>
        <v>2476.5716821317915</v>
      </c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16</v>
      </c>
      <c r="D7" s="3" t="s">
        <v>125</v>
      </c>
      <c r="E7" s="3" t="s">
        <v>126</v>
      </c>
      <c r="F7" s="3" t="s">
        <v>127</v>
      </c>
      <c r="G7" s="3" t="s">
        <v>128</v>
      </c>
      <c r="H7" s="3" t="s">
        <v>129</v>
      </c>
      <c r="I7" s="3" t="s">
        <v>130</v>
      </c>
      <c r="J7" s="3" t="s">
        <v>131</v>
      </c>
      <c r="K7" s="3" t="s">
        <v>132</v>
      </c>
      <c r="L7" s="3" t="s">
        <v>133</v>
      </c>
      <c r="M7" s="3" t="s">
        <v>134</v>
      </c>
      <c r="N7" s="3" t="s">
        <v>135</v>
      </c>
      <c r="O7" s="6" t="s">
        <v>135</v>
      </c>
      <c r="P7" s="18" t="str">
        <f>'Model names'!C5</f>
        <v>HI</v>
      </c>
      <c r="Q7" s="15">
        <f>[21]Total_Reports!B306</f>
        <v>16509.940603443196</v>
      </c>
      <c r="R7" s="15">
        <f>[21]Total_Reports!C306</f>
        <v>17170.649259196729</v>
      </c>
      <c r="S7" s="15">
        <f>[21]Total_Reports!D306</f>
        <v>18408.705229151008</v>
      </c>
      <c r="T7" s="15">
        <f>[21]Total_Reports!E306</f>
        <v>22973.003364752709</v>
      </c>
      <c r="U7" s="15">
        <f>[21]Total_Reports!F306</f>
        <v>24374.850089775682</v>
      </c>
      <c r="V7" s="15">
        <f>[21]Total_Reports!G306</f>
        <v>26267.631367907412</v>
      </c>
      <c r="W7" s="15">
        <f>[21]Total_Reports!H306</f>
        <v>30766.870272206615</v>
      </c>
      <c r="X7" s="15">
        <f>[21]Total_Reports!I306</f>
        <v>33553.993929549943</v>
      </c>
      <c r="Y7" s="15">
        <f>[21]Total_Reports!J306</f>
        <v>37139.922288335903</v>
      </c>
      <c r="Z7" s="15">
        <f>[21]Total_Reports!K306</f>
        <v>39675.071726501701</v>
      </c>
      <c r="AA7" s="15">
        <f>[21]Total_Reports!L306</f>
        <v>41888.830215515831</v>
      </c>
      <c r="AB7" s="7">
        <f>[21]Total_Reports!L306</f>
        <v>41888.830215515831</v>
      </c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16</v>
      </c>
      <c r="D8" s="3" t="s">
        <v>125</v>
      </c>
      <c r="E8" s="3" t="s">
        <v>126</v>
      </c>
      <c r="F8" s="3" t="s">
        <v>127</v>
      </c>
      <c r="G8" s="3" t="s">
        <v>128</v>
      </c>
      <c r="H8" s="3" t="s">
        <v>129</v>
      </c>
      <c r="I8" s="3" t="s">
        <v>130</v>
      </c>
      <c r="J8" s="3" t="s">
        <v>131</v>
      </c>
      <c r="K8" s="3" t="s">
        <v>132</v>
      </c>
      <c r="L8" s="3" t="s">
        <v>133</v>
      </c>
      <c r="M8" s="3" t="s">
        <v>134</v>
      </c>
      <c r="N8" s="3" t="s">
        <v>135</v>
      </c>
      <c r="O8" s="6" t="s">
        <v>135</v>
      </c>
      <c r="P8" s="18" t="str">
        <f>'Model names'!C6</f>
        <v>IA</v>
      </c>
      <c r="Q8" s="15">
        <f>[23]Total_Reports!B306</f>
        <v>58403.638567803049</v>
      </c>
      <c r="R8" s="15">
        <f>[23]Total_Reports!C306</f>
        <v>68748.069880140232</v>
      </c>
      <c r="S8" s="15">
        <f>[23]Total_Reports!D306</f>
        <v>72355.248253166908</v>
      </c>
      <c r="T8" s="15">
        <f>[23]Total_Reports!E306</f>
        <v>79016.690685150214</v>
      </c>
      <c r="U8" s="15">
        <f>[23]Total_Reports!F306</f>
        <v>85899.163566191783</v>
      </c>
      <c r="V8" s="15">
        <f>[23]Total_Reports!G306</f>
        <v>90550.073113461956</v>
      </c>
      <c r="W8" s="15">
        <f>[23]Total_Reports!H306</f>
        <v>96513.130288865897</v>
      </c>
      <c r="X8" s="15">
        <f>[23]Total_Reports!I306</f>
        <v>102460.19830547998</v>
      </c>
      <c r="Y8" s="15">
        <f>[23]Total_Reports!J306</f>
        <v>106664.75296744792</v>
      </c>
      <c r="Z8" s="15">
        <f>[23]Total_Reports!K306</f>
        <v>112679.70446866032</v>
      </c>
      <c r="AA8" s="15">
        <f>[23]Total_Reports!L306</f>
        <v>118922.8981215774</v>
      </c>
      <c r="AB8" s="7">
        <f>[23]Total_Reports!L306</f>
        <v>118922.8981215774</v>
      </c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16</v>
      </c>
      <c r="D9" s="3" t="s">
        <v>125</v>
      </c>
      <c r="E9" s="3" t="s">
        <v>126</v>
      </c>
      <c r="F9" s="3" t="s">
        <v>127</v>
      </c>
      <c r="G9" s="3" t="s">
        <v>128</v>
      </c>
      <c r="H9" s="3" t="s">
        <v>129</v>
      </c>
      <c r="I9" s="3" t="s">
        <v>130</v>
      </c>
      <c r="J9" s="3" t="s">
        <v>131</v>
      </c>
      <c r="K9" s="3" t="s">
        <v>132</v>
      </c>
      <c r="L9" s="3" t="s">
        <v>133</v>
      </c>
      <c r="M9" s="3" t="s">
        <v>134</v>
      </c>
      <c r="N9" s="3" t="s">
        <v>135</v>
      </c>
      <c r="O9" s="6" t="s">
        <v>135</v>
      </c>
      <c r="P9" s="3" t="str">
        <f>'Model names'!C7</f>
        <v>IL</v>
      </c>
      <c r="Q9" s="15">
        <f>[25]Total_Reports!B306</f>
        <v>477979.88025670737</v>
      </c>
      <c r="R9" s="15">
        <f>[25]Total_Reports!C306</f>
        <v>567860.81698836118</v>
      </c>
      <c r="S9" s="15">
        <f>[25]Total_Reports!D306</f>
        <v>586747.75108403678</v>
      </c>
      <c r="T9" s="15">
        <f>[25]Total_Reports!E306</f>
        <v>621042.72855897364</v>
      </c>
      <c r="U9" s="15">
        <f>[25]Total_Reports!F306</f>
        <v>646316.69625540287</v>
      </c>
      <c r="V9" s="15">
        <f>[25]Total_Reports!G306</f>
        <v>674913.56003366946</v>
      </c>
      <c r="W9" s="15">
        <f>[25]Total_Reports!H306</f>
        <v>715241.85078396928</v>
      </c>
      <c r="X9" s="15">
        <f>[25]Total_Reports!I306</f>
        <v>758210.6524878114</v>
      </c>
      <c r="Y9" s="15">
        <f>[25]Total_Reports!J306</f>
        <v>805522.97247724619</v>
      </c>
      <c r="Z9" s="15">
        <f>[25]Total_Reports!K306</f>
        <v>848914.35833533586</v>
      </c>
      <c r="AA9" s="15">
        <f>[25]Total_Reports!L306</f>
        <v>894394.61480989633</v>
      </c>
      <c r="AB9" s="7">
        <f>[25]Total_Reports!L306</f>
        <v>894394.61480989633</v>
      </c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16</v>
      </c>
      <c r="D10" s="3" t="s">
        <v>125</v>
      </c>
      <c r="E10" s="3" t="s">
        <v>126</v>
      </c>
      <c r="F10" s="3" t="s">
        <v>127</v>
      </c>
      <c r="G10" s="3" t="s">
        <v>128</v>
      </c>
      <c r="H10" s="3" t="s">
        <v>129</v>
      </c>
      <c r="I10" s="3" t="s">
        <v>130</v>
      </c>
      <c r="J10" s="3" t="s">
        <v>131</v>
      </c>
      <c r="K10" s="3" t="s">
        <v>132</v>
      </c>
      <c r="L10" s="3" t="s">
        <v>133</v>
      </c>
      <c r="M10" s="3" t="s">
        <v>134</v>
      </c>
      <c r="N10" s="3" t="s">
        <v>135</v>
      </c>
      <c r="O10" s="6" t="s">
        <v>135</v>
      </c>
      <c r="P10" s="3" t="str">
        <f>'Model names'!C8</f>
        <v>IN</v>
      </c>
      <c r="Q10" s="15">
        <f>[27]Total_Reports!B306</f>
        <v>390529.12105894432</v>
      </c>
      <c r="R10" s="15">
        <f>[27]Total_Reports!C306</f>
        <v>442174.87701641547</v>
      </c>
      <c r="S10" s="15">
        <f>[27]Total_Reports!D306</f>
        <v>485671.62439771334</v>
      </c>
      <c r="T10" s="15">
        <f>[27]Total_Reports!E306</f>
        <v>523487.32528928271</v>
      </c>
      <c r="U10" s="15">
        <f>[27]Total_Reports!F306</f>
        <v>549872.85025712335</v>
      </c>
      <c r="V10" s="15">
        <f>[27]Total_Reports!G306</f>
        <v>566160.73669260007</v>
      </c>
      <c r="W10" s="15">
        <f>[27]Total_Reports!H306</f>
        <v>592375.3846087791</v>
      </c>
      <c r="X10" s="15">
        <f>[27]Total_Reports!I306</f>
        <v>642832.4550376694</v>
      </c>
      <c r="Y10" s="15">
        <f>[27]Total_Reports!J306</f>
        <v>682818.01518881624</v>
      </c>
      <c r="Z10" s="15">
        <f>[27]Total_Reports!K306</f>
        <v>710661.29627390555</v>
      </c>
      <c r="AA10" s="15">
        <f>[27]Total_Reports!L306</f>
        <v>732614.97299722931</v>
      </c>
      <c r="AB10" s="7">
        <f>[27]Total_Reports!L306</f>
        <v>732614.97299722931</v>
      </c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16</v>
      </c>
      <c r="D11" s="3" t="s">
        <v>125</v>
      </c>
      <c r="E11" s="3" t="s">
        <v>126</v>
      </c>
      <c r="F11" s="3" t="s">
        <v>127</v>
      </c>
      <c r="G11" s="3" t="s">
        <v>128</v>
      </c>
      <c r="H11" s="3" t="s">
        <v>129</v>
      </c>
      <c r="I11" s="3" t="s">
        <v>130</v>
      </c>
      <c r="J11" s="3" t="s">
        <v>131</v>
      </c>
      <c r="K11" s="3" t="s">
        <v>132</v>
      </c>
      <c r="L11" s="3" t="s">
        <v>133</v>
      </c>
      <c r="M11" s="3" t="s">
        <v>134</v>
      </c>
      <c r="N11" s="3" t="s">
        <v>135</v>
      </c>
      <c r="O11" s="6" t="s">
        <v>135</v>
      </c>
      <c r="P11" s="3" t="str">
        <f>'Model names'!C9</f>
        <v>KY</v>
      </c>
      <c r="Q11" s="15">
        <f>[29]Total_Reports!B306</f>
        <v>197863.48080804729</v>
      </c>
      <c r="R11" s="15">
        <f>[29]Total_Reports!C306</f>
        <v>206142.34639965408</v>
      </c>
      <c r="S11" s="15">
        <f>[29]Total_Reports!D306</f>
        <v>212148.41991581538</v>
      </c>
      <c r="T11" s="15">
        <f>[29]Total_Reports!E306</f>
        <v>222269.59187961544</v>
      </c>
      <c r="U11" s="15">
        <f>[29]Total_Reports!F306</f>
        <v>230616.90742405693</v>
      </c>
      <c r="V11" s="15">
        <f>[29]Total_Reports!G306</f>
        <v>245453.00913723337</v>
      </c>
      <c r="W11" s="15">
        <f>[29]Total_Reports!H306</f>
        <v>254781.57204181299</v>
      </c>
      <c r="X11" s="15">
        <f>[29]Total_Reports!I306</f>
        <v>264686.96840135887</v>
      </c>
      <c r="Y11" s="15">
        <f>[29]Total_Reports!J306</f>
        <v>293289.7482875784</v>
      </c>
      <c r="Z11" s="15">
        <f>[29]Total_Reports!K306</f>
        <v>306181.49121920904</v>
      </c>
      <c r="AA11" s="15">
        <f>[29]Total_Reports!L306</f>
        <v>319528.05921496981</v>
      </c>
      <c r="AB11" s="7">
        <f>[29]Total_Reports!L306</f>
        <v>319528.05921496981</v>
      </c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16</v>
      </c>
      <c r="D12" s="3" t="s">
        <v>125</v>
      </c>
      <c r="E12" s="3" t="s">
        <v>126</v>
      </c>
      <c r="F12" s="3" t="s">
        <v>127</v>
      </c>
      <c r="G12" s="3" t="s">
        <v>128</v>
      </c>
      <c r="H12" s="3" t="s">
        <v>129</v>
      </c>
      <c r="I12" s="3" t="s">
        <v>130</v>
      </c>
      <c r="J12" s="3" t="s">
        <v>131</v>
      </c>
      <c r="K12" s="3" t="s">
        <v>132</v>
      </c>
      <c r="L12" s="3" t="s">
        <v>133</v>
      </c>
      <c r="M12" s="3" t="s">
        <v>134</v>
      </c>
      <c r="N12" s="3" t="s">
        <v>135</v>
      </c>
      <c r="O12" s="6" t="s">
        <v>135</v>
      </c>
      <c r="P12" s="3" t="str">
        <f>'Model names'!C10</f>
        <v>Liberty</v>
      </c>
      <c r="Q12" s="8">
        <f>[31]Total_Reports!B306</f>
        <v>39091.810625455706</v>
      </c>
      <c r="R12" s="8">
        <f>[31]Total_Reports!C306</f>
        <v>41123.244074939576</v>
      </c>
      <c r="S12" s="8">
        <f>[31]Total_Reports!D306</f>
        <v>43318.554483864937</v>
      </c>
      <c r="T12" s="8">
        <f>[31]Total_Reports!E306</f>
        <v>45679.119463002513</v>
      </c>
      <c r="U12" s="8">
        <f>[31]Total_Reports!F306</f>
        <v>48182.715737192921</v>
      </c>
      <c r="V12" s="8">
        <f>[31]Total_Reports!G306</f>
        <v>50825.725333550712</v>
      </c>
      <c r="W12" s="8">
        <f>[31]Total_Reports!H306</f>
        <v>53604.234748120281</v>
      </c>
      <c r="X12" s="8">
        <f>[31]Total_Reports!I306</f>
        <v>56542.53174250068</v>
      </c>
      <c r="Y12" s="8">
        <f>[31]Total_Reports!J306</f>
        <v>59660.387532451758</v>
      </c>
      <c r="Z12" s="8">
        <f>[31]Total_Reports!K306</f>
        <v>62962.098210552205</v>
      </c>
      <c r="AA12" s="8">
        <f>[31]Total_Reports!L306</f>
        <v>66455.724462539452</v>
      </c>
      <c r="AB12" s="7">
        <f>[31]Total_Reports!L306</f>
        <v>66455.724462539452</v>
      </c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16</v>
      </c>
      <c r="D13" s="3" t="s">
        <v>125</v>
      </c>
      <c r="E13" s="3" t="s">
        <v>126</v>
      </c>
      <c r="F13" s="3" t="s">
        <v>127</v>
      </c>
      <c r="G13" s="3" t="s">
        <v>128</v>
      </c>
      <c r="H13" s="3" t="s">
        <v>129</v>
      </c>
      <c r="I13" s="3" t="s">
        <v>130</v>
      </c>
      <c r="J13" s="3" t="s">
        <v>131</v>
      </c>
      <c r="K13" s="3" t="s">
        <v>132</v>
      </c>
      <c r="L13" s="3" t="s">
        <v>133</v>
      </c>
      <c r="M13" s="3" t="s">
        <v>134</v>
      </c>
      <c r="N13" s="3" t="s">
        <v>135</v>
      </c>
      <c r="O13" s="6" t="s">
        <v>135</v>
      </c>
      <c r="P13" s="3" t="str">
        <f>'Model names'!C11</f>
        <v>LW</v>
      </c>
      <c r="Q13" s="8">
        <f>[33]Total_Reports!B306</f>
        <v>43705.668388981889</v>
      </c>
      <c r="R13" s="8">
        <f>[33]Total_Reports!C306</f>
        <v>43618.408670203142</v>
      </c>
      <c r="S13" s="8">
        <f>[33]Total_Reports!D306</f>
        <v>44652.91402217438</v>
      </c>
      <c r="T13" s="8">
        <f>[33]Total_Reports!E306</f>
        <v>45710.882660498166</v>
      </c>
      <c r="U13" s="8">
        <f>[33]Total_Reports!F306</f>
        <v>46794.797350502791</v>
      </c>
      <c r="V13" s="8">
        <f>[33]Total_Reports!G306</f>
        <v>48062.134659295349</v>
      </c>
      <c r="W13" s="8">
        <f>[33]Total_Reports!H306</f>
        <v>52349.883214635614</v>
      </c>
      <c r="X13" s="8">
        <f>[33]Total_Reports!I306</f>
        <v>56664.89149272714</v>
      </c>
      <c r="Y13" s="8">
        <f>[33]Total_Reports!J306</f>
        <v>61167.732008379608</v>
      </c>
      <c r="Z13" s="8">
        <f>[33]Total_Reports!K306</f>
        <v>65632.552756274585</v>
      </c>
      <c r="AA13" s="8">
        <f>[33]Total_Reports!L306</f>
        <v>70124.176403372534</v>
      </c>
      <c r="AB13" s="7">
        <f>[33]Total_Reports!L306</f>
        <v>70124.176403372534</v>
      </c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tr">
        <f t="shared" ref="C14:C30" si="0">IF(B14=0,"",C13)</f>
        <v>Total_Reports</v>
      </c>
      <c r="D14" s="3" t="str">
        <f t="shared" ref="D14:O29" si="1">IF(C14=0,"",D13)</f>
        <v>B306</v>
      </c>
      <c r="E14" s="3" t="str">
        <f t="shared" si="1"/>
        <v>C306</v>
      </c>
      <c r="F14" s="3" t="str">
        <f t="shared" si="1"/>
        <v>D306</v>
      </c>
      <c r="G14" s="3" t="str">
        <f t="shared" si="1"/>
        <v>E306</v>
      </c>
      <c r="H14" s="3" t="str">
        <f t="shared" si="1"/>
        <v>F306</v>
      </c>
      <c r="I14" s="3" t="str">
        <f t="shared" si="1"/>
        <v>G306</v>
      </c>
      <c r="J14" s="3" t="str">
        <f t="shared" si="1"/>
        <v>H306</v>
      </c>
      <c r="K14" s="3" t="str">
        <f t="shared" si="1"/>
        <v>I306</v>
      </c>
      <c r="L14" s="3" t="str">
        <f t="shared" si="1"/>
        <v>J306</v>
      </c>
      <c r="M14" s="3" t="str">
        <f t="shared" si="1"/>
        <v>K306</v>
      </c>
      <c r="N14" s="3" t="str">
        <f t="shared" si="1"/>
        <v>L306</v>
      </c>
      <c r="O14" s="6" t="str">
        <f t="shared" si="1"/>
        <v>L306</v>
      </c>
      <c r="P14" s="3" t="str">
        <f>'Model names'!C12</f>
        <v>MD</v>
      </c>
      <c r="Q14" s="8">
        <f>[35]Total_Reports!B306</f>
        <v>6187.128545087342</v>
      </c>
      <c r="R14" s="8">
        <f>[35]Total_Reports!C306</f>
        <v>13673.833070226663</v>
      </c>
      <c r="S14" s="8">
        <f>[35]Total_Reports!D306</f>
        <v>15881.339836579038</v>
      </c>
      <c r="T14" s="8">
        <f>[35]Total_Reports!E306</f>
        <v>16554.361931275205</v>
      </c>
      <c r="U14" s="8">
        <f>[35]Total_Reports!F306</f>
        <v>17414.889967333438</v>
      </c>
      <c r="V14" s="8">
        <f>[35]Total_Reports!G306</f>
        <v>17917.057637085149</v>
      </c>
      <c r="W14" s="8">
        <f>[35]Total_Reports!H306</f>
        <v>19083.293701329472</v>
      </c>
      <c r="X14" s="8">
        <f>[35]Total_Reports!I306</f>
        <v>20287.650536406505</v>
      </c>
      <c r="Y14" s="8">
        <f>[35]Total_Reports!J306</f>
        <v>21494.064202785747</v>
      </c>
      <c r="Z14" s="8">
        <f>[35]Total_Reports!K306</f>
        <v>22733.603985685215</v>
      </c>
      <c r="AA14" s="8">
        <f>[35]Total_Reports!L306</f>
        <v>23907.988794075336</v>
      </c>
      <c r="AB14" s="7">
        <f>[35]Total_Reports!L306</f>
        <v>23907.988794075336</v>
      </c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tr">
        <f t="shared" si="0"/>
        <v>Total_Reports</v>
      </c>
      <c r="D15" s="3" t="str">
        <f t="shared" si="1"/>
        <v>B306</v>
      </c>
      <c r="E15" s="3" t="str">
        <f t="shared" si="1"/>
        <v>C306</v>
      </c>
      <c r="F15" s="3" t="str">
        <f t="shared" si="1"/>
        <v>D306</v>
      </c>
      <c r="G15" s="3" t="str">
        <f t="shared" si="1"/>
        <v>E306</v>
      </c>
      <c r="H15" s="3" t="str">
        <f t="shared" si="1"/>
        <v>F306</v>
      </c>
      <c r="I15" s="3" t="str">
        <f t="shared" si="1"/>
        <v>G306</v>
      </c>
      <c r="J15" s="3" t="str">
        <f t="shared" si="1"/>
        <v>H306</v>
      </c>
      <c r="K15" s="3" t="str">
        <f t="shared" si="1"/>
        <v>I306</v>
      </c>
      <c r="L15" s="3" t="str">
        <f t="shared" si="1"/>
        <v>J306</v>
      </c>
      <c r="M15" s="3" t="str">
        <f t="shared" si="1"/>
        <v>K306</v>
      </c>
      <c r="N15" s="3" t="str">
        <f t="shared" si="1"/>
        <v>L306</v>
      </c>
      <c r="O15" s="6" t="str">
        <f t="shared" si="1"/>
        <v>L306</v>
      </c>
      <c r="P15" s="3" t="str">
        <f>'Model names'!C13</f>
        <v>MI</v>
      </c>
      <c r="Q15" s="8">
        <f>[37]Total_Reports!B306</f>
        <v>1910.7956772203761</v>
      </c>
      <c r="R15" s="8">
        <f>[37]Total_Reports!C306</f>
        <v>1980.2816983992948</v>
      </c>
      <c r="S15" s="8">
        <f>[37]Total_Reports!D306</f>
        <v>2044.1016798320986</v>
      </c>
      <c r="T15" s="8">
        <f>[37]Total_Reports!E306</f>
        <v>2107.6353456719776</v>
      </c>
      <c r="U15" s="8">
        <f>[37]Total_Reports!F306</f>
        <v>2188.7980486432798</v>
      </c>
      <c r="V15" s="8">
        <f>[37]Total_Reports!G306</f>
        <v>2260.9972340839508</v>
      </c>
      <c r="W15" s="8">
        <f>[37]Total_Reports!H306</f>
        <v>2345.1475263426864</v>
      </c>
      <c r="X15" s="8">
        <f>[37]Total_Reports!I306</f>
        <v>3425.9231150637029</v>
      </c>
      <c r="Y15" s="8">
        <f>[37]Total_Reports!J306</f>
        <v>3535.669213628928</v>
      </c>
      <c r="Z15" s="8">
        <f>[37]Total_Reports!K306</f>
        <v>3632.1231683554311</v>
      </c>
      <c r="AA15" s="8">
        <f>[37]Total_Reports!L306</f>
        <v>3736.0580039514789</v>
      </c>
      <c r="AB15" s="7">
        <f>[37]Total_Reports!L306</f>
        <v>3736.0580039514789</v>
      </c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tr">
        <f t="shared" si="0"/>
        <v>Total_Reports</v>
      </c>
      <c r="D16" s="3" t="str">
        <f t="shared" si="1"/>
        <v>B306</v>
      </c>
      <c r="E16" s="3" t="str">
        <f t="shared" si="1"/>
        <v>C306</v>
      </c>
      <c r="F16" s="3" t="str">
        <f t="shared" si="1"/>
        <v>D306</v>
      </c>
      <c r="G16" s="3" t="str">
        <f t="shared" si="1"/>
        <v>E306</v>
      </c>
      <c r="H16" s="3" t="str">
        <f t="shared" si="1"/>
        <v>F306</v>
      </c>
      <c r="I16" s="3" t="str">
        <f t="shared" si="1"/>
        <v>G306</v>
      </c>
      <c r="J16" s="3" t="str">
        <f t="shared" si="1"/>
        <v>H306</v>
      </c>
      <c r="K16" s="3" t="str">
        <f t="shared" si="1"/>
        <v>I306</v>
      </c>
      <c r="L16" s="3" t="str">
        <f t="shared" si="1"/>
        <v>J306</v>
      </c>
      <c r="M16" s="3" t="str">
        <f t="shared" si="1"/>
        <v>K306</v>
      </c>
      <c r="N16" s="3" t="str">
        <f t="shared" si="1"/>
        <v>L306</v>
      </c>
      <c r="O16" s="6" t="str">
        <f t="shared" si="1"/>
        <v>L306</v>
      </c>
      <c r="P16" s="3" t="str">
        <f>'Model names'!C14</f>
        <v>MO</v>
      </c>
      <c r="Q16" s="8">
        <f>[39]Total_Reports!B306</f>
        <v>628566.35176304239</v>
      </c>
      <c r="R16" s="8">
        <f>[39]Total_Reports!C306</f>
        <v>663057.70133138681</v>
      </c>
      <c r="S16" s="8">
        <f>[39]Total_Reports!D306</f>
        <v>686671.53492886038</v>
      </c>
      <c r="T16" s="8">
        <f>[39]Total_Reports!E306</f>
        <v>818284.04016716359</v>
      </c>
      <c r="U16" s="8">
        <f>[39]Total_Reports!F306</f>
        <v>896330.01026108535</v>
      </c>
      <c r="V16" s="8">
        <f>[39]Total_Reports!G306</f>
        <v>1002667.0328612122</v>
      </c>
      <c r="W16" s="8">
        <f>[39]Total_Reports!H306</f>
        <v>1102132.2952182423</v>
      </c>
      <c r="X16" s="8">
        <f>[39]Total_Reports!I306</f>
        <v>1147287.3243915029</v>
      </c>
      <c r="Y16" s="8">
        <f>[39]Total_Reports!J306</f>
        <v>1216013.4190954955</v>
      </c>
      <c r="Z16" s="8">
        <f>[39]Total_Reports!K306</f>
        <v>1293933.5180667194</v>
      </c>
      <c r="AA16" s="8">
        <f>[39]Total_Reports!L306</f>
        <v>1365903.8605661872</v>
      </c>
      <c r="AB16" s="7">
        <f>[39]Total_Reports!L306</f>
        <v>1365903.8605661872</v>
      </c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tr">
        <f t="shared" si="0"/>
        <v>Total_Reports</v>
      </c>
      <c r="D17" s="3" t="str">
        <f t="shared" si="1"/>
        <v>B306</v>
      </c>
      <c r="E17" s="3" t="str">
        <f t="shared" si="1"/>
        <v>C306</v>
      </c>
      <c r="F17" s="3" t="str">
        <f t="shared" si="1"/>
        <v>D306</v>
      </c>
      <c r="G17" s="3" t="str">
        <f t="shared" si="1"/>
        <v>E306</v>
      </c>
      <c r="H17" s="3" t="str">
        <f t="shared" si="1"/>
        <v>F306</v>
      </c>
      <c r="I17" s="3" t="str">
        <f t="shared" si="1"/>
        <v>G306</v>
      </c>
      <c r="J17" s="3" t="str">
        <f t="shared" si="1"/>
        <v>H306</v>
      </c>
      <c r="K17" s="3" t="str">
        <f t="shared" si="1"/>
        <v>I306</v>
      </c>
      <c r="L17" s="3" t="str">
        <f t="shared" si="1"/>
        <v>J306</v>
      </c>
      <c r="M17" s="3" t="str">
        <f t="shared" si="1"/>
        <v>K306</v>
      </c>
      <c r="N17" s="3" t="str">
        <f t="shared" si="1"/>
        <v>L306</v>
      </c>
      <c r="O17" s="6" t="str">
        <f t="shared" si="1"/>
        <v>L306</v>
      </c>
      <c r="P17" s="3" t="str">
        <f>'Model names'!C15</f>
        <v>NJ</v>
      </c>
      <c r="Q17" s="8">
        <f>[41]Total_Reports!B306</f>
        <v>1515881.0510851298</v>
      </c>
      <c r="R17" s="8">
        <f>[41]Total_Reports!C306</f>
        <v>1634991.0215745009</v>
      </c>
      <c r="S17" s="8">
        <f>[41]Total_Reports!D306</f>
        <v>1714603.4859964855</v>
      </c>
      <c r="T17" s="8">
        <f>[41]Total_Reports!E306</f>
        <v>1826528.9505227352</v>
      </c>
      <c r="U17" s="8">
        <f>[41]Total_Reports!F306</f>
        <v>1982292.3719072691</v>
      </c>
      <c r="V17" s="8">
        <f>[41]Total_Reports!G306</f>
        <v>2117837.0217076666</v>
      </c>
      <c r="W17" s="8">
        <f>[41]Total_Reports!H306</f>
        <v>2225094.4244053103</v>
      </c>
      <c r="X17" s="8">
        <f>[41]Total_Reports!I306</f>
        <v>2302483.5851802751</v>
      </c>
      <c r="Y17" s="8">
        <f>[41]Total_Reports!J306</f>
        <v>2402656.4909946397</v>
      </c>
      <c r="Z17" s="8">
        <f>[41]Total_Reports!K306</f>
        <v>2503464.7224350413</v>
      </c>
      <c r="AA17" s="8">
        <f>[41]Total_Reports!L306</f>
        <v>2577109.5386096491</v>
      </c>
      <c r="AB17" s="7">
        <f>[41]Total_Reports!L306</f>
        <v>2577109.5386096491</v>
      </c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tr">
        <f t="shared" si="0"/>
        <v>Total_Reports</v>
      </c>
      <c r="D18" s="3" t="str">
        <f t="shared" si="1"/>
        <v>B306</v>
      </c>
      <c r="E18" s="3" t="str">
        <f t="shared" si="1"/>
        <v>C306</v>
      </c>
      <c r="F18" s="3" t="str">
        <f t="shared" si="1"/>
        <v>D306</v>
      </c>
      <c r="G18" s="3" t="str">
        <f t="shared" si="1"/>
        <v>E306</v>
      </c>
      <c r="H18" s="3" t="str">
        <f t="shared" si="1"/>
        <v>F306</v>
      </c>
      <c r="I18" s="3" t="str">
        <f t="shared" si="1"/>
        <v>G306</v>
      </c>
      <c r="J18" s="3" t="str">
        <f t="shared" si="1"/>
        <v>H306</v>
      </c>
      <c r="K18" s="3" t="str">
        <f t="shared" si="1"/>
        <v>I306</v>
      </c>
      <c r="L18" s="3" t="str">
        <f t="shared" si="1"/>
        <v>J306</v>
      </c>
      <c r="M18" s="3" t="str">
        <f t="shared" si="1"/>
        <v>K306</v>
      </c>
      <c r="N18" s="3" t="str">
        <f t="shared" si="1"/>
        <v>L306</v>
      </c>
      <c r="O18" s="6" t="str">
        <f t="shared" si="1"/>
        <v>L306</v>
      </c>
      <c r="P18" s="3" t="str">
        <f>'Model names'!C16</f>
        <v>NY</v>
      </c>
      <c r="Q18" s="8">
        <f>[43]Total_Reports!B306</f>
        <v>147564.57004187608</v>
      </c>
      <c r="R18" s="8">
        <f>[43]Total_Reports!C306</f>
        <v>156843.90871934546</v>
      </c>
      <c r="S18" s="8">
        <f>[43]Total_Reports!D306</f>
        <v>172780.86257317822</v>
      </c>
      <c r="T18" s="8">
        <f>[43]Total_Reports!E306</f>
        <v>189204.23491303599</v>
      </c>
      <c r="U18" s="8">
        <f>[43]Total_Reports!F306</f>
        <v>198246.65773817181</v>
      </c>
      <c r="V18" s="8">
        <f>[43]Total_Reports!G306</f>
        <v>207101.8911971717</v>
      </c>
      <c r="W18" s="8">
        <f>[43]Total_Reports!H306</f>
        <v>216354.38540365093</v>
      </c>
      <c r="X18" s="8">
        <f>[43]Total_Reports!I306</f>
        <v>228148.11132753416</v>
      </c>
      <c r="Y18" s="8">
        <f>[43]Total_Reports!J306</f>
        <v>238629.59789773874</v>
      </c>
      <c r="Z18" s="8">
        <f>[43]Total_Reports!K306</f>
        <v>247648.32546932437</v>
      </c>
      <c r="AA18" s="8">
        <f>[43]Total_Reports!L306</f>
        <v>258888.90734476503</v>
      </c>
      <c r="AB18" s="7">
        <f>[43]Total_Reports!L306</f>
        <v>258888.90734476503</v>
      </c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tr">
        <f t="shared" si="0"/>
        <v>Total_Reports</v>
      </c>
      <c r="D19" s="3" t="str">
        <f t="shared" si="1"/>
        <v>B306</v>
      </c>
      <c r="E19" s="3" t="str">
        <f t="shared" si="1"/>
        <v>C306</v>
      </c>
      <c r="F19" s="3" t="str">
        <f t="shared" si="1"/>
        <v>D306</v>
      </c>
      <c r="G19" s="3" t="str">
        <f t="shared" si="1"/>
        <v>E306</v>
      </c>
      <c r="H19" s="3" t="str">
        <f t="shared" si="1"/>
        <v>F306</v>
      </c>
      <c r="I19" s="3" t="str">
        <f t="shared" si="1"/>
        <v>G306</v>
      </c>
      <c r="J19" s="3" t="str">
        <f t="shared" si="1"/>
        <v>H306</v>
      </c>
      <c r="K19" s="3" t="str">
        <f t="shared" si="1"/>
        <v>I306</v>
      </c>
      <c r="L19" s="3" t="str">
        <f t="shared" si="1"/>
        <v>J306</v>
      </c>
      <c r="M19" s="3" t="str">
        <f t="shared" si="1"/>
        <v>K306</v>
      </c>
      <c r="N19" s="3" t="str">
        <f t="shared" si="1"/>
        <v>L306</v>
      </c>
      <c r="O19" s="6" t="str">
        <f t="shared" si="1"/>
        <v>L306</v>
      </c>
      <c r="P19" s="3" t="str">
        <f>'Model names'!C17</f>
        <v>PA</v>
      </c>
      <c r="Q19" s="8">
        <f>[45]Total_Reports!B306</f>
        <v>1602030.4344999092</v>
      </c>
      <c r="R19" s="8">
        <f>[45]Total_Reports!C306</f>
        <v>1892374.2049725705</v>
      </c>
      <c r="S19" s="8">
        <f>[45]Total_Reports!D306</f>
        <v>1979682.5380533517</v>
      </c>
      <c r="T19" s="8">
        <f>[45]Total_Reports!E306</f>
        <v>2059213.0113714228</v>
      </c>
      <c r="U19" s="8">
        <f>[45]Total_Reports!F306</f>
        <v>2240856.6196136139</v>
      </c>
      <c r="V19" s="8">
        <f>[45]Total_Reports!G306</f>
        <v>2326562.6887570759</v>
      </c>
      <c r="W19" s="8">
        <f>[45]Total_Reports!H306</f>
        <v>2416646.7021662891</v>
      </c>
      <c r="X19" s="8">
        <f>[45]Total_Reports!I306</f>
        <v>2660976.8623797577</v>
      </c>
      <c r="Y19" s="8">
        <f>[45]Total_Reports!J306</f>
        <v>2760745.3100160444</v>
      </c>
      <c r="Z19" s="8">
        <f>[45]Total_Reports!K306</f>
        <v>2860782.8452007798</v>
      </c>
      <c r="AA19" s="8">
        <f>[45]Total_Reports!L306</f>
        <v>3052062.0244915588</v>
      </c>
      <c r="AB19" s="7">
        <f>[45]Total_Reports!L306</f>
        <v>3052062.0244915588</v>
      </c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tr">
        <f t="shared" si="0"/>
        <v>Total_Reports</v>
      </c>
      <c r="D20" s="3" t="str">
        <f t="shared" si="1"/>
        <v>B306</v>
      </c>
      <c r="E20" s="3" t="str">
        <f t="shared" si="1"/>
        <v>C306</v>
      </c>
      <c r="F20" s="3" t="str">
        <f t="shared" si="1"/>
        <v>D306</v>
      </c>
      <c r="G20" s="3" t="str">
        <f t="shared" si="1"/>
        <v>E306</v>
      </c>
      <c r="H20" s="3" t="str">
        <f t="shared" si="1"/>
        <v>F306</v>
      </c>
      <c r="I20" s="3" t="str">
        <f t="shared" si="1"/>
        <v>G306</v>
      </c>
      <c r="J20" s="3" t="str">
        <f t="shared" si="1"/>
        <v>H306</v>
      </c>
      <c r="K20" s="3" t="str">
        <f t="shared" si="1"/>
        <v>I306</v>
      </c>
      <c r="L20" s="3" t="str">
        <f t="shared" si="1"/>
        <v>J306</v>
      </c>
      <c r="M20" s="3" t="str">
        <f t="shared" si="1"/>
        <v>K306</v>
      </c>
      <c r="N20" s="3" t="str">
        <f t="shared" si="1"/>
        <v>L306</v>
      </c>
      <c r="O20" s="6" t="str">
        <f t="shared" si="1"/>
        <v>L306</v>
      </c>
      <c r="P20" s="3" t="str">
        <f>'Model names'!C18</f>
        <v>TN</v>
      </c>
      <c r="Q20" s="8">
        <f>[47]Total_Reports!B306</f>
        <v>85804.2518233679</v>
      </c>
      <c r="R20" s="8">
        <f>[47]Total_Reports!C306</f>
        <v>92053.289690459118</v>
      </c>
      <c r="S20" s="8">
        <f>[47]Total_Reports!D306</f>
        <v>104561.22378467706</v>
      </c>
      <c r="T20" s="8">
        <f>[47]Total_Reports!E306</f>
        <v>111988.6027973678</v>
      </c>
      <c r="U20" s="8">
        <f>[47]Total_Reports!F306</f>
        <v>122433.40758746066</v>
      </c>
      <c r="V20" s="8">
        <f>[47]Total_Reports!G306</f>
        <v>132480.62107830439</v>
      </c>
      <c r="W20" s="8">
        <f>[47]Total_Reports!H306</f>
        <v>153357.22323856218</v>
      </c>
      <c r="X20" s="8">
        <f>[47]Total_Reports!I306</f>
        <v>168678.732550115</v>
      </c>
      <c r="Y20" s="8">
        <f>[47]Total_Reports!J306</f>
        <v>193969.82167773787</v>
      </c>
      <c r="Z20" s="8">
        <f>[47]Total_Reports!K306</f>
        <v>210337.69300217842</v>
      </c>
      <c r="AA20" s="8">
        <f>[47]Total_Reports!L306</f>
        <v>231675.93861588885</v>
      </c>
      <c r="AB20" s="7">
        <f>[47]Total_Reports!L306</f>
        <v>231675.93861588885</v>
      </c>
      <c r="AC20" s="8"/>
      <c r="AG20" s="5"/>
      <c r="AH20" s="5"/>
    </row>
    <row r="21" spans="1:34" hidden="1" outlineLevel="1" x14ac:dyDescent="0.3">
      <c r="A21" s="2" t="str">
        <f t="shared" ref="A21:A33" si="2">IF(B21=0,"",A20)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tr">
        <f t="shared" si="0"/>
        <v>Total_Reports</v>
      </c>
      <c r="D21" s="3" t="str">
        <f t="shared" si="1"/>
        <v>B306</v>
      </c>
      <c r="E21" s="3" t="str">
        <f t="shared" si="1"/>
        <v>C306</v>
      </c>
      <c r="F21" s="3" t="str">
        <f t="shared" si="1"/>
        <v>D306</v>
      </c>
      <c r="G21" s="3" t="str">
        <f t="shared" si="1"/>
        <v>E306</v>
      </c>
      <c r="H21" s="3" t="str">
        <f t="shared" si="1"/>
        <v>F306</v>
      </c>
      <c r="I21" s="3" t="str">
        <f t="shared" si="1"/>
        <v>G306</v>
      </c>
      <c r="J21" s="3" t="str">
        <f t="shared" si="1"/>
        <v>H306</v>
      </c>
      <c r="K21" s="3" t="str">
        <f t="shared" si="1"/>
        <v>I306</v>
      </c>
      <c r="L21" s="3" t="str">
        <f t="shared" si="1"/>
        <v>J306</v>
      </c>
      <c r="M21" s="3" t="str">
        <f t="shared" si="1"/>
        <v>K306</v>
      </c>
      <c r="N21" s="3" t="str">
        <f t="shared" si="1"/>
        <v>L306</v>
      </c>
      <c r="O21" s="6" t="str">
        <f t="shared" si="1"/>
        <v>L306</v>
      </c>
      <c r="P21" s="3" t="str">
        <f>'Model names'!C19</f>
        <v>VA</v>
      </c>
      <c r="Q21" s="8">
        <f>[49]Total_Reports!B306</f>
        <v>73427.474418732803</v>
      </c>
      <c r="R21" s="8">
        <f>[49]Total_Reports!C306</f>
        <v>86210.899957015208</v>
      </c>
      <c r="S21" s="8">
        <f>[49]Total_Reports!D306</f>
        <v>90609.949798943853</v>
      </c>
      <c r="T21" s="8">
        <f>[49]Total_Reports!E306</f>
        <v>93811.789646932084</v>
      </c>
      <c r="U21" s="8">
        <f>[49]Total_Reports!F306</f>
        <v>99823.418652934313</v>
      </c>
      <c r="V21" s="8">
        <f>[49]Total_Reports!G306</f>
        <v>104052.85048962367</v>
      </c>
      <c r="W21" s="8">
        <f>[49]Total_Reports!H306</f>
        <v>110697.82228545161</v>
      </c>
      <c r="X21" s="8">
        <f>[49]Total_Reports!I306</f>
        <v>120012.88737294529</v>
      </c>
      <c r="Y21" s="8">
        <f>[49]Total_Reports!J306</f>
        <v>123467.56023512648</v>
      </c>
      <c r="Z21" s="8">
        <f>[49]Total_Reports!K306</f>
        <v>127446.43103858543</v>
      </c>
      <c r="AA21" s="8">
        <f>[49]Total_Reports!L306</f>
        <v>131638.73992219064</v>
      </c>
      <c r="AB21" s="7">
        <f>[49]Total_Reports!L306</f>
        <v>131638.73992219064</v>
      </c>
      <c r="AC21" s="8"/>
    </row>
    <row r="22" spans="1:34" hidden="1" outlineLevel="1" x14ac:dyDescent="0.3">
      <c r="A22" s="2" t="str">
        <f t="shared" si="2"/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tr">
        <f t="shared" si="0"/>
        <v>Total_Reports</v>
      </c>
      <c r="D22" s="3" t="str">
        <f t="shared" si="1"/>
        <v>B306</v>
      </c>
      <c r="E22" s="3" t="str">
        <f t="shared" si="1"/>
        <v>C306</v>
      </c>
      <c r="F22" s="3" t="str">
        <f t="shared" si="1"/>
        <v>D306</v>
      </c>
      <c r="G22" s="3" t="str">
        <f t="shared" si="1"/>
        <v>E306</v>
      </c>
      <c r="H22" s="3" t="str">
        <f t="shared" si="1"/>
        <v>F306</v>
      </c>
      <c r="I22" s="3" t="str">
        <f t="shared" si="1"/>
        <v>G306</v>
      </c>
      <c r="J22" s="3" t="str">
        <f t="shared" si="1"/>
        <v>H306</v>
      </c>
      <c r="K22" s="3" t="str">
        <f t="shared" si="1"/>
        <v>I306</v>
      </c>
      <c r="L22" s="3" t="str">
        <f t="shared" si="1"/>
        <v>J306</v>
      </c>
      <c r="M22" s="3" t="str">
        <f t="shared" si="1"/>
        <v>K306</v>
      </c>
      <c r="N22" s="3" t="str">
        <f t="shared" si="1"/>
        <v>L306</v>
      </c>
      <c r="O22" s="6" t="str">
        <f t="shared" si="1"/>
        <v>L306</v>
      </c>
      <c r="P22" s="3" t="str">
        <f>'Model names'!C20</f>
        <v>WV</v>
      </c>
      <c r="Q22" s="8">
        <f>[51]Total_Reports!B306</f>
        <v>279923.65044634638</v>
      </c>
      <c r="R22" s="8">
        <f>[51]Total_Reports!C306</f>
        <v>339579.09953961294</v>
      </c>
      <c r="S22" s="8">
        <f>[51]Total_Reports!D306</f>
        <v>352175.99885156227</v>
      </c>
      <c r="T22" s="8">
        <f>[51]Total_Reports!E306</f>
        <v>366569.3290753286</v>
      </c>
      <c r="U22" s="8">
        <f>[51]Total_Reports!F306</f>
        <v>410167.34171352518</v>
      </c>
      <c r="V22" s="8">
        <f>[51]Total_Reports!G306</f>
        <v>428676.32202122215</v>
      </c>
      <c r="W22" s="8">
        <f>[51]Total_Reports!H306</f>
        <v>456703.50861013157</v>
      </c>
      <c r="X22" s="8">
        <f>[51]Total_Reports!I306</f>
        <v>482563.55154460913</v>
      </c>
      <c r="Y22" s="8">
        <f>[51]Total_Reports!J306</f>
        <v>503394.61715399218</v>
      </c>
      <c r="Z22" s="8">
        <f>[51]Total_Reports!K306</f>
        <v>533461.69750895433</v>
      </c>
      <c r="AA22" s="8">
        <f>[51]Total_Reports!L306</f>
        <v>564343.86028902535</v>
      </c>
      <c r="AB22" s="7">
        <f>[51]Total_Reports!L306</f>
        <v>564343.86028902535</v>
      </c>
      <c r="AC22" s="8"/>
    </row>
    <row r="23" spans="1:34" hidden="1" outlineLevel="1" x14ac:dyDescent="0.3">
      <c r="A23" s="2" t="str">
        <f t="shared" si="2"/>
        <v/>
      </c>
      <c r="B23" s="3">
        <f>'Model names'!B21</f>
        <v>0</v>
      </c>
      <c r="C23" s="3" t="str">
        <f t="shared" si="0"/>
        <v/>
      </c>
      <c r="D23" s="3" t="str">
        <f t="shared" si="1"/>
        <v>B306</v>
      </c>
      <c r="E23" s="3" t="str">
        <f t="shared" si="1"/>
        <v>C306</v>
      </c>
      <c r="F23" s="3" t="str">
        <f t="shared" si="1"/>
        <v>D306</v>
      </c>
      <c r="G23" s="3" t="str">
        <f t="shared" si="1"/>
        <v>E306</v>
      </c>
      <c r="H23" s="3" t="str">
        <f t="shared" si="1"/>
        <v>F306</v>
      </c>
      <c r="I23" s="3" t="str">
        <f t="shared" si="1"/>
        <v>G306</v>
      </c>
      <c r="J23" s="3" t="str">
        <f t="shared" si="1"/>
        <v>H306</v>
      </c>
      <c r="K23" s="3" t="str">
        <f t="shared" si="1"/>
        <v>I306</v>
      </c>
      <c r="L23" s="3" t="str">
        <f t="shared" si="1"/>
        <v>J306</v>
      </c>
      <c r="M23" s="3" t="str">
        <f t="shared" si="1"/>
        <v>K306</v>
      </c>
      <c r="N23" s="3" t="str">
        <f t="shared" si="1"/>
        <v>L306</v>
      </c>
      <c r="O23" s="6" t="str">
        <f t="shared" si="1"/>
        <v>L306</v>
      </c>
      <c r="P23" s="18">
        <f>'Model names'!C21</f>
        <v>0</v>
      </c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8"/>
      <c r="AC23" s="8"/>
    </row>
    <row r="24" spans="1:34" hidden="1" outlineLevel="1" x14ac:dyDescent="0.3">
      <c r="A24" s="2" t="e">
        <f t="shared" si="2"/>
        <v>#REF!</v>
      </c>
      <c r="B24" s="3" t="e">
        <f>'Model names'!#REF!</f>
        <v>#REF!</v>
      </c>
      <c r="C24" s="3" t="e">
        <f t="shared" si="0"/>
        <v>#REF!</v>
      </c>
      <c r="D24" s="3" t="e">
        <f t="shared" si="1"/>
        <v>#REF!</v>
      </c>
      <c r="E24" s="3" t="e">
        <f t="shared" si="1"/>
        <v>#REF!</v>
      </c>
      <c r="F24" s="3" t="e">
        <f t="shared" si="1"/>
        <v>#REF!</v>
      </c>
      <c r="G24" s="3" t="e">
        <f t="shared" si="1"/>
        <v>#REF!</v>
      </c>
      <c r="H24" s="3" t="e">
        <f t="shared" si="1"/>
        <v>#REF!</v>
      </c>
      <c r="I24" s="3" t="e">
        <f t="shared" si="1"/>
        <v>#REF!</v>
      </c>
      <c r="J24" s="3" t="e">
        <f t="shared" si="1"/>
        <v>#REF!</v>
      </c>
      <c r="K24" s="3" t="e">
        <f t="shared" si="1"/>
        <v>#REF!</v>
      </c>
      <c r="L24" s="3" t="e">
        <f t="shared" si="1"/>
        <v>#REF!</v>
      </c>
      <c r="M24" s="3" t="e">
        <f t="shared" si="1"/>
        <v>#REF!</v>
      </c>
      <c r="N24" s="3" t="e">
        <f t="shared" si="1"/>
        <v>#REF!</v>
      </c>
      <c r="O24" s="6" t="e">
        <f t="shared" si="1"/>
        <v>#REF!</v>
      </c>
      <c r="P24" s="18" t="e">
        <f>'Model names'!#REF!</f>
        <v>#REF!</v>
      </c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8"/>
      <c r="AC24" s="8"/>
    </row>
    <row r="25" spans="1:34" hidden="1" outlineLevel="1" x14ac:dyDescent="0.3">
      <c r="A25" s="2" t="e">
        <f t="shared" si="2"/>
        <v>#REF!</v>
      </c>
      <c r="B25" s="3" t="e">
        <f>'Model names'!#REF!</f>
        <v>#REF!</v>
      </c>
      <c r="C25" s="3" t="e">
        <f t="shared" si="0"/>
        <v>#REF!</v>
      </c>
      <c r="D25" s="3" t="e">
        <f t="shared" si="1"/>
        <v>#REF!</v>
      </c>
      <c r="E25" s="3" t="e">
        <f t="shared" si="1"/>
        <v>#REF!</v>
      </c>
      <c r="F25" s="3" t="e">
        <f t="shared" si="1"/>
        <v>#REF!</v>
      </c>
      <c r="G25" s="3" t="e">
        <f t="shared" si="1"/>
        <v>#REF!</v>
      </c>
      <c r="H25" s="3" t="e">
        <f t="shared" si="1"/>
        <v>#REF!</v>
      </c>
      <c r="I25" s="3" t="e">
        <f t="shared" si="1"/>
        <v>#REF!</v>
      </c>
      <c r="J25" s="3" t="e">
        <f t="shared" si="1"/>
        <v>#REF!</v>
      </c>
      <c r="K25" s="3" t="e">
        <f t="shared" si="1"/>
        <v>#REF!</v>
      </c>
      <c r="L25" s="3" t="e">
        <f t="shared" si="1"/>
        <v>#REF!</v>
      </c>
      <c r="M25" s="3" t="e">
        <f t="shared" si="1"/>
        <v>#REF!</v>
      </c>
      <c r="N25" s="3" t="e">
        <f t="shared" si="1"/>
        <v>#REF!</v>
      </c>
      <c r="O25" s="6" t="e">
        <f t="shared" si="1"/>
        <v>#REF!</v>
      </c>
      <c r="P25" s="18" t="e">
        <f>'Model names'!#REF!</f>
        <v>#REF!</v>
      </c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8"/>
      <c r="AC25" s="8"/>
    </row>
    <row r="26" spans="1:34" hidden="1" outlineLevel="1" x14ac:dyDescent="0.3">
      <c r="A26" s="2" t="e">
        <f t="shared" si="2"/>
        <v>#REF!</v>
      </c>
      <c r="B26" s="3" t="e">
        <f>'Model names'!#REF!</f>
        <v>#REF!</v>
      </c>
      <c r="C26" s="3" t="e">
        <f t="shared" si="0"/>
        <v>#REF!</v>
      </c>
      <c r="D26" s="3" t="e">
        <f t="shared" si="1"/>
        <v>#REF!</v>
      </c>
      <c r="E26" s="3" t="e">
        <f t="shared" si="1"/>
        <v>#REF!</v>
      </c>
      <c r="F26" s="3" t="e">
        <f t="shared" si="1"/>
        <v>#REF!</v>
      </c>
      <c r="G26" s="3" t="e">
        <f t="shared" si="1"/>
        <v>#REF!</v>
      </c>
      <c r="H26" s="3" t="e">
        <f t="shared" si="1"/>
        <v>#REF!</v>
      </c>
      <c r="I26" s="3" t="e">
        <f t="shared" si="1"/>
        <v>#REF!</v>
      </c>
      <c r="J26" s="3" t="e">
        <f t="shared" si="1"/>
        <v>#REF!</v>
      </c>
      <c r="K26" s="3" t="e">
        <f t="shared" si="1"/>
        <v>#REF!</v>
      </c>
      <c r="L26" s="3" t="e">
        <f t="shared" si="1"/>
        <v>#REF!</v>
      </c>
      <c r="M26" s="3" t="e">
        <f t="shared" si="1"/>
        <v>#REF!</v>
      </c>
      <c r="N26" s="3" t="e">
        <f t="shared" si="1"/>
        <v>#REF!</v>
      </c>
      <c r="O26" s="6" t="e">
        <f t="shared" si="1"/>
        <v>#REF!</v>
      </c>
      <c r="P26" s="18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2" t="e">
        <f t="shared" si="2"/>
        <v>#REF!</v>
      </c>
      <c r="B27" s="3" t="e">
        <f>'Model names'!#REF!</f>
        <v>#REF!</v>
      </c>
      <c r="C27" s="3" t="e">
        <f t="shared" si="0"/>
        <v>#REF!</v>
      </c>
      <c r="D27" s="3" t="e">
        <f t="shared" si="1"/>
        <v>#REF!</v>
      </c>
      <c r="E27" s="3" t="e">
        <f t="shared" si="1"/>
        <v>#REF!</v>
      </c>
      <c r="F27" s="3" t="e">
        <f t="shared" si="1"/>
        <v>#REF!</v>
      </c>
      <c r="G27" s="3" t="e">
        <f t="shared" si="1"/>
        <v>#REF!</v>
      </c>
      <c r="H27" s="3" t="e">
        <f t="shared" si="1"/>
        <v>#REF!</v>
      </c>
      <c r="I27" s="3" t="e">
        <f t="shared" si="1"/>
        <v>#REF!</v>
      </c>
      <c r="J27" s="3" t="e">
        <f t="shared" si="1"/>
        <v>#REF!</v>
      </c>
      <c r="K27" s="3" t="e">
        <f t="shared" si="1"/>
        <v>#REF!</v>
      </c>
      <c r="L27" s="3" t="e">
        <f t="shared" si="1"/>
        <v>#REF!</v>
      </c>
      <c r="M27" s="3" t="e">
        <f t="shared" si="1"/>
        <v>#REF!</v>
      </c>
      <c r="N27" s="3" t="e">
        <f t="shared" si="1"/>
        <v>#REF!</v>
      </c>
      <c r="O27" s="6" t="e">
        <f t="shared" si="1"/>
        <v>#REF!</v>
      </c>
      <c r="P27" s="18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2" t="e">
        <f t="shared" si="2"/>
        <v>#REF!</v>
      </c>
      <c r="B28" s="3" t="e">
        <f>'Model names'!#REF!</f>
        <v>#REF!</v>
      </c>
      <c r="C28" s="3" t="e">
        <f t="shared" si="0"/>
        <v>#REF!</v>
      </c>
      <c r="D28" s="3" t="e">
        <f t="shared" si="1"/>
        <v>#REF!</v>
      </c>
      <c r="E28" s="3" t="e">
        <f t="shared" si="1"/>
        <v>#REF!</v>
      </c>
      <c r="F28" s="3" t="e">
        <f t="shared" si="1"/>
        <v>#REF!</v>
      </c>
      <c r="G28" s="3" t="e">
        <f t="shared" si="1"/>
        <v>#REF!</v>
      </c>
      <c r="H28" s="3" t="e">
        <f t="shared" si="1"/>
        <v>#REF!</v>
      </c>
      <c r="I28" s="3" t="e">
        <f t="shared" si="1"/>
        <v>#REF!</v>
      </c>
      <c r="J28" s="3" t="e">
        <f t="shared" si="1"/>
        <v>#REF!</v>
      </c>
      <c r="K28" s="3" t="e">
        <f t="shared" si="1"/>
        <v>#REF!</v>
      </c>
      <c r="L28" s="3" t="e">
        <f t="shared" si="1"/>
        <v>#REF!</v>
      </c>
      <c r="M28" s="3" t="e">
        <f t="shared" si="1"/>
        <v>#REF!</v>
      </c>
      <c r="N28" s="3" t="e">
        <f t="shared" si="1"/>
        <v>#REF!</v>
      </c>
      <c r="O28" s="6" t="e">
        <f t="shared" si="1"/>
        <v>#REF!</v>
      </c>
      <c r="P28" s="18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2" t="e">
        <f t="shared" si="2"/>
        <v>#REF!</v>
      </c>
      <c r="B29" s="3" t="e">
        <f>'Model names'!#REF!</f>
        <v>#REF!</v>
      </c>
      <c r="C29" s="3" t="e">
        <f t="shared" si="0"/>
        <v>#REF!</v>
      </c>
      <c r="D29" s="3" t="e">
        <f t="shared" si="1"/>
        <v>#REF!</v>
      </c>
      <c r="E29" s="3" t="e">
        <f t="shared" si="1"/>
        <v>#REF!</v>
      </c>
      <c r="F29" s="3" t="e">
        <f t="shared" si="1"/>
        <v>#REF!</v>
      </c>
      <c r="G29" s="3" t="e">
        <f t="shared" si="1"/>
        <v>#REF!</v>
      </c>
      <c r="H29" s="3" t="e">
        <f t="shared" si="1"/>
        <v>#REF!</v>
      </c>
      <c r="I29" s="3" t="e">
        <f t="shared" si="1"/>
        <v>#REF!</v>
      </c>
      <c r="J29" s="3" t="e">
        <f t="shared" si="1"/>
        <v>#REF!</v>
      </c>
      <c r="K29" s="3" t="e">
        <f t="shared" si="1"/>
        <v>#REF!</v>
      </c>
      <c r="L29" s="3" t="e">
        <f t="shared" si="1"/>
        <v>#REF!</v>
      </c>
      <c r="M29" s="3" t="e">
        <f t="shared" si="1"/>
        <v>#REF!</v>
      </c>
      <c r="N29" s="3" t="e">
        <f t="shared" si="1"/>
        <v>#REF!</v>
      </c>
      <c r="O29" s="6" t="e">
        <f t="shared" si="1"/>
        <v>#REF!</v>
      </c>
      <c r="P29" s="18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2" t="e">
        <f t="shared" si="2"/>
        <v>#REF!</v>
      </c>
      <c r="B30" s="3" t="e">
        <f>'Model names'!#REF!</f>
        <v>#REF!</v>
      </c>
      <c r="C30" s="3" t="e">
        <f t="shared" si="0"/>
        <v>#REF!</v>
      </c>
      <c r="D30" s="3" t="e">
        <f t="shared" ref="D30:O30" si="3">IF(C30=0,"",D29)</f>
        <v>#REF!</v>
      </c>
      <c r="E30" s="3" t="e">
        <f t="shared" si="3"/>
        <v>#REF!</v>
      </c>
      <c r="F30" s="3" t="e">
        <f t="shared" si="3"/>
        <v>#REF!</v>
      </c>
      <c r="G30" s="3" t="e">
        <f t="shared" si="3"/>
        <v>#REF!</v>
      </c>
      <c r="H30" s="3" t="e">
        <f t="shared" si="3"/>
        <v>#REF!</v>
      </c>
      <c r="I30" s="3" t="e">
        <f t="shared" si="3"/>
        <v>#REF!</v>
      </c>
      <c r="J30" s="3" t="e">
        <f t="shared" si="3"/>
        <v>#REF!</v>
      </c>
      <c r="K30" s="3" t="e">
        <f t="shared" si="3"/>
        <v>#REF!</v>
      </c>
      <c r="L30" s="3" t="e">
        <f t="shared" si="3"/>
        <v>#REF!</v>
      </c>
      <c r="M30" s="3" t="e">
        <f t="shared" si="3"/>
        <v>#REF!</v>
      </c>
      <c r="N30" s="3" t="e">
        <f t="shared" si="3"/>
        <v>#REF!</v>
      </c>
      <c r="O30" s="6" t="e">
        <f t="shared" si="3"/>
        <v>#REF!</v>
      </c>
      <c r="P30" s="18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2" t="e">
        <f t="shared" si="2"/>
        <v>#REF!</v>
      </c>
      <c r="B31" s="3" t="e">
        <f>'Model names'!#REF!</f>
        <v>#REF!</v>
      </c>
      <c r="C31" s="3" t="e">
        <f t="shared" ref="C31:O33" si="4">IF(B31=0,"",C30)</f>
        <v>#REF!</v>
      </c>
      <c r="D31" s="3" t="e">
        <f t="shared" si="4"/>
        <v>#REF!</v>
      </c>
      <c r="E31" s="3" t="e">
        <f t="shared" si="4"/>
        <v>#REF!</v>
      </c>
      <c r="F31" s="3" t="e">
        <f t="shared" si="4"/>
        <v>#REF!</v>
      </c>
      <c r="G31" s="3" t="e">
        <f t="shared" si="4"/>
        <v>#REF!</v>
      </c>
      <c r="H31" s="3" t="e">
        <f t="shared" si="4"/>
        <v>#REF!</v>
      </c>
      <c r="I31" s="3" t="e">
        <f t="shared" si="4"/>
        <v>#REF!</v>
      </c>
      <c r="J31" s="3" t="e">
        <f t="shared" si="4"/>
        <v>#REF!</v>
      </c>
      <c r="K31" s="3" t="e">
        <f t="shared" si="4"/>
        <v>#REF!</v>
      </c>
      <c r="L31" s="3" t="e">
        <f t="shared" si="4"/>
        <v>#REF!</v>
      </c>
      <c r="M31" s="3" t="e">
        <f t="shared" si="4"/>
        <v>#REF!</v>
      </c>
      <c r="N31" s="3" t="e">
        <f t="shared" si="4"/>
        <v>#REF!</v>
      </c>
      <c r="O31" s="6" t="e">
        <f t="shared" si="4"/>
        <v>#REF!</v>
      </c>
      <c r="P31" s="18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2" t="e">
        <f t="shared" si="2"/>
        <v>#REF!</v>
      </c>
      <c r="B32" s="3" t="e">
        <f>'Model names'!#REF!</f>
        <v>#REF!</v>
      </c>
      <c r="C32" s="3" t="e">
        <f t="shared" si="4"/>
        <v>#REF!</v>
      </c>
      <c r="D32" s="3" t="e">
        <f t="shared" si="4"/>
        <v>#REF!</v>
      </c>
      <c r="E32" s="3" t="e">
        <f t="shared" si="4"/>
        <v>#REF!</v>
      </c>
      <c r="F32" s="3" t="e">
        <f t="shared" si="4"/>
        <v>#REF!</v>
      </c>
      <c r="G32" s="3" t="e">
        <f t="shared" si="4"/>
        <v>#REF!</v>
      </c>
      <c r="H32" s="3" t="e">
        <f t="shared" si="4"/>
        <v>#REF!</v>
      </c>
      <c r="I32" s="3" t="e">
        <f t="shared" si="4"/>
        <v>#REF!</v>
      </c>
      <c r="J32" s="3" t="e">
        <f t="shared" si="4"/>
        <v>#REF!</v>
      </c>
      <c r="K32" s="3" t="e">
        <f t="shared" si="4"/>
        <v>#REF!</v>
      </c>
      <c r="L32" s="3" t="e">
        <f t="shared" si="4"/>
        <v>#REF!</v>
      </c>
      <c r="M32" s="3" t="e">
        <f t="shared" si="4"/>
        <v>#REF!</v>
      </c>
      <c r="N32" s="3" t="e">
        <f t="shared" si="4"/>
        <v>#REF!</v>
      </c>
      <c r="O32" s="6" t="e">
        <f t="shared" si="4"/>
        <v>#REF!</v>
      </c>
      <c r="P32" s="18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2" t="e">
        <f t="shared" si="2"/>
        <v>#REF!</v>
      </c>
      <c r="B33" s="3" t="e">
        <f>'Model names'!#REF!</f>
        <v>#REF!</v>
      </c>
      <c r="C33" s="3" t="e">
        <f t="shared" si="4"/>
        <v>#REF!</v>
      </c>
      <c r="D33" s="3" t="e">
        <f t="shared" si="4"/>
        <v>#REF!</v>
      </c>
      <c r="E33" s="3" t="e">
        <f t="shared" si="4"/>
        <v>#REF!</v>
      </c>
      <c r="F33" s="3" t="e">
        <f t="shared" si="4"/>
        <v>#REF!</v>
      </c>
      <c r="G33" s="3" t="e">
        <f t="shared" si="4"/>
        <v>#REF!</v>
      </c>
      <c r="H33" s="3" t="e">
        <f t="shared" si="4"/>
        <v>#REF!</v>
      </c>
      <c r="I33" s="3" t="e">
        <f t="shared" si="4"/>
        <v>#REF!</v>
      </c>
      <c r="J33" s="3" t="e">
        <f t="shared" si="4"/>
        <v>#REF!</v>
      </c>
      <c r="K33" s="3" t="e">
        <f t="shared" si="4"/>
        <v>#REF!</v>
      </c>
      <c r="L33" s="3" t="e">
        <f t="shared" si="4"/>
        <v>#REF!</v>
      </c>
      <c r="M33" s="3" t="e">
        <f t="shared" si="4"/>
        <v>#REF!</v>
      </c>
      <c r="N33" s="3" t="e">
        <f t="shared" si="4"/>
        <v>#REF!</v>
      </c>
      <c r="O33" s="6" t="e">
        <f t="shared" si="4"/>
        <v>#REF!</v>
      </c>
      <c r="P33" s="18" t="e">
        <f>'Model names'!#REF!</f>
        <v>#REF!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>
      <c r="Q34" s="26">
        <f>SUM(Q4:Q20)</f>
        <v>5608838.4997642413</v>
      </c>
      <c r="R34" s="27">
        <f t="shared" ref="R34:AA34" si="5">SUM(R4:R20)</f>
        <v>6291231.985555267</v>
      </c>
      <c r="S34" s="27">
        <f t="shared" ca="1" si="5"/>
        <v>6602405.8109589033</v>
      </c>
      <c r="T34" s="27">
        <f t="shared" ca="1" si="5"/>
        <v>7104053.3186306702</v>
      </c>
      <c r="U34" s="27">
        <f t="shared" ca="1" si="5"/>
        <v>7597361.0937373461</v>
      </c>
      <c r="V34" s="27">
        <f t="shared" ca="1" si="5"/>
        <v>8022416.3838270335</v>
      </c>
      <c r="W34" s="27">
        <f t="shared" ca="1" si="5"/>
        <v>8456437.1443618592</v>
      </c>
      <c r="X34" s="27">
        <f t="shared" ca="1" si="5"/>
        <v>8985021.1272921003</v>
      </c>
      <c r="Y34" s="27">
        <f t="shared" ca="1" si="5"/>
        <v>9433971.9128894769</v>
      </c>
      <c r="Z34" s="27">
        <f t="shared" ca="1" si="5"/>
        <v>9852152.3640014902</v>
      </c>
      <c r="AA34" s="28">
        <f t="shared" ca="1" si="5"/>
        <v>10339710.054407019</v>
      </c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26" priority="3" operator="equal">
      <formula>"On"</formula>
    </cfRule>
  </conditionalFormatting>
  <conditionalFormatting sqref="V21:AA23">
    <cfRule type="cellIs" dxfId="25" priority="2" operator="equal">
      <formula>"On"</formula>
    </cfRule>
  </conditionalFormatting>
  <conditionalFormatting sqref="R21:R23">
    <cfRule type="cellIs" dxfId="24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8673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18</xdr:col>
                <xdr:colOff>76200</xdr:colOff>
                <xdr:row>0</xdr:row>
                <xdr:rowOff>403860</xdr:rowOff>
              </to>
            </anchor>
          </controlPr>
        </control>
      </mc:Choice>
      <mc:Fallback>
        <control shapeId="28673" r:id="rId4" name="CommandButton2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rgb="FF0070C0"/>
  </sheetPr>
  <dimension ref="A1:BL40"/>
  <sheetViews>
    <sheetView showGridLines="0" zoomScale="70" zoomScaleNormal="70" workbookViewId="0">
      <selection activeCell="E2" sqref="E2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6.44140625" bestFit="1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  <col min="42" max="42" width="14.6640625" bestFit="1" customWidth="1"/>
  </cols>
  <sheetData>
    <row r="1" spans="1:64" ht="35.4" customHeight="1" thickBot="1" x14ac:dyDescent="0.35"/>
    <row r="2" spans="1:64" ht="15" thickBot="1" x14ac:dyDescent="0.35">
      <c r="A2">
        <f>COUNTIF(A4:A33,"&gt;""")</f>
        <v>19</v>
      </c>
      <c r="B2">
        <f>P2</f>
        <v>12</v>
      </c>
      <c r="D2" s="14" t="s">
        <v>193</v>
      </c>
      <c r="P2" s="1">
        <v>12</v>
      </c>
      <c r="Q2" s="2"/>
      <c r="R2" s="2"/>
      <c r="AP2" s="64" t="s">
        <v>214</v>
      </c>
      <c r="AQ2" s="35">
        <v>2</v>
      </c>
      <c r="AR2" s="35">
        <f>AQ2+1</f>
        <v>3</v>
      </c>
      <c r="AS2" s="35">
        <f t="shared" ref="AS2:AZ2" si="0">AR2+1</f>
        <v>4</v>
      </c>
      <c r="AT2" s="35">
        <f t="shared" si="0"/>
        <v>5</v>
      </c>
      <c r="AU2" s="35">
        <f t="shared" si="0"/>
        <v>6</v>
      </c>
      <c r="AV2" s="35">
        <f t="shared" si="0"/>
        <v>7</v>
      </c>
      <c r="AW2" s="35">
        <f t="shared" si="0"/>
        <v>8</v>
      </c>
      <c r="AX2" s="35">
        <f t="shared" si="0"/>
        <v>9</v>
      </c>
      <c r="AY2" s="35">
        <f t="shared" si="0"/>
        <v>10</v>
      </c>
      <c r="AZ2" s="36">
        <f t="shared" si="0"/>
        <v>11</v>
      </c>
      <c r="BA2" s="70"/>
    </row>
    <row r="3" spans="1:6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v>2017</v>
      </c>
      <c r="R3" s="2">
        <v>2018</v>
      </c>
      <c r="S3" s="2">
        <v>2019</v>
      </c>
      <c r="T3" s="2">
        <v>2020</v>
      </c>
      <c r="U3" s="2">
        <v>2021</v>
      </c>
      <c r="V3" s="2">
        <v>2022</v>
      </c>
      <c r="W3" s="2">
        <v>2023</v>
      </c>
      <c r="X3" s="2">
        <v>2024</v>
      </c>
      <c r="Y3" s="2">
        <v>2025</v>
      </c>
      <c r="Z3" s="2">
        <v>2026</v>
      </c>
      <c r="AA3" s="2"/>
      <c r="AB3" s="2"/>
      <c r="AE3">
        <v>2017</v>
      </c>
      <c r="AF3">
        <v>2018</v>
      </c>
      <c r="AG3">
        <v>2019</v>
      </c>
      <c r="AH3">
        <v>2020</v>
      </c>
      <c r="AI3">
        <v>2021</v>
      </c>
      <c r="AJ3">
        <v>2022</v>
      </c>
      <c r="AK3">
        <v>2023</v>
      </c>
      <c r="AL3">
        <v>2024</v>
      </c>
      <c r="AM3">
        <v>2025</v>
      </c>
      <c r="AN3">
        <v>2026</v>
      </c>
      <c r="AP3" s="37"/>
      <c r="AQ3" s="70">
        <v>2017</v>
      </c>
      <c r="AR3" s="70">
        <v>2018</v>
      </c>
      <c r="AS3" s="70">
        <v>2019</v>
      </c>
      <c r="AT3" s="70">
        <v>2020</v>
      </c>
      <c r="AU3" s="70">
        <v>2021</v>
      </c>
      <c r="AV3" s="70">
        <v>2022</v>
      </c>
      <c r="AW3" s="70">
        <v>2023</v>
      </c>
      <c r="AX3" s="70">
        <v>2024</v>
      </c>
      <c r="AY3" s="70">
        <v>2025</v>
      </c>
      <c r="AZ3" s="77">
        <v>2026</v>
      </c>
      <c r="BC3" s="2">
        <v>2017</v>
      </c>
      <c r="BD3" s="2">
        <v>2018</v>
      </c>
      <c r="BE3" s="2">
        <v>2019</v>
      </c>
      <c r="BF3" s="2">
        <v>2020</v>
      </c>
      <c r="BG3" s="2">
        <v>2021</v>
      </c>
      <c r="BH3" s="2">
        <v>2022</v>
      </c>
      <c r="BI3" s="2">
        <v>2023</v>
      </c>
      <c r="BJ3" s="2">
        <v>2024</v>
      </c>
      <c r="BK3" s="2">
        <v>2025</v>
      </c>
      <c r="BL3" s="2">
        <v>2026</v>
      </c>
    </row>
    <row r="4" spans="1:6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61</v>
      </c>
      <c r="D4" s="3" t="s">
        <v>86</v>
      </c>
      <c r="E4" s="3" t="s">
        <v>87</v>
      </c>
      <c r="F4" s="3" t="s">
        <v>88</v>
      </c>
      <c r="G4" s="3" t="s">
        <v>89</v>
      </c>
      <c r="H4" s="3" t="s">
        <v>90</v>
      </c>
      <c r="I4" s="3" t="s">
        <v>91</v>
      </c>
      <c r="J4" s="3" t="s">
        <v>92</v>
      </c>
      <c r="K4" s="3" t="s">
        <v>93</v>
      </c>
      <c r="L4" s="3" t="s">
        <v>94</v>
      </c>
      <c r="M4" s="3" t="s">
        <v>95</v>
      </c>
      <c r="N4" s="69" t="s">
        <v>95</v>
      </c>
      <c r="O4" s="69" t="s">
        <v>95</v>
      </c>
      <c r="P4" s="3" t="str">
        <f>'Model names'!C2</f>
        <v>BFW</v>
      </c>
      <c r="Q4" s="8">
        <f>[15]Growth_Reports!C182</f>
        <v>0</v>
      </c>
      <c r="R4" s="8">
        <f ca="1">[15]Growth_Reports!D182</f>
        <v>0</v>
      </c>
      <c r="S4" s="8">
        <f ca="1">[15]Growth_Reports!E182</f>
        <v>0</v>
      </c>
      <c r="T4" s="8">
        <f ca="1">[15]Growth_Reports!F182</f>
        <v>0</v>
      </c>
      <c r="U4" s="8">
        <f ca="1">[15]Growth_Reports!G182</f>
        <v>0</v>
      </c>
      <c r="V4" s="8">
        <f ca="1">[15]Growth_Reports!H182</f>
        <v>0</v>
      </c>
      <c r="W4" s="8">
        <f ca="1">[15]Growth_Reports!I182</f>
        <v>0</v>
      </c>
      <c r="X4" s="8">
        <f ca="1">[15]Growth_Reports!J182</f>
        <v>0</v>
      </c>
      <c r="Y4" s="8">
        <f ca="1">[15]Growth_Reports!K182</f>
        <v>0</v>
      </c>
      <c r="Z4" s="8">
        <f ca="1">[15]Growth_Reports!L182</f>
        <v>0</v>
      </c>
      <c r="AA4" s="7">
        <f ca="1">[15]Growth_Reports!L182</f>
        <v>0</v>
      </c>
      <c r="AB4" s="7">
        <f ca="1">[15]Growth_Reports!L182</f>
        <v>0</v>
      </c>
      <c r="AC4" s="8"/>
      <c r="AD4" t="s">
        <v>195</v>
      </c>
      <c r="AE4">
        <v>357.37814639477574</v>
      </c>
      <c r="AF4">
        <v>1377.9999999999998</v>
      </c>
      <c r="AG4" s="5">
        <v>1927.9999999999852</v>
      </c>
      <c r="AH4" s="5">
        <v>3461.3333333333348</v>
      </c>
      <c r="AI4">
        <v>4211.3333333333449</v>
      </c>
      <c r="AJ4">
        <v>5228.0000000000009</v>
      </c>
      <c r="AK4">
        <v>6819.6666666666797</v>
      </c>
      <c r="AL4">
        <v>7519.6666666666752</v>
      </c>
      <c r="AM4">
        <v>8219.6666666666642</v>
      </c>
      <c r="AN4">
        <v>9036.3333333333321</v>
      </c>
      <c r="AP4" s="37" t="s">
        <v>195</v>
      </c>
      <c r="AQ4" s="31">
        <f t="shared" ref="AQ4:AQ22" si="1">VLOOKUP($AD4,$P$4:$Z$22,AQ$2,FALSE)</f>
        <v>429.29587891728374</v>
      </c>
      <c r="AR4" s="31">
        <f t="shared" ref="AR4:AZ19" si="2">VLOOKUP($AD4,$P$4:$Z$22,AR$2,FALSE)</f>
        <v>1570.1425000000017</v>
      </c>
      <c r="AS4" s="31">
        <f t="shared" si="2"/>
        <v>4640.2849999999971</v>
      </c>
      <c r="AT4" s="31">
        <f t="shared" si="2"/>
        <v>5140.2850000000089</v>
      </c>
      <c r="AU4" s="31">
        <f t="shared" si="2"/>
        <v>6140.2849999999908</v>
      </c>
      <c r="AV4" s="31">
        <f t="shared" si="2"/>
        <v>6640.2849999999926</v>
      </c>
      <c r="AW4" s="31">
        <f t="shared" si="2"/>
        <v>9640.2849999999835</v>
      </c>
      <c r="AX4" s="31">
        <f t="shared" si="2"/>
        <v>10340.285000000014</v>
      </c>
      <c r="AY4" s="31">
        <f t="shared" si="2"/>
        <v>11040.285000000009</v>
      </c>
      <c r="AZ4" s="78">
        <f t="shared" si="2"/>
        <v>11740.285000000018</v>
      </c>
      <c r="BA4" s="15"/>
      <c r="BB4" s="72" t="s">
        <v>195</v>
      </c>
      <c r="BC4" s="71">
        <f>AQ4-AE4</f>
        <v>71.917732522508004</v>
      </c>
      <c r="BD4" s="71">
        <f t="shared" ref="BD4:BL4" si="3">AR4-AF4</f>
        <v>192.14250000000197</v>
      </c>
      <c r="BE4" s="71">
        <f t="shared" si="3"/>
        <v>2712.2850000000117</v>
      </c>
      <c r="BF4" s="71">
        <f t="shared" si="3"/>
        <v>1678.9516666666741</v>
      </c>
      <c r="BG4" s="71">
        <f t="shared" si="3"/>
        <v>1928.9516666666459</v>
      </c>
      <c r="BH4" s="71">
        <f t="shared" si="3"/>
        <v>1412.2849999999917</v>
      </c>
      <c r="BI4" s="71">
        <f t="shared" si="3"/>
        <v>2820.6183333333038</v>
      </c>
      <c r="BJ4" s="71">
        <f t="shared" si="3"/>
        <v>2820.6183333333393</v>
      </c>
      <c r="BK4" s="71">
        <f t="shared" si="3"/>
        <v>2820.6183333333447</v>
      </c>
      <c r="BL4" s="71">
        <f t="shared" si="3"/>
        <v>2703.9516666666859</v>
      </c>
    </row>
    <row r="5" spans="1:6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61</v>
      </c>
      <c r="D5" s="3" t="s">
        <v>86</v>
      </c>
      <c r="E5" s="3" t="s">
        <v>87</v>
      </c>
      <c r="F5" s="3" t="s">
        <v>88</v>
      </c>
      <c r="G5" s="3" t="s">
        <v>89</v>
      </c>
      <c r="H5" s="3" t="s">
        <v>90</v>
      </c>
      <c r="I5" s="3" t="s">
        <v>91</v>
      </c>
      <c r="J5" s="3" t="s">
        <v>92</v>
      </c>
      <c r="K5" s="3" t="s">
        <v>93</v>
      </c>
      <c r="L5" s="3" t="s">
        <v>94</v>
      </c>
      <c r="M5" s="3" t="s">
        <v>95</v>
      </c>
      <c r="N5" s="69" t="s">
        <v>95</v>
      </c>
      <c r="O5" s="69" t="s">
        <v>95</v>
      </c>
      <c r="P5" s="3" t="str">
        <f>'Model names'!C3</f>
        <v>CA</v>
      </c>
      <c r="Q5" s="8">
        <f>[17]Growth_Reports!C182</f>
        <v>90.362763994464899</v>
      </c>
      <c r="R5" s="8">
        <f>[17]Growth_Reports!D182</f>
        <v>211.99999999999932</v>
      </c>
      <c r="S5" s="8">
        <f>[17]Growth_Reports!E182</f>
        <v>758.00000000000705</v>
      </c>
      <c r="T5" s="8">
        <f>[17]Growth_Reports!F182</f>
        <v>2772.4889999999896</v>
      </c>
      <c r="U5" s="8">
        <f>[17]Growth_Reports!G182</f>
        <v>3424.0839999999935</v>
      </c>
      <c r="V5" s="8">
        <f>[17]Growth_Reports!H182</f>
        <v>3874.0839999999935</v>
      </c>
      <c r="W5" s="8">
        <f>[17]Growth_Reports!I182</f>
        <v>4324.0840000000044</v>
      </c>
      <c r="X5" s="8">
        <f>[17]Growth_Reports!J182</f>
        <v>4774.083999999998</v>
      </c>
      <c r="Y5" s="8">
        <f>[17]Growth_Reports!K182</f>
        <v>5224.0839999999953</v>
      </c>
      <c r="Z5" s="8">
        <f>[17]Growth_Reports!L182</f>
        <v>6674.0839999999953</v>
      </c>
      <c r="AA5" s="7">
        <f>[17]Growth_Reports!L182</f>
        <v>6674.0839999999953</v>
      </c>
      <c r="AB5" s="7">
        <f>[17]Growth_Reports!L182</f>
        <v>6674.0839999999953</v>
      </c>
      <c r="AC5" s="8"/>
      <c r="AD5" t="s">
        <v>201</v>
      </c>
      <c r="AE5">
        <v>110.77149980172919</v>
      </c>
      <c r="AF5">
        <v>664.62899881037265</v>
      </c>
      <c r="AG5" s="5">
        <v>964.62899881037481</v>
      </c>
      <c r="AH5" s="5">
        <v>1114.6289988103745</v>
      </c>
      <c r="AI5">
        <v>1564.6289988103749</v>
      </c>
      <c r="AJ5">
        <v>1714.6289988103802</v>
      </c>
      <c r="AK5">
        <v>1864.6289988103674</v>
      </c>
      <c r="AL5">
        <v>2014.6289988103731</v>
      </c>
      <c r="AM5">
        <v>2164.6289988103727</v>
      </c>
      <c r="AN5">
        <v>2314.6289988103695</v>
      </c>
      <c r="AP5" s="37" t="s">
        <v>201</v>
      </c>
      <c r="AQ5" s="31">
        <f t="shared" si="1"/>
        <v>149.05071841580832</v>
      </c>
      <c r="AR5" s="31">
        <f t="shared" si="2"/>
        <v>479.80071841581128</v>
      </c>
      <c r="AS5" s="31">
        <f t="shared" si="2"/>
        <v>878.71738508247336</v>
      </c>
      <c r="AT5" s="31">
        <f t="shared" si="2"/>
        <v>1140.139262884481</v>
      </c>
      <c r="AU5" s="31">
        <f t="shared" si="2"/>
        <v>1367.6444001236798</v>
      </c>
      <c r="AV5" s="31">
        <f t="shared" si="2"/>
        <v>1918.2106632011471</v>
      </c>
      <c r="AW5" s="31">
        <f t="shared" si="2"/>
        <v>2418.9574770727568</v>
      </c>
      <c r="AX5" s="31">
        <f t="shared" si="2"/>
        <v>3679.2889147855722</v>
      </c>
      <c r="AY5" s="31">
        <f t="shared" si="2"/>
        <v>4237.9106651678512</v>
      </c>
      <c r="AZ5" s="78">
        <f t="shared" si="2"/>
        <v>5137.2969515980512</v>
      </c>
      <c r="BA5" s="15"/>
      <c r="BB5" s="72" t="s">
        <v>201</v>
      </c>
      <c r="BC5" s="71">
        <f t="shared" ref="BC5:BC22" si="4">AQ5-AE5</f>
        <v>38.279218614079127</v>
      </c>
      <c r="BD5" s="71">
        <f t="shared" ref="BD5:BD22" si="5">AR5-AF5</f>
        <v>-184.82828039456138</v>
      </c>
      <c r="BE5" s="71">
        <f t="shared" ref="BE5:BE22" si="6">AS5-AG5</f>
        <v>-85.911613727901454</v>
      </c>
      <c r="BF5" s="71">
        <f t="shared" ref="BF5:BF22" si="7">AT5-AH5</f>
        <v>25.510264074106544</v>
      </c>
      <c r="BG5" s="71">
        <f t="shared" ref="BG5:BG22" si="8">AU5-AI5</f>
        <v>-196.98459868669511</v>
      </c>
      <c r="BH5" s="71">
        <f t="shared" ref="BH5:BH22" si="9">AV5-AJ5</f>
        <v>203.58166439076695</v>
      </c>
      <c r="BI5" s="71">
        <f t="shared" ref="BI5:BI22" si="10">AW5-AK5</f>
        <v>554.32847826238935</v>
      </c>
      <c r="BJ5" s="71">
        <f t="shared" ref="BJ5:BJ22" si="11">AX5-AL5</f>
        <v>1664.6599159751991</v>
      </c>
      <c r="BK5" s="71">
        <f t="shared" ref="BK5:BK22" si="12">AY5-AM5</f>
        <v>2073.2816663574786</v>
      </c>
      <c r="BL5" s="71">
        <f t="shared" ref="BL5:BL22" si="13">AZ5-AN5</f>
        <v>2822.6679527876818</v>
      </c>
    </row>
    <row r="6" spans="1:6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61</v>
      </c>
      <c r="D6" s="3" t="s">
        <v>86</v>
      </c>
      <c r="E6" s="3" t="s">
        <v>87</v>
      </c>
      <c r="F6" s="3" t="s">
        <v>88</v>
      </c>
      <c r="G6" s="3" t="s">
        <v>89</v>
      </c>
      <c r="H6" s="3" t="s">
        <v>90</v>
      </c>
      <c r="I6" s="3" t="s">
        <v>91</v>
      </c>
      <c r="J6" s="3" t="s">
        <v>92</v>
      </c>
      <c r="K6" s="3" t="s">
        <v>93</v>
      </c>
      <c r="L6" s="3" t="s">
        <v>94</v>
      </c>
      <c r="M6" s="3" t="s">
        <v>95</v>
      </c>
      <c r="N6" s="69" t="s">
        <v>95</v>
      </c>
      <c r="O6" s="69" t="s">
        <v>95</v>
      </c>
      <c r="P6" s="3" t="str">
        <f>'Model names'!C4</f>
        <v>ETS</v>
      </c>
      <c r="Q6" s="8">
        <f>[19]Growth_Reports!C182</f>
        <v>0</v>
      </c>
      <c r="R6" s="8">
        <f>[19]Growth_Reports!D182</f>
        <v>0</v>
      </c>
      <c r="S6" s="8">
        <f>[19]Growth_Reports!E182</f>
        <v>0</v>
      </c>
      <c r="T6" s="8">
        <f>[19]Growth_Reports!F182</f>
        <v>0</v>
      </c>
      <c r="U6" s="8">
        <f>[19]Growth_Reports!G182</f>
        <v>0</v>
      </c>
      <c r="V6" s="8">
        <f>[19]Growth_Reports!H182</f>
        <v>0</v>
      </c>
      <c r="W6" s="8">
        <f>[19]Growth_Reports!I182</f>
        <v>0</v>
      </c>
      <c r="X6" s="8">
        <f>[19]Growth_Reports!J182</f>
        <v>0</v>
      </c>
      <c r="Y6" s="8">
        <f>[19]Growth_Reports!K182</f>
        <v>0</v>
      </c>
      <c r="Z6" s="8">
        <f>[19]Growth_Reports!L182</f>
        <v>0</v>
      </c>
      <c r="AA6" s="7">
        <f>[19]Growth_Reports!L182</f>
        <v>0</v>
      </c>
      <c r="AB6" s="7">
        <f>[19]Growth_Reports!L182</f>
        <v>0</v>
      </c>
      <c r="AC6" s="8"/>
      <c r="AD6" t="s">
        <v>194</v>
      </c>
      <c r="AE6">
        <v>0</v>
      </c>
      <c r="AF6">
        <v>0</v>
      </c>
      <c r="AG6" s="5">
        <v>0</v>
      </c>
      <c r="AH6" s="5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s="37" t="s">
        <v>194</v>
      </c>
      <c r="AQ6" s="31">
        <f t="shared" si="1"/>
        <v>0</v>
      </c>
      <c r="AR6" s="31">
        <f t="shared" si="2"/>
        <v>0</v>
      </c>
      <c r="AS6" s="31">
        <f t="shared" si="2"/>
        <v>0</v>
      </c>
      <c r="AT6" s="31">
        <f t="shared" si="2"/>
        <v>0</v>
      </c>
      <c r="AU6" s="31">
        <f t="shared" si="2"/>
        <v>0</v>
      </c>
      <c r="AV6" s="31">
        <f t="shared" si="2"/>
        <v>0</v>
      </c>
      <c r="AW6" s="31">
        <f t="shared" si="2"/>
        <v>0</v>
      </c>
      <c r="AX6" s="31">
        <f t="shared" si="2"/>
        <v>0</v>
      </c>
      <c r="AY6" s="31">
        <f t="shared" si="2"/>
        <v>0</v>
      </c>
      <c r="AZ6" s="78">
        <f t="shared" si="2"/>
        <v>0</v>
      </c>
      <c r="BA6" s="15"/>
      <c r="BB6" s="72" t="s">
        <v>194</v>
      </c>
      <c r="BC6" s="71">
        <f t="shared" si="4"/>
        <v>0</v>
      </c>
      <c r="BD6" s="71">
        <f t="shared" si="5"/>
        <v>0</v>
      </c>
      <c r="BE6" s="71">
        <f t="shared" si="6"/>
        <v>0</v>
      </c>
      <c r="BF6" s="71">
        <f t="shared" si="7"/>
        <v>0</v>
      </c>
      <c r="BG6" s="71">
        <f t="shared" si="8"/>
        <v>0</v>
      </c>
      <c r="BH6" s="71">
        <f t="shared" si="9"/>
        <v>0</v>
      </c>
      <c r="BI6" s="71">
        <f t="shared" si="10"/>
        <v>0</v>
      </c>
      <c r="BJ6" s="71">
        <f t="shared" si="11"/>
        <v>0</v>
      </c>
      <c r="BK6" s="71">
        <f t="shared" si="12"/>
        <v>0</v>
      </c>
      <c r="BL6" s="71">
        <f t="shared" si="13"/>
        <v>0</v>
      </c>
    </row>
    <row r="7" spans="1:6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61</v>
      </c>
      <c r="D7" s="3" t="s">
        <v>86</v>
      </c>
      <c r="E7" s="3" t="s">
        <v>87</v>
      </c>
      <c r="F7" s="3" t="s">
        <v>88</v>
      </c>
      <c r="G7" s="3" t="s">
        <v>89</v>
      </c>
      <c r="H7" s="3" t="s">
        <v>90</v>
      </c>
      <c r="I7" s="3" t="s">
        <v>91</v>
      </c>
      <c r="J7" s="3" t="s">
        <v>92</v>
      </c>
      <c r="K7" s="3" t="s">
        <v>93</v>
      </c>
      <c r="L7" s="3" t="s">
        <v>94</v>
      </c>
      <c r="M7" s="3" t="s">
        <v>95</v>
      </c>
      <c r="N7" s="69" t="s">
        <v>95</v>
      </c>
      <c r="O7" s="69" t="s">
        <v>95</v>
      </c>
      <c r="P7" s="3" t="str">
        <f>'Model names'!C5</f>
        <v>HI</v>
      </c>
      <c r="Q7" s="8">
        <f>[21]Growth_Reports!C182</f>
        <v>1.5623333333332985</v>
      </c>
      <c r="R7" s="8">
        <f>[21]Growth_Reports!D182</f>
        <v>25.000000000000028</v>
      </c>
      <c r="S7" s="8">
        <f>[21]Growth_Reports!E182</f>
        <v>25.999999999999915</v>
      </c>
      <c r="T7" s="8">
        <f>[21]Growth_Reports!F182</f>
        <v>27.000000000000085</v>
      </c>
      <c r="U7" s="8">
        <f>[21]Growth_Reports!G182</f>
        <v>53.000000000000057</v>
      </c>
      <c r="V7" s="8">
        <f>[21]Growth_Reports!H182</f>
        <v>54.999999999999858</v>
      </c>
      <c r="W7" s="8">
        <f>[21]Growth_Reports!I182</f>
        <v>56.999999999999901</v>
      </c>
      <c r="X7" s="8">
        <f>[21]Growth_Reports!J182</f>
        <v>59.000000000000199</v>
      </c>
      <c r="Y7" s="8">
        <f>[21]Growth_Reports!K182</f>
        <v>61.000000000000071</v>
      </c>
      <c r="Z7" s="8">
        <f>[21]Growth_Reports!L182</f>
        <v>88.000000000000341</v>
      </c>
      <c r="AA7" s="7">
        <f>[21]Growth_Reports!L182</f>
        <v>88.000000000000341</v>
      </c>
      <c r="AB7" s="7">
        <f>[21]Growth_Reports!L182</f>
        <v>88.000000000000341</v>
      </c>
      <c r="AC7" s="8"/>
      <c r="AD7" t="s">
        <v>199</v>
      </c>
      <c r="AE7">
        <v>4106.0134159539284</v>
      </c>
      <c r="AF7">
        <v>6617.2634159539075</v>
      </c>
      <c r="AG7" s="5">
        <v>9989.5134159539084</v>
      </c>
      <c r="AH7" s="5">
        <v>13528.806384703952</v>
      </c>
      <c r="AI7">
        <v>17241.386814391451</v>
      </c>
      <c r="AJ7">
        <v>21529.699894469533</v>
      </c>
      <c r="AK7">
        <v>26024.219020177581</v>
      </c>
      <c r="AL7">
        <v>30732.574298121908</v>
      </c>
      <c r="AM7">
        <v>35662.648461460871</v>
      </c>
      <c r="AN7">
        <v>40822.584732415315</v>
      </c>
      <c r="AP7" s="37" t="s">
        <v>199</v>
      </c>
      <c r="AQ7" s="31">
        <f t="shared" si="1"/>
        <v>0.61427028808930118</v>
      </c>
      <c r="AR7" s="31">
        <f t="shared" si="2"/>
        <v>1000.614270288107</v>
      </c>
      <c r="AS7" s="31">
        <f t="shared" si="2"/>
        <v>2399.99999999998</v>
      </c>
      <c r="AT7" s="31">
        <f t="shared" si="2"/>
        <v>4400.0000000000136</v>
      </c>
      <c r="AU7" s="31">
        <f t="shared" si="2"/>
        <v>10250.000000000022</v>
      </c>
      <c r="AV7" s="31">
        <f t="shared" si="2"/>
        <v>10249.999999999978</v>
      </c>
      <c r="AW7" s="31">
        <f t="shared" si="2"/>
        <v>10249.999999999971</v>
      </c>
      <c r="AX7" s="31">
        <f t="shared" si="2"/>
        <v>12249.999999999996</v>
      </c>
      <c r="AY7" s="31">
        <f t="shared" si="2"/>
        <v>12249.999999999989</v>
      </c>
      <c r="AZ7" s="78">
        <f t="shared" si="2"/>
        <v>12249.999999999953</v>
      </c>
      <c r="BA7" s="15"/>
      <c r="BB7" s="72" t="s">
        <v>199</v>
      </c>
      <c r="BC7" s="71">
        <f t="shared" si="4"/>
        <v>-4105.3991456658387</v>
      </c>
      <c r="BD7" s="71">
        <f t="shared" si="5"/>
        <v>-5616.6491456658005</v>
      </c>
      <c r="BE7" s="71">
        <f t="shared" si="6"/>
        <v>-7589.5134159539284</v>
      </c>
      <c r="BF7" s="71">
        <f t="shared" si="7"/>
        <v>-9128.8063847039375</v>
      </c>
      <c r="BG7" s="71">
        <f t="shared" si="8"/>
        <v>-6991.3868143914297</v>
      </c>
      <c r="BH7" s="71">
        <f t="shared" si="9"/>
        <v>-11279.699894469555</v>
      </c>
      <c r="BI7" s="71">
        <f t="shared" si="10"/>
        <v>-15774.21902017761</v>
      </c>
      <c r="BJ7" s="71">
        <f t="shared" si="11"/>
        <v>-18482.574298121912</v>
      </c>
      <c r="BK7" s="71">
        <f t="shared" si="12"/>
        <v>-23412.648461460882</v>
      </c>
      <c r="BL7" s="71">
        <f t="shared" si="13"/>
        <v>-28572.584732415362</v>
      </c>
    </row>
    <row r="8" spans="1:6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61</v>
      </c>
      <c r="D8" s="3" t="s">
        <v>86</v>
      </c>
      <c r="E8" s="3" t="s">
        <v>87</v>
      </c>
      <c r="F8" s="3" t="s">
        <v>88</v>
      </c>
      <c r="G8" s="3" t="s">
        <v>89</v>
      </c>
      <c r="H8" s="3" t="s">
        <v>90</v>
      </c>
      <c r="I8" s="3" t="s">
        <v>91</v>
      </c>
      <c r="J8" s="3" t="s">
        <v>92</v>
      </c>
      <c r="K8" s="3" t="s">
        <v>93</v>
      </c>
      <c r="L8" s="3" t="s">
        <v>94</v>
      </c>
      <c r="M8" s="3" t="s">
        <v>95</v>
      </c>
      <c r="N8" s="69" t="s">
        <v>95</v>
      </c>
      <c r="O8" s="69" t="s">
        <v>95</v>
      </c>
      <c r="P8" s="3" t="str">
        <f>'Model names'!C6</f>
        <v>IA</v>
      </c>
      <c r="Q8" s="8">
        <f>[23]Growth_Reports!C182</f>
        <v>-17.588476425113384</v>
      </c>
      <c r="R8" s="8">
        <f>[23]Growth_Reports!D182</f>
        <v>53.999999999999318</v>
      </c>
      <c r="S8" s="8">
        <f>[23]Growth_Reports!E182</f>
        <v>171.0000000000029</v>
      </c>
      <c r="T8" s="8">
        <f>[23]Growth_Reports!F182</f>
        <v>238.00000000000051</v>
      </c>
      <c r="U8" s="8">
        <f>[23]Growth_Reports!G182</f>
        <v>383.00000000000091</v>
      </c>
      <c r="V8" s="8">
        <f>[23]Growth_Reports!H182</f>
        <v>528.00000000000068</v>
      </c>
      <c r="W8" s="8">
        <f>[23]Growth_Reports!I182</f>
        <v>673.00000000000114</v>
      </c>
      <c r="X8" s="8">
        <f>[23]Growth_Reports!J182</f>
        <v>818.00000000000273</v>
      </c>
      <c r="Y8" s="8">
        <f>[23]Growth_Reports!K182</f>
        <v>962.99999999999409</v>
      </c>
      <c r="Z8" s="8">
        <f>[23]Growth_Reports!L182</f>
        <v>1108.0000000000018</v>
      </c>
      <c r="AA8" s="7">
        <f>[23]Growth_Reports!L182</f>
        <v>1108.0000000000018</v>
      </c>
      <c r="AB8" s="7">
        <f>[23]Growth_Reports!L182</f>
        <v>1108.0000000000018</v>
      </c>
      <c r="AC8" s="8"/>
      <c r="AD8" t="s">
        <v>200</v>
      </c>
      <c r="AE8">
        <v>75.800454055535198</v>
      </c>
      <c r="AF8">
        <v>120.02715405553056</v>
      </c>
      <c r="AG8" s="5">
        <v>166.46518905553478</v>
      </c>
      <c r="AH8" s="5">
        <v>215.19748411803994</v>
      </c>
      <c r="AI8">
        <v>266.30972847428615</v>
      </c>
      <c r="AJ8">
        <v>319.89046190455531</v>
      </c>
      <c r="AK8">
        <v>376.03116370983395</v>
      </c>
      <c r="AL8">
        <v>434.82634435046668</v>
      </c>
      <c r="AM8">
        <v>496.3736398295963</v>
      </c>
      <c r="AN8">
        <v>560.77390890125116</v>
      </c>
      <c r="AP8" s="37" t="s">
        <v>200</v>
      </c>
      <c r="AQ8" s="31">
        <f t="shared" si="1"/>
        <v>10.032629097639173</v>
      </c>
      <c r="AR8" s="31">
        <f t="shared" si="2"/>
        <v>111.07204000000712</v>
      </c>
      <c r="AS8" s="31">
        <f t="shared" si="2"/>
        <v>166.79768200001251</v>
      </c>
      <c r="AT8" s="31">
        <f t="shared" si="2"/>
        <v>348.32838343749938</v>
      </c>
      <c r="AU8" s="31">
        <f t="shared" si="2"/>
        <v>477.9676213956285</v>
      </c>
      <c r="AV8" s="31">
        <f t="shared" si="2"/>
        <v>613.94361601200239</v>
      </c>
      <c r="AW8" s="31">
        <f t="shared" si="2"/>
        <v>756.49218059584223</v>
      </c>
      <c r="AX8" s="31">
        <f t="shared" si="2"/>
        <v>905.85695864884929</v>
      </c>
      <c r="AY8" s="31">
        <f t="shared" si="2"/>
        <v>1062.289667991643</v>
      </c>
      <c r="AZ8" s="78">
        <f t="shared" si="2"/>
        <v>1226.050352202416</v>
      </c>
      <c r="BA8" s="15"/>
      <c r="BB8" s="72" t="s">
        <v>200</v>
      </c>
      <c r="BC8" s="71">
        <f t="shared" si="4"/>
        <v>-65.767824957896025</v>
      </c>
      <c r="BD8" s="71">
        <f t="shared" si="5"/>
        <v>-8.9551140555234383</v>
      </c>
      <c r="BE8" s="71">
        <f t="shared" si="6"/>
        <v>0.33249294447773536</v>
      </c>
      <c r="BF8" s="71">
        <f t="shared" si="7"/>
        <v>133.13089931945944</v>
      </c>
      <c r="BG8" s="71">
        <f t="shared" si="8"/>
        <v>211.65789292134235</v>
      </c>
      <c r="BH8" s="71">
        <f t="shared" si="9"/>
        <v>294.05315410744709</v>
      </c>
      <c r="BI8" s="71">
        <f t="shared" si="10"/>
        <v>380.46101688600828</v>
      </c>
      <c r="BJ8" s="71">
        <f t="shared" si="11"/>
        <v>471.0306142983826</v>
      </c>
      <c r="BK8" s="71">
        <f t="shared" si="12"/>
        <v>565.9160281620467</v>
      </c>
      <c r="BL8" s="71">
        <f t="shared" si="13"/>
        <v>665.27644330116482</v>
      </c>
    </row>
    <row r="9" spans="1:6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61</v>
      </c>
      <c r="D9" s="3" t="s">
        <v>86</v>
      </c>
      <c r="E9" s="3" t="s">
        <v>87</v>
      </c>
      <c r="F9" s="3" t="s">
        <v>88</v>
      </c>
      <c r="G9" s="3" t="s">
        <v>89</v>
      </c>
      <c r="H9" s="3" t="s">
        <v>90</v>
      </c>
      <c r="I9" s="3" t="s">
        <v>91</v>
      </c>
      <c r="J9" s="3" t="s">
        <v>92</v>
      </c>
      <c r="K9" s="3" t="s">
        <v>93</v>
      </c>
      <c r="L9" s="3" t="s">
        <v>94</v>
      </c>
      <c r="M9" s="3" t="s">
        <v>95</v>
      </c>
      <c r="N9" s="69" t="s">
        <v>95</v>
      </c>
      <c r="O9" s="69" t="s">
        <v>95</v>
      </c>
      <c r="P9" s="3" t="str">
        <f>'Model names'!C7</f>
        <v>IL</v>
      </c>
      <c r="Q9" s="8">
        <f>[25]Growth_Reports!C182</f>
        <v>-10.336448003814155</v>
      </c>
      <c r="R9" s="8">
        <f>[25]Growth_Reports!D182</f>
        <v>760.00000000000523</v>
      </c>
      <c r="S9" s="8">
        <f>[25]Growth_Reports!E182</f>
        <v>1500.0000000000018</v>
      </c>
      <c r="T9" s="8">
        <f>[25]Growth_Reports!F182</f>
        <v>2650.0000000000191</v>
      </c>
      <c r="U9" s="8">
        <f>[25]Growth_Reports!G182</f>
        <v>3879.9999999999955</v>
      </c>
      <c r="V9" s="8">
        <f>[25]Growth_Reports!H182</f>
        <v>4849.9999999999927</v>
      </c>
      <c r="W9" s="8">
        <f>[25]Growth_Reports!I182</f>
        <v>5865.9999999999991</v>
      </c>
      <c r="X9" s="8">
        <f>[25]Growth_Reports!J182</f>
        <v>6568.9999999999845</v>
      </c>
      <c r="Y9" s="8">
        <f>[25]Growth_Reports!K182</f>
        <v>8081.0000000000073</v>
      </c>
      <c r="Z9" s="8">
        <f>[25]Growth_Reports!L182</f>
        <v>9634.9999999999982</v>
      </c>
      <c r="AA9" s="7">
        <f>[25]Growth_Reports!L182</f>
        <v>9634.9999999999982</v>
      </c>
      <c r="AB9" s="7">
        <f>[25]Growth_Reports!L182</f>
        <v>9634.9999999999982</v>
      </c>
      <c r="AC9" s="8"/>
      <c r="AD9" t="s">
        <v>202</v>
      </c>
      <c r="AE9">
        <v>36.589514379941953</v>
      </c>
      <c r="AF9">
        <v>147.99999999999835</v>
      </c>
      <c r="AG9" s="5">
        <v>147.99999999999983</v>
      </c>
      <c r="AH9" s="5">
        <v>1040.000000000003</v>
      </c>
      <c r="AI9">
        <v>3754.9999999999918</v>
      </c>
      <c r="AJ9">
        <v>3755.0000000000041</v>
      </c>
      <c r="AK9">
        <v>3755.0000000000027</v>
      </c>
      <c r="AL9">
        <v>3754.9999999999918</v>
      </c>
      <c r="AM9">
        <v>3755.0000000000073</v>
      </c>
      <c r="AN9">
        <v>3755.0000000000009</v>
      </c>
      <c r="AP9" s="37" t="s">
        <v>202</v>
      </c>
      <c r="AQ9" s="31">
        <f t="shared" si="1"/>
        <v>91.075407183036702</v>
      </c>
      <c r="AR9" s="31">
        <f t="shared" si="2"/>
        <v>232.96300833333572</v>
      </c>
      <c r="AS9" s="31">
        <f t="shared" si="2"/>
        <v>673.67709166666543</v>
      </c>
      <c r="AT9" s="31">
        <f t="shared" si="2"/>
        <v>1268.2550916666642</v>
      </c>
      <c r="AU9" s="31">
        <f t="shared" si="2"/>
        <v>1645.5274249999991</v>
      </c>
      <c r="AV9" s="31">
        <f t="shared" si="2"/>
        <v>3193.544425000001</v>
      </c>
      <c r="AW9" s="31">
        <f t="shared" si="2"/>
        <v>3758.5888416666703</v>
      </c>
      <c r="AX9" s="31">
        <f t="shared" si="2"/>
        <v>5574.7310083333141</v>
      </c>
      <c r="AY9" s="31">
        <f t="shared" si="2"/>
        <v>7523.9712583333339</v>
      </c>
      <c r="AZ9" s="78">
        <f t="shared" si="2"/>
        <v>8584.8498416666662</v>
      </c>
      <c r="BA9" s="15"/>
      <c r="BB9" s="72" t="s">
        <v>202</v>
      </c>
      <c r="BC9" s="71">
        <f t="shared" si="4"/>
        <v>54.48589280309475</v>
      </c>
      <c r="BD9" s="71">
        <f t="shared" si="5"/>
        <v>84.96300833333737</v>
      </c>
      <c r="BE9" s="71">
        <f t="shared" si="6"/>
        <v>525.67709166666555</v>
      </c>
      <c r="BF9" s="71">
        <f t="shared" si="7"/>
        <v>228.2550916666612</v>
      </c>
      <c r="BG9" s="71">
        <f t="shared" si="8"/>
        <v>-2109.4725749999925</v>
      </c>
      <c r="BH9" s="71">
        <f t="shared" si="9"/>
        <v>-561.45557500000314</v>
      </c>
      <c r="BI9" s="71">
        <f t="shared" si="10"/>
        <v>3.5888416666675766</v>
      </c>
      <c r="BJ9" s="71">
        <f t="shared" si="11"/>
        <v>1819.7310083333223</v>
      </c>
      <c r="BK9" s="71">
        <f t="shared" si="12"/>
        <v>3768.9712583333267</v>
      </c>
      <c r="BL9" s="71">
        <f t="shared" si="13"/>
        <v>4829.8498416666653</v>
      </c>
    </row>
    <row r="10" spans="1:6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61</v>
      </c>
      <c r="D10" s="3" t="s">
        <v>86</v>
      </c>
      <c r="E10" s="3" t="s">
        <v>87</v>
      </c>
      <c r="F10" s="3" t="s">
        <v>88</v>
      </c>
      <c r="G10" s="3" t="s">
        <v>89</v>
      </c>
      <c r="H10" s="3" t="s">
        <v>90</v>
      </c>
      <c r="I10" s="3" t="s">
        <v>91</v>
      </c>
      <c r="J10" s="3" t="s">
        <v>92</v>
      </c>
      <c r="K10" s="3" t="s">
        <v>93</v>
      </c>
      <c r="L10" s="3" t="s">
        <v>94</v>
      </c>
      <c r="M10" s="3" t="s">
        <v>95</v>
      </c>
      <c r="N10" s="69" t="s">
        <v>95</v>
      </c>
      <c r="O10" s="69" t="s">
        <v>95</v>
      </c>
      <c r="P10" s="3" t="str">
        <f>'Model names'!C8</f>
        <v>IN</v>
      </c>
      <c r="Q10" s="8">
        <f>[27]Growth_Reports!C182</f>
        <v>429.29587891728374</v>
      </c>
      <c r="R10" s="8">
        <f>[27]Growth_Reports!D182</f>
        <v>1570.1425000000017</v>
      </c>
      <c r="S10" s="8">
        <f>[27]Growth_Reports!E182</f>
        <v>4640.2849999999971</v>
      </c>
      <c r="T10" s="8">
        <f>[27]Growth_Reports!F182</f>
        <v>5140.2850000000089</v>
      </c>
      <c r="U10" s="8">
        <f>[27]Growth_Reports!G182</f>
        <v>6140.2849999999908</v>
      </c>
      <c r="V10" s="8">
        <f>[27]Growth_Reports!H182</f>
        <v>6640.2849999999926</v>
      </c>
      <c r="W10" s="8">
        <f>[27]Growth_Reports!I182</f>
        <v>9640.2849999999835</v>
      </c>
      <c r="X10" s="8">
        <f>[27]Growth_Reports!J182</f>
        <v>10340.285000000014</v>
      </c>
      <c r="Y10" s="8">
        <f>[27]Growth_Reports!K182</f>
        <v>11040.285000000009</v>
      </c>
      <c r="Z10" s="8">
        <f>[27]Growth_Reports!L182</f>
        <v>11740.285000000018</v>
      </c>
      <c r="AA10" s="7">
        <f>[27]Growth_Reports!L182</f>
        <v>11740.285000000018</v>
      </c>
      <c r="AB10" s="7">
        <f>[27]Growth_Reports!L182</f>
        <v>11740.285000000018</v>
      </c>
      <c r="AC10" s="8"/>
      <c r="AD10" t="s">
        <v>203</v>
      </c>
      <c r="AE10">
        <v>66.630966809293795</v>
      </c>
      <c r="AF10">
        <v>218.00000000000318</v>
      </c>
      <c r="AG10" s="5">
        <v>342.42999999999438</v>
      </c>
      <c r="AH10" s="5">
        <v>639.87430000002041</v>
      </c>
      <c r="AI10">
        <v>786.33304300001282</v>
      </c>
      <c r="AJ10">
        <v>822.8063734300049</v>
      </c>
      <c r="AK10">
        <v>949.2944371642925</v>
      </c>
      <c r="AL10">
        <v>1075.797381535951</v>
      </c>
      <c r="AM10">
        <v>1202.3153553512957</v>
      </c>
      <c r="AN10">
        <v>1328.8485089048113</v>
      </c>
      <c r="AP10" s="37" t="s">
        <v>203</v>
      </c>
      <c r="AQ10" s="31">
        <f t="shared" si="1"/>
        <v>380.7795376551212</v>
      </c>
      <c r="AR10" s="31">
        <f t="shared" si="2"/>
        <v>943.00000000000159</v>
      </c>
      <c r="AS10" s="31">
        <f t="shared" si="2"/>
        <v>1172.4500000000053</v>
      </c>
      <c r="AT10" s="31">
        <f t="shared" si="2"/>
        <v>2190.0000000000127</v>
      </c>
      <c r="AU10" s="31">
        <f t="shared" si="2"/>
        <v>2490.0000000000018</v>
      </c>
      <c r="AV10" s="31">
        <f t="shared" si="2"/>
        <v>2880.1500000000128</v>
      </c>
      <c r="AW10" s="31">
        <f t="shared" si="2"/>
        <v>3484.6725000000088</v>
      </c>
      <c r="AX10" s="31">
        <f t="shared" si="2"/>
        <v>3877.2692249999973</v>
      </c>
      <c r="AY10" s="31">
        <f t="shared" si="2"/>
        <v>4270.0419172499905</v>
      </c>
      <c r="AZ10" s="78">
        <f t="shared" si="2"/>
        <v>4662.9923364225015</v>
      </c>
      <c r="BA10" s="15"/>
      <c r="BB10" s="72" t="s">
        <v>203</v>
      </c>
      <c r="BC10" s="71">
        <f t="shared" si="4"/>
        <v>314.14857084582741</v>
      </c>
      <c r="BD10" s="71">
        <f t="shared" si="5"/>
        <v>724.99999999999841</v>
      </c>
      <c r="BE10" s="71">
        <f t="shared" si="6"/>
        <v>830.0200000000109</v>
      </c>
      <c r="BF10" s="71">
        <f t="shared" si="7"/>
        <v>1550.1256999999923</v>
      </c>
      <c r="BG10" s="71">
        <f t="shared" si="8"/>
        <v>1703.666956999989</v>
      </c>
      <c r="BH10" s="71">
        <f t="shared" si="9"/>
        <v>2057.3436265700079</v>
      </c>
      <c r="BI10" s="71">
        <f t="shared" si="10"/>
        <v>2535.3780628357163</v>
      </c>
      <c r="BJ10" s="71">
        <f t="shared" si="11"/>
        <v>2801.4718434640463</v>
      </c>
      <c r="BK10" s="71">
        <f t="shared" si="12"/>
        <v>3067.7265618986949</v>
      </c>
      <c r="BL10" s="71">
        <f t="shared" si="13"/>
        <v>3334.1438275176902</v>
      </c>
    </row>
    <row r="11" spans="1:6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61</v>
      </c>
      <c r="D11" s="3" t="s">
        <v>86</v>
      </c>
      <c r="E11" s="3" t="s">
        <v>87</v>
      </c>
      <c r="F11" s="3" t="s">
        <v>88</v>
      </c>
      <c r="G11" s="3" t="s">
        <v>89</v>
      </c>
      <c r="H11" s="3" t="s">
        <v>90</v>
      </c>
      <c r="I11" s="3" t="s">
        <v>91</v>
      </c>
      <c r="J11" s="3" t="s">
        <v>92</v>
      </c>
      <c r="K11" s="3" t="s">
        <v>93</v>
      </c>
      <c r="L11" s="3" t="s">
        <v>94</v>
      </c>
      <c r="M11" s="3" t="s">
        <v>95</v>
      </c>
      <c r="N11" s="69" t="s">
        <v>95</v>
      </c>
      <c r="O11" s="69" t="s">
        <v>95</v>
      </c>
      <c r="P11" s="3" t="str">
        <f>'Model names'!C9</f>
        <v>KY</v>
      </c>
      <c r="Q11" s="8">
        <f>[29]Growth_Reports!C182</f>
        <v>149.05071841580832</v>
      </c>
      <c r="R11" s="8">
        <f>[29]Growth_Reports!D182</f>
        <v>479.80071841581128</v>
      </c>
      <c r="S11" s="8">
        <f>[29]Growth_Reports!E182</f>
        <v>878.71738508247336</v>
      </c>
      <c r="T11" s="8">
        <f>[29]Growth_Reports!F182</f>
        <v>1140.139262884481</v>
      </c>
      <c r="U11" s="8">
        <f>[29]Growth_Reports!G182</f>
        <v>1367.6444001236798</v>
      </c>
      <c r="V11" s="8">
        <f>[29]Growth_Reports!H182</f>
        <v>1918.2106632011471</v>
      </c>
      <c r="W11" s="8">
        <f>[29]Growth_Reports!I182</f>
        <v>2418.9574770727568</v>
      </c>
      <c r="X11" s="8">
        <f>[29]Growth_Reports!J182</f>
        <v>3679.2889147855722</v>
      </c>
      <c r="Y11" s="8">
        <f>[29]Growth_Reports!K182</f>
        <v>4237.9106651678512</v>
      </c>
      <c r="Z11" s="8">
        <f>[29]Growth_Reports!L182</f>
        <v>5137.2969515980512</v>
      </c>
      <c r="AA11" s="7">
        <f>[29]Growth_Reports!L182</f>
        <v>5137.2969515980512</v>
      </c>
      <c r="AB11" s="7">
        <f>[29]Growth_Reports!L182</f>
        <v>5137.2969515980512</v>
      </c>
      <c r="AC11" s="8"/>
      <c r="AD11" t="s">
        <v>204</v>
      </c>
      <c r="AE11">
        <v>0</v>
      </c>
      <c r="AF11">
        <v>0</v>
      </c>
      <c r="AG11" s="5">
        <v>0</v>
      </c>
      <c r="AH11" s="5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s="37" t="s">
        <v>204</v>
      </c>
      <c r="AQ11" s="31">
        <f t="shared" si="1"/>
        <v>0</v>
      </c>
      <c r="AR11" s="31">
        <f t="shared" ca="1" si="2"/>
        <v>0</v>
      </c>
      <c r="AS11" s="31">
        <f t="shared" ca="1" si="2"/>
        <v>0</v>
      </c>
      <c r="AT11" s="31">
        <f t="shared" ca="1" si="2"/>
        <v>0</v>
      </c>
      <c r="AU11" s="31">
        <f t="shared" ca="1" si="2"/>
        <v>0</v>
      </c>
      <c r="AV11" s="31">
        <f t="shared" ca="1" si="2"/>
        <v>0</v>
      </c>
      <c r="AW11" s="31">
        <f t="shared" ca="1" si="2"/>
        <v>0</v>
      </c>
      <c r="AX11" s="31">
        <f t="shared" ca="1" si="2"/>
        <v>0</v>
      </c>
      <c r="AY11" s="31">
        <f t="shared" ca="1" si="2"/>
        <v>0</v>
      </c>
      <c r="AZ11" s="78">
        <f t="shared" ca="1" si="2"/>
        <v>0</v>
      </c>
      <c r="BA11" s="15"/>
      <c r="BB11" s="72" t="s">
        <v>204</v>
      </c>
      <c r="BC11" s="71">
        <f t="shared" si="4"/>
        <v>0</v>
      </c>
      <c r="BD11" s="71">
        <f t="shared" ca="1" si="5"/>
        <v>0</v>
      </c>
      <c r="BE11" s="71">
        <f t="shared" ca="1" si="6"/>
        <v>0</v>
      </c>
      <c r="BF11" s="71">
        <f t="shared" ca="1" si="7"/>
        <v>0</v>
      </c>
      <c r="BG11" s="71">
        <f t="shared" ca="1" si="8"/>
        <v>0</v>
      </c>
      <c r="BH11" s="71">
        <f t="shared" ca="1" si="9"/>
        <v>0</v>
      </c>
      <c r="BI11" s="71">
        <f t="shared" ca="1" si="10"/>
        <v>0</v>
      </c>
      <c r="BJ11" s="71">
        <f t="shared" ca="1" si="11"/>
        <v>0</v>
      </c>
      <c r="BK11" s="71">
        <f t="shared" ca="1" si="12"/>
        <v>0</v>
      </c>
      <c r="BL11" s="71">
        <f t="shared" ca="1" si="13"/>
        <v>0</v>
      </c>
    </row>
    <row r="12" spans="1:6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61</v>
      </c>
      <c r="D12" s="3" t="s">
        <v>86</v>
      </c>
      <c r="E12" s="3" t="s">
        <v>87</v>
      </c>
      <c r="F12" s="3" t="s">
        <v>88</v>
      </c>
      <c r="G12" s="3" t="s">
        <v>89</v>
      </c>
      <c r="H12" s="3" t="s">
        <v>90</v>
      </c>
      <c r="I12" s="3" t="s">
        <v>91</v>
      </c>
      <c r="J12" s="3" t="s">
        <v>92</v>
      </c>
      <c r="K12" s="3" t="s">
        <v>93</v>
      </c>
      <c r="L12" s="3" t="s">
        <v>94</v>
      </c>
      <c r="M12" s="3" t="s">
        <v>95</v>
      </c>
      <c r="N12" s="69" t="s">
        <v>95</v>
      </c>
      <c r="O12" s="69" t="s">
        <v>95</v>
      </c>
      <c r="P12" s="3" t="str">
        <f>'Model names'!C10</f>
        <v>Liberty</v>
      </c>
      <c r="Q12" s="8">
        <f>[31]Growth_Reports!C182</f>
        <v>0</v>
      </c>
      <c r="R12" s="8">
        <f>[31]Growth_Reports!D182</f>
        <v>0</v>
      </c>
      <c r="S12" s="8">
        <f>[31]Growth_Reports!E182</f>
        <v>0</v>
      </c>
      <c r="T12" s="8">
        <f>[31]Growth_Reports!F182</f>
        <v>0</v>
      </c>
      <c r="U12" s="8">
        <f>[31]Growth_Reports!G182</f>
        <v>0</v>
      </c>
      <c r="V12" s="8">
        <f>[31]Growth_Reports!H182</f>
        <v>0</v>
      </c>
      <c r="W12" s="8">
        <f>[31]Growth_Reports!I182</f>
        <v>0</v>
      </c>
      <c r="X12" s="8">
        <f>[31]Growth_Reports!J182</f>
        <v>0</v>
      </c>
      <c r="Y12" s="8">
        <f>[31]Growth_Reports!K182</f>
        <v>0</v>
      </c>
      <c r="Z12" s="8">
        <f>[31]Growth_Reports!L182</f>
        <v>0</v>
      </c>
      <c r="AA12" s="7">
        <f>[31]Growth_Reports!L182</f>
        <v>0</v>
      </c>
      <c r="AB12" s="7">
        <f>[31]Growth_Reports!L182</f>
        <v>0</v>
      </c>
      <c r="AC12" s="8"/>
      <c r="AD12" t="s">
        <v>59</v>
      </c>
      <c r="AE12">
        <v>768.06656233948183</v>
      </c>
      <c r="AF12">
        <v>1474.719493625664</v>
      </c>
      <c r="AG12" s="5">
        <v>2226.7883469894441</v>
      </c>
      <c r="AH12" s="5">
        <v>3020.2166562478656</v>
      </c>
      <c r="AI12">
        <v>3880.1217985982134</v>
      </c>
      <c r="AJ12">
        <v>4800.0272744291051</v>
      </c>
      <c r="AK12">
        <v>5776.9677583374996</v>
      </c>
      <c r="AL12">
        <v>7820.7641667233802</v>
      </c>
      <c r="AM12">
        <v>8973.2978297373811</v>
      </c>
      <c r="AN12">
        <v>10212.957113167533</v>
      </c>
      <c r="AP12" s="37" t="s">
        <v>59</v>
      </c>
      <c r="AQ12" s="31">
        <f t="shared" si="1"/>
        <v>470.10299634262674</v>
      </c>
      <c r="AR12" s="31">
        <f t="shared" si="2"/>
        <v>1071.1544349338535</v>
      </c>
      <c r="AS12" s="31">
        <f t="shared" si="2"/>
        <v>1887.7418319837257</v>
      </c>
      <c r="AT12" s="31">
        <f t="shared" si="2"/>
        <v>2824.6911352602324</v>
      </c>
      <c r="AU12" s="31">
        <f t="shared" si="2"/>
        <v>3856.6903475336658</v>
      </c>
      <c r="AV12" s="31">
        <f t="shared" si="2"/>
        <v>5007.3109493401262</v>
      </c>
      <c r="AW12" s="31">
        <f t="shared" si="2"/>
        <v>6269.7994388537245</v>
      </c>
      <c r="AX12" s="31">
        <f t="shared" si="2"/>
        <v>7632.9946418327063</v>
      </c>
      <c r="AY12" s="31">
        <f t="shared" si="2"/>
        <v>9096.3537809280497</v>
      </c>
      <c r="AZ12" s="78">
        <f t="shared" si="2"/>
        <v>10707.770683590661</v>
      </c>
      <c r="BA12" s="15"/>
      <c r="BB12" s="72" t="s">
        <v>59</v>
      </c>
      <c r="BC12" s="71">
        <f t="shared" si="4"/>
        <v>-297.9635659968551</v>
      </c>
      <c r="BD12" s="71">
        <f t="shared" si="5"/>
        <v>-403.56505869181046</v>
      </c>
      <c r="BE12" s="71">
        <f t="shared" si="6"/>
        <v>-339.04651500571845</v>
      </c>
      <c r="BF12" s="71">
        <f t="shared" si="7"/>
        <v>-195.52552098763317</v>
      </c>
      <c r="BG12" s="71">
        <f t="shared" si="8"/>
        <v>-23.431451064547673</v>
      </c>
      <c r="BH12" s="71">
        <f t="shared" si="9"/>
        <v>207.28367491102108</v>
      </c>
      <c r="BI12" s="71">
        <f t="shared" si="10"/>
        <v>492.83168051622488</v>
      </c>
      <c r="BJ12" s="71">
        <f t="shared" si="11"/>
        <v>-187.76952489067389</v>
      </c>
      <c r="BK12" s="71">
        <f t="shared" si="12"/>
        <v>123.05595119066857</v>
      </c>
      <c r="BL12" s="71">
        <f t="shared" si="13"/>
        <v>494.81357042312811</v>
      </c>
    </row>
    <row r="13" spans="1:6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61</v>
      </c>
      <c r="D13" s="3" t="s">
        <v>86</v>
      </c>
      <c r="E13" s="3" t="s">
        <v>87</v>
      </c>
      <c r="F13" s="3" t="s">
        <v>88</v>
      </c>
      <c r="G13" s="3" t="s">
        <v>89</v>
      </c>
      <c r="H13" s="3" t="s">
        <v>90</v>
      </c>
      <c r="I13" s="3" t="s">
        <v>91</v>
      </c>
      <c r="J13" s="3" t="s">
        <v>92</v>
      </c>
      <c r="K13" s="3" t="s">
        <v>93</v>
      </c>
      <c r="L13" s="3" t="s">
        <v>94</v>
      </c>
      <c r="M13" s="3" t="s">
        <v>95</v>
      </c>
      <c r="N13" s="69" t="s">
        <v>95</v>
      </c>
      <c r="O13" s="69" t="s">
        <v>95</v>
      </c>
      <c r="P13" s="3" t="str">
        <f>'Model names'!C11</f>
        <v>LW</v>
      </c>
      <c r="Q13" s="8">
        <f>[33]Growth_Reports!C182</f>
        <v>0</v>
      </c>
      <c r="R13" s="8">
        <f>[33]Growth_Reports!D182</f>
        <v>0</v>
      </c>
      <c r="S13" s="8">
        <f>[33]Growth_Reports!E182</f>
        <v>0</v>
      </c>
      <c r="T13" s="8">
        <f>[33]Growth_Reports!F182</f>
        <v>0</v>
      </c>
      <c r="U13" s="8">
        <f>[33]Growth_Reports!G182</f>
        <v>0</v>
      </c>
      <c r="V13" s="8">
        <f>[33]Growth_Reports!H182</f>
        <v>-3.1263880373444408E-13</v>
      </c>
      <c r="W13" s="8">
        <f>[33]Growth_Reports!I182</f>
        <v>0</v>
      </c>
      <c r="X13" s="8">
        <f>[33]Growth_Reports!J182</f>
        <v>1.1937117960769683E-12</v>
      </c>
      <c r="Y13" s="8">
        <f>[33]Growth_Reports!K182</f>
        <v>-1.2505552149377763E-12</v>
      </c>
      <c r="Z13" s="8">
        <f>[33]Growth_Reports!L182</f>
        <v>1.4779288903810084E-12</v>
      </c>
      <c r="AA13" s="7">
        <f>[33]Growth_Reports!L182</f>
        <v>1.4779288903810084E-12</v>
      </c>
      <c r="AB13" s="7">
        <f>[33]Growth_Reports!L182</f>
        <v>1.4779288903810084E-12</v>
      </c>
      <c r="AC13" s="8"/>
      <c r="AD13" t="s">
        <v>205</v>
      </c>
      <c r="AE13">
        <v>3084.0001738666169</v>
      </c>
      <c r="AF13">
        <v>6277.2858457407274</v>
      </c>
      <c r="AG13" s="5">
        <v>9828.8491671711217</v>
      </c>
      <c r="AH13" s="5">
        <v>13567.609584476311</v>
      </c>
      <c r="AI13">
        <v>17466.08057040604</v>
      </c>
      <c r="AJ13">
        <v>21526.875757380854</v>
      </c>
      <c r="AK13">
        <v>25946.790416074469</v>
      </c>
      <c r="AL13">
        <v>30305.486162282668</v>
      </c>
      <c r="AM13">
        <v>34875.625955096446</v>
      </c>
      <c r="AN13">
        <v>39556.761304978339</v>
      </c>
      <c r="AP13" s="37" t="s">
        <v>205</v>
      </c>
      <c r="AQ13" s="31">
        <f t="shared" si="1"/>
        <v>1179.0853555746285</v>
      </c>
      <c r="AR13" s="31">
        <f t="shared" si="2"/>
        <v>3760.4388363244379</v>
      </c>
      <c r="AS13" s="31">
        <f t="shared" si="2"/>
        <v>6481.4920179906367</v>
      </c>
      <c r="AT13" s="31">
        <f t="shared" si="2"/>
        <v>15007.183273789189</v>
      </c>
      <c r="AU13" s="31">
        <f t="shared" si="2"/>
        <v>18275.992044439328</v>
      </c>
      <c r="AV13" s="31">
        <f t="shared" si="2"/>
        <v>21555.75593119223</v>
      </c>
      <c r="AW13" s="31">
        <f t="shared" si="2"/>
        <v>31795.955449660338</v>
      </c>
      <c r="AX13" s="31">
        <f t="shared" si="2"/>
        <v>35630.531776873882</v>
      </c>
      <c r="AY13" s="31">
        <f t="shared" si="2"/>
        <v>39489.072766962083</v>
      </c>
      <c r="AZ13" s="78">
        <f t="shared" si="2"/>
        <v>51736.553827137468</v>
      </c>
      <c r="BA13" s="15"/>
      <c r="BB13" s="72" t="s">
        <v>205</v>
      </c>
      <c r="BC13" s="71">
        <f t="shared" si="4"/>
        <v>-1904.9148182919885</v>
      </c>
      <c r="BD13" s="71">
        <f t="shared" si="5"/>
        <v>-2516.8470094162894</v>
      </c>
      <c r="BE13" s="71">
        <f t="shared" si="6"/>
        <v>-3347.3571491804851</v>
      </c>
      <c r="BF13" s="71">
        <f t="shared" si="7"/>
        <v>1439.5736893128778</v>
      </c>
      <c r="BG13" s="71">
        <f t="shared" si="8"/>
        <v>809.91147403328796</v>
      </c>
      <c r="BH13" s="71">
        <f t="shared" si="9"/>
        <v>28.880173811376153</v>
      </c>
      <c r="BI13" s="71">
        <f t="shared" si="10"/>
        <v>5849.1650335858685</v>
      </c>
      <c r="BJ13" s="71">
        <f t="shared" si="11"/>
        <v>5325.045614591214</v>
      </c>
      <c r="BK13" s="71">
        <f t="shared" si="12"/>
        <v>4613.4468118656368</v>
      </c>
      <c r="BL13" s="71">
        <f t="shared" si="13"/>
        <v>12179.792522159129</v>
      </c>
    </row>
    <row r="14" spans="1:6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61</v>
      </c>
      <c r="D14" s="3" t="s">
        <v>86</v>
      </c>
      <c r="E14" s="3" t="s">
        <v>87</v>
      </c>
      <c r="F14" s="3" t="s">
        <v>88</v>
      </c>
      <c r="G14" s="3" t="s">
        <v>89</v>
      </c>
      <c r="H14" s="3" t="s">
        <v>90</v>
      </c>
      <c r="I14" s="3" t="s">
        <v>91</v>
      </c>
      <c r="J14" s="3" t="s">
        <v>92</v>
      </c>
      <c r="K14" s="3" t="s">
        <v>93</v>
      </c>
      <c r="L14" s="3" t="s">
        <v>94</v>
      </c>
      <c r="M14" s="3" t="s">
        <v>95</v>
      </c>
      <c r="N14" s="69" t="s">
        <v>95</v>
      </c>
      <c r="O14" s="69" t="s">
        <v>95</v>
      </c>
      <c r="P14" s="3" t="str">
        <f>'Model names'!C12</f>
        <v>MD</v>
      </c>
      <c r="Q14" s="8">
        <f>[35]Growth_Reports!C182</f>
        <v>5.7574290005984032</v>
      </c>
      <c r="R14" s="8">
        <f>[35]Growth_Reports!D182</f>
        <v>85.169000000000011</v>
      </c>
      <c r="S14" s="8">
        <f>[35]Growth_Reports!E182</f>
        <v>114.16899999999997</v>
      </c>
      <c r="T14" s="8">
        <f>[35]Growth_Reports!F182</f>
        <v>122.16900000000066</v>
      </c>
      <c r="U14" s="8">
        <f>[35]Growth_Reports!G182</f>
        <v>124.16899999999984</v>
      </c>
      <c r="V14" s="8">
        <f>[35]Growth_Reports!H182</f>
        <v>135.16900000000012</v>
      </c>
      <c r="W14" s="8">
        <f>[35]Growth_Reports!I182</f>
        <v>146.16899999999976</v>
      </c>
      <c r="X14" s="8">
        <f>[35]Growth_Reports!J182</f>
        <v>157.16900000000004</v>
      </c>
      <c r="Y14" s="8">
        <f>[35]Growth_Reports!K182</f>
        <v>168.16900000000021</v>
      </c>
      <c r="Z14" s="8">
        <f>[35]Growth_Reports!L182</f>
        <v>179.16899999999981</v>
      </c>
      <c r="AA14" s="7">
        <f>[35]Growth_Reports!L182</f>
        <v>179.16899999999981</v>
      </c>
      <c r="AB14" s="7">
        <f>[35]Growth_Reports!L182</f>
        <v>179.16899999999981</v>
      </c>
      <c r="AC14" s="8"/>
      <c r="AD14" t="s">
        <v>206</v>
      </c>
      <c r="AE14">
        <v>123.7894409783988</v>
      </c>
      <c r="AF14">
        <v>408.99999999999824</v>
      </c>
      <c r="AG14" s="5">
        <v>609.00000000000102</v>
      </c>
      <c r="AH14" s="5">
        <v>608.99999999999886</v>
      </c>
      <c r="AI14">
        <v>609</v>
      </c>
      <c r="AJ14">
        <v>709.00000000000159</v>
      </c>
      <c r="AK14">
        <v>709.00000000000114</v>
      </c>
      <c r="AL14">
        <v>709.00000000000091</v>
      </c>
      <c r="AM14">
        <v>809.00000000000136</v>
      </c>
      <c r="AN14">
        <v>808.99999999999818</v>
      </c>
      <c r="AP14" s="37" t="s">
        <v>206</v>
      </c>
      <c r="AQ14" s="31">
        <f t="shared" si="1"/>
        <v>47.571267161396293</v>
      </c>
      <c r="AR14" s="31">
        <f t="shared" si="2"/>
        <v>515.99999999999818</v>
      </c>
      <c r="AS14" s="31">
        <f t="shared" si="2"/>
        <v>608.99999999999932</v>
      </c>
      <c r="AT14" s="31">
        <f t="shared" si="2"/>
        <v>609.00000000000023</v>
      </c>
      <c r="AU14" s="31">
        <f t="shared" si="2"/>
        <v>609.0000000000033</v>
      </c>
      <c r="AV14" s="31">
        <f t="shared" si="2"/>
        <v>709.00000000000136</v>
      </c>
      <c r="AW14" s="31">
        <f t="shared" si="2"/>
        <v>708.99999999999864</v>
      </c>
      <c r="AX14" s="31">
        <f t="shared" si="2"/>
        <v>709.00000000000409</v>
      </c>
      <c r="AY14" s="31">
        <f t="shared" si="2"/>
        <v>809.00000000000114</v>
      </c>
      <c r="AZ14" s="78">
        <f t="shared" si="2"/>
        <v>1009.0000000000045</v>
      </c>
      <c r="BA14" s="15"/>
      <c r="BB14" s="72" t="s">
        <v>206</v>
      </c>
      <c r="BC14" s="71">
        <f t="shared" si="4"/>
        <v>-76.218173817002508</v>
      </c>
      <c r="BD14" s="71">
        <f t="shared" si="5"/>
        <v>106.99999999999994</v>
      </c>
      <c r="BE14" s="71">
        <f t="shared" si="6"/>
        <v>-1.7053025658242404E-12</v>
      </c>
      <c r="BF14" s="71">
        <f t="shared" si="7"/>
        <v>1.3642420526593924E-12</v>
      </c>
      <c r="BG14" s="71">
        <f t="shared" si="8"/>
        <v>3.2969182939268649E-12</v>
      </c>
      <c r="BH14" s="71">
        <f t="shared" si="9"/>
        <v>0</v>
      </c>
      <c r="BI14" s="71">
        <f t="shared" si="10"/>
        <v>-2.5011104298755527E-12</v>
      </c>
      <c r="BJ14" s="71">
        <f t="shared" si="11"/>
        <v>3.1832314562052488E-12</v>
      </c>
      <c r="BK14" s="71">
        <f t="shared" si="12"/>
        <v>0</v>
      </c>
      <c r="BL14" s="71">
        <f t="shared" si="13"/>
        <v>200.00000000000637</v>
      </c>
    </row>
    <row r="15" spans="1:6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61</v>
      </c>
      <c r="D15" s="3" t="s">
        <v>86</v>
      </c>
      <c r="E15" s="3" t="s">
        <v>87</v>
      </c>
      <c r="F15" s="3" t="s">
        <v>88</v>
      </c>
      <c r="G15" s="3" t="s">
        <v>89</v>
      </c>
      <c r="H15" s="3" t="s">
        <v>90</v>
      </c>
      <c r="I15" s="3" t="s">
        <v>91</v>
      </c>
      <c r="J15" s="3" t="s">
        <v>92</v>
      </c>
      <c r="K15" s="3" t="s">
        <v>93</v>
      </c>
      <c r="L15" s="3" t="s">
        <v>94</v>
      </c>
      <c r="M15" s="3" t="s">
        <v>95</v>
      </c>
      <c r="N15" s="69" t="s">
        <v>95</v>
      </c>
      <c r="O15" s="69" t="s">
        <v>95</v>
      </c>
      <c r="P15" s="3" t="str">
        <f>'Model names'!C13</f>
        <v>MI</v>
      </c>
      <c r="Q15" s="8">
        <f>[37]Growth_Reports!C182</f>
        <v>0</v>
      </c>
      <c r="R15" s="8">
        <f>[37]Growth_Reports!D182</f>
        <v>0</v>
      </c>
      <c r="S15" s="8">
        <f>[37]Growth_Reports!E182</f>
        <v>0</v>
      </c>
      <c r="T15" s="8">
        <f>[37]Growth_Reports!F182</f>
        <v>0</v>
      </c>
      <c r="U15" s="8">
        <f>[37]Growth_Reports!G182</f>
        <v>0</v>
      </c>
      <c r="V15" s="8">
        <f>[37]Growth_Reports!H182</f>
        <v>0</v>
      </c>
      <c r="W15" s="8">
        <f>[37]Growth_Reports!I182</f>
        <v>0</v>
      </c>
      <c r="X15" s="8">
        <f>[37]Growth_Reports!J182</f>
        <v>0</v>
      </c>
      <c r="Y15" s="8">
        <f>[37]Growth_Reports!K182</f>
        <v>0</v>
      </c>
      <c r="Z15" s="8">
        <f>[37]Growth_Reports!L182</f>
        <v>0</v>
      </c>
      <c r="AA15" s="7">
        <f>[37]Growth_Reports!L182</f>
        <v>0</v>
      </c>
      <c r="AB15" s="7">
        <f>[37]Growth_Reports!L182</f>
        <v>0</v>
      </c>
      <c r="AC15" s="8"/>
      <c r="AD15" t="s">
        <v>207</v>
      </c>
      <c r="AE15">
        <v>13.503208637531316</v>
      </c>
      <c r="AF15">
        <v>85.169000000000153</v>
      </c>
      <c r="AG15" s="5">
        <v>114.16899999999974</v>
      </c>
      <c r="AH15" s="5">
        <v>122.1689999999998</v>
      </c>
      <c r="AI15">
        <v>124.16899999999994</v>
      </c>
      <c r="AJ15">
        <v>135.16899999999956</v>
      </c>
      <c r="AK15">
        <v>146.16899999999987</v>
      </c>
      <c r="AL15">
        <v>157.16899999999947</v>
      </c>
      <c r="AM15">
        <v>168.16900000000038</v>
      </c>
      <c r="AN15">
        <v>179.16900000000012</v>
      </c>
      <c r="AP15" s="37" t="s">
        <v>207</v>
      </c>
      <c r="AQ15" s="31">
        <f t="shared" si="1"/>
        <v>5.7574290005984032</v>
      </c>
      <c r="AR15" s="31">
        <f t="shared" si="2"/>
        <v>85.169000000000011</v>
      </c>
      <c r="AS15" s="31">
        <f t="shared" si="2"/>
        <v>114.16899999999997</v>
      </c>
      <c r="AT15" s="31">
        <f t="shared" si="2"/>
        <v>122.16900000000066</v>
      </c>
      <c r="AU15" s="31">
        <f t="shared" si="2"/>
        <v>124.16899999999984</v>
      </c>
      <c r="AV15" s="31">
        <f t="shared" si="2"/>
        <v>135.16900000000012</v>
      </c>
      <c r="AW15" s="31">
        <f t="shared" si="2"/>
        <v>146.16899999999976</v>
      </c>
      <c r="AX15" s="31">
        <f t="shared" si="2"/>
        <v>157.16900000000004</v>
      </c>
      <c r="AY15" s="31">
        <f t="shared" si="2"/>
        <v>168.16900000000021</v>
      </c>
      <c r="AZ15" s="78">
        <f t="shared" si="2"/>
        <v>179.16899999999981</v>
      </c>
      <c r="BA15" s="15"/>
      <c r="BB15" s="72" t="s">
        <v>207</v>
      </c>
      <c r="BC15" s="71">
        <f t="shared" si="4"/>
        <v>-7.7457796369329124</v>
      </c>
      <c r="BD15" s="71">
        <f t="shared" si="5"/>
        <v>-1.4210854715202004E-13</v>
      </c>
      <c r="BE15" s="71">
        <f t="shared" si="6"/>
        <v>2.2737367544323206E-13</v>
      </c>
      <c r="BF15" s="71">
        <f t="shared" si="7"/>
        <v>8.6686213762732223E-13</v>
      </c>
      <c r="BG15" s="71">
        <f t="shared" si="8"/>
        <v>0</v>
      </c>
      <c r="BH15" s="71">
        <f t="shared" si="9"/>
        <v>5.6843418860808015E-13</v>
      </c>
      <c r="BI15" s="71">
        <f t="shared" si="10"/>
        <v>0</v>
      </c>
      <c r="BJ15" s="71">
        <f t="shared" si="11"/>
        <v>5.6843418860808015E-13</v>
      </c>
      <c r="BK15" s="71">
        <f t="shared" si="12"/>
        <v>0</v>
      </c>
      <c r="BL15" s="71">
        <f t="shared" si="13"/>
        <v>-3.1263880373444408E-13</v>
      </c>
    </row>
    <row r="16" spans="1:6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61</v>
      </c>
      <c r="D16" s="3" t="s">
        <v>86</v>
      </c>
      <c r="E16" s="3" t="s">
        <v>87</v>
      </c>
      <c r="F16" s="3" t="s">
        <v>88</v>
      </c>
      <c r="G16" s="3" t="s">
        <v>89</v>
      </c>
      <c r="H16" s="3" t="s">
        <v>90</v>
      </c>
      <c r="I16" s="3" t="s">
        <v>91</v>
      </c>
      <c r="J16" s="3" t="s">
        <v>92</v>
      </c>
      <c r="K16" s="3" t="s">
        <v>93</v>
      </c>
      <c r="L16" s="3" t="s">
        <v>94</v>
      </c>
      <c r="M16" s="3" t="s">
        <v>95</v>
      </c>
      <c r="N16" s="69" t="s">
        <v>95</v>
      </c>
      <c r="O16" s="69" t="s">
        <v>95</v>
      </c>
      <c r="P16" s="3" t="str">
        <f>'Model names'!C14</f>
        <v>MO</v>
      </c>
      <c r="Q16" s="8">
        <f>[39]Growth_Reports!C182</f>
        <v>470.10299634262674</v>
      </c>
      <c r="R16" s="8">
        <f>[39]Growth_Reports!D182</f>
        <v>1071.1544349338535</v>
      </c>
      <c r="S16" s="8">
        <f>[39]Growth_Reports!E182</f>
        <v>1887.7418319837257</v>
      </c>
      <c r="T16" s="8">
        <f>[39]Growth_Reports!F182</f>
        <v>2824.6911352602324</v>
      </c>
      <c r="U16" s="8">
        <f>[39]Growth_Reports!G182</f>
        <v>3856.6903475336658</v>
      </c>
      <c r="V16" s="8">
        <f>[39]Growth_Reports!H182</f>
        <v>5007.3109493401262</v>
      </c>
      <c r="W16" s="8">
        <f>[39]Growth_Reports!I182</f>
        <v>6269.7994388537245</v>
      </c>
      <c r="X16" s="8">
        <f>[39]Growth_Reports!J182</f>
        <v>7632.9946418327063</v>
      </c>
      <c r="Y16" s="8">
        <f>[39]Growth_Reports!K182</f>
        <v>9096.3537809280497</v>
      </c>
      <c r="Z16" s="8">
        <f>[39]Growth_Reports!L182</f>
        <v>10707.770683590661</v>
      </c>
      <c r="AA16" s="7">
        <f>[39]Growth_Reports!L182</f>
        <v>10707.770683590661</v>
      </c>
      <c r="AB16" s="7">
        <f>[39]Growth_Reports!L182</f>
        <v>10707.770683590661</v>
      </c>
      <c r="AC16" s="8"/>
      <c r="AD16" t="s">
        <v>208</v>
      </c>
      <c r="AE16">
        <v>119.07944534442257</v>
      </c>
      <c r="AF16">
        <v>624.00000000000591</v>
      </c>
      <c r="AG16" s="5">
        <v>1214.9999999999934</v>
      </c>
      <c r="AH16" s="5">
        <v>1638.0000000000196</v>
      </c>
      <c r="AI16">
        <v>2035.9999999999854</v>
      </c>
      <c r="AJ16">
        <v>2427.9999999999932</v>
      </c>
      <c r="AK16">
        <v>2820</v>
      </c>
      <c r="AL16">
        <v>3211.9999999999982</v>
      </c>
      <c r="AM16">
        <v>3603.9999999999914</v>
      </c>
      <c r="AN16">
        <v>3995.9999999999945</v>
      </c>
      <c r="AP16" s="37" t="s">
        <v>208</v>
      </c>
      <c r="AQ16" s="31">
        <f t="shared" si="1"/>
        <v>90.362763994464899</v>
      </c>
      <c r="AR16" s="31">
        <f t="shared" si="2"/>
        <v>211.99999999999932</v>
      </c>
      <c r="AS16" s="31">
        <f t="shared" si="2"/>
        <v>758.00000000000705</v>
      </c>
      <c r="AT16" s="31">
        <f t="shared" si="2"/>
        <v>2772.4889999999896</v>
      </c>
      <c r="AU16" s="31">
        <f t="shared" si="2"/>
        <v>3424.0839999999935</v>
      </c>
      <c r="AV16" s="31">
        <f t="shared" si="2"/>
        <v>3874.0839999999935</v>
      </c>
      <c r="AW16" s="31">
        <f t="shared" si="2"/>
        <v>4324.0840000000044</v>
      </c>
      <c r="AX16" s="31">
        <f t="shared" si="2"/>
        <v>4774.083999999998</v>
      </c>
      <c r="AY16" s="31">
        <f t="shared" si="2"/>
        <v>5224.0839999999953</v>
      </c>
      <c r="AZ16" s="78">
        <f t="shared" si="2"/>
        <v>6674.0839999999953</v>
      </c>
      <c r="BA16" s="15"/>
      <c r="BB16" s="72" t="s">
        <v>208</v>
      </c>
      <c r="BC16" s="71">
        <f t="shared" si="4"/>
        <v>-28.716681349957668</v>
      </c>
      <c r="BD16" s="71">
        <f t="shared" si="5"/>
        <v>-412.00000000000659</v>
      </c>
      <c r="BE16" s="71">
        <f t="shared" si="6"/>
        <v>-456.99999999998636</v>
      </c>
      <c r="BF16" s="71">
        <f t="shared" si="7"/>
        <v>1134.48899999997</v>
      </c>
      <c r="BG16" s="71">
        <f t="shared" si="8"/>
        <v>1388.084000000008</v>
      </c>
      <c r="BH16" s="71">
        <f t="shared" si="9"/>
        <v>1446.0840000000003</v>
      </c>
      <c r="BI16" s="71">
        <f t="shared" si="10"/>
        <v>1504.0840000000044</v>
      </c>
      <c r="BJ16" s="71">
        <f t="shared" si="11"/>
        <v>1562.0839999999998</v>
      </c>
      <c r="BK16" s="71">
        <f t="shared" si="12"/>
        <v>1620.0840000000039</v>
      </c>
      <c r="BL16" s="71">
        <f t="shared" si="13"/>
        <v>2678.0840000000007</v>
      </c>
    </row>
    <row r="17" spans="1:6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61</v>
      </c>
      <c r="D17" s="3" t="s">
        <v>86</v>
      </c>
      <c r="E17" s="3" t="s">
        <v>87</v>
      </c>
      <c r="F17" s="3" t="s">
        <v>88</v>
      </c>
      <c r="G17" s="3" t="s">
        <v>89</v>
      </c>
      <c r="H17" s="3" t="s">
        <v>90</v>
      </c>
      <c r="I17" s="3" t="s">
        <v>91</v>
      </c>
      <c r="J17" s="3" t="s">
        <v>92</v>
      </c>
      <c r="K17" s="3" t="s">
        <v>93</v>
      </c>
      <c r="L17" s="3" t="s">
        <v>94</v>
      </c>
      <c r="M17" s="3" t="s">
        <v>95</v>
      </c>
      <c r="N17" s="69" t="s">
        <v>95</v>
      </c>
      <c r="O17" s="69" t="s">
        <v>95</v>
      </c>
      <c r="P17" s="3" t="str">
        <f>'Model names'!C15</f>
        <v>NJ</v>
      </c>
      <c r="Q17" s="8">
        <f>[41]Growth_Reports!C182</f>
        <v>0.61427028808930118</v>
      </c>
      <c r="R17" s="8">
        <f>[41]Growth_Reports!D182</f>
        <v>1000.614270288107</v>
      </c>
      <c r="S17" s="8">
        <f>[41]Growth_Reports!E182</f>
        <v>2399.99999999998</v>
      </c>
      <c r="T17" s="8">
        <f>[41]Growth_Reports!F182</f>
        <v>4400.0000000000136</v>
      </c>
      <c r="U17" s="8">
        <f>[41]Growth_Reports!G182</f>
        <v>10250.000000000022</v>
      </c>
      <c r="V17" s="8">
        <f>[41]Growth_Reports!H182</f>
        <v>10249.999999999978</v>
      </c>
      <c r="W17" s="8">
        <f>[41]Growth_Reports!I182</f>
        <v>10249.999999999971</v>
      </c>
      <c r="X17" s="8">
        <f>[41]Growth_Reports!J182</f>
        <v>12249.999999999996</v>
      </c>
      <c r="Y17" s="8">
        <f>[41]Growth_Reports!K182</f>
        <v>12249.999999999989</v>
      </c>
      <c r="Z17" s="8">
        <f>[41]Growth_Reports!L182</f>
        <v>12249.999999999953</v>
      </c>
      <c r="AA17" s="7">
        <f>[41]Growth_Reports!L182</f>
        <v>12249.999999999953</v>
      </c>
      <c r="AB17" s="7">
        <f>[41]Growth_Reports!L182</f>
        <v>12249.999999999953</v>
      </c>
      <c r="AC17" s="8"/>
      <c r="AD17" t="s">
        <v>209</v>
      </c>
      <c r="AE17">
        <v>0</v>
      </c>
      <c r="AF17">
        <v>0</v>
      </c>
      <c r="AG17" s="5">
        <v>0</v>
      </c>
      <c r="AH17" s="5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s="37" t="s">
        <v>209</v>
      </c>
      <c r="AQ17" s="31">
        <f t="shared" si="1"/>
        <v>1.5623333333332985</v>
      </c>
      <c r="AR17" s="31">
        <f t="shared" si="2"/>
        <v>25.000000000000028</v>
      </c>
      <c r="AS17" s="31">
        <f t="shared" si="2"/>
        <v>25.999999999999915</v>
      </c>
      <c r="AT17" s="31">
        <f t="shared" si="2"/>
        <v>27.000000000000085</v>
      </c>
      <c r="AU17" s="31">
        <f t="shared" si="2"/>
        <v>53.000000000000057</v>
      </c>
      <c r="AV17" s="31">
        <f t="shared" si="2"/>
        <v>54.999999999999858</v>
      </c>
      <c r="AW17" s="31">
        <f t="shared" si="2"/>
        <v>56.999999999999901</v>
      </c>
      <c r="AX17" s="31">
        <f t="shared" si="2"/>
        <v>59.000000000000199</v>
      </c>
      <c r="AY17" s="31">
        <f t="shared" si="2"/>
        <v>61.000000000000071</v>
      </c>
      <c r="AZ17" s="78">
        <f t="shared" si="2"/>
        <v>88.000000000000341</v>
      </c>
      <c r="BA17" s="15"/>
      <c r="BB17" s="72" t="s">
        <v>209</v>
      </c>
      <c r="BC17" s="71">
        <f t="shared" si="4"/>
        <v>1.5623333333332985</v>
      </c>
      <c r="BD17" s="71">
        <f t="shared" si="5"/>
        <v>25.000000000000028</v>
      </c>
      <c r="BE17" s="71">
        <f t="shared" si="6"/>
        <v>25.999999999999915</v>
      </c>
      <c r="BF17" s="71">
        <f t="shared" si="7"/>
        <v>27.000000000000085</v>
      </c>
      <c r="BG17" s="71">
        <f t="shared" si="8"/>
        <v>53.000000000000057</v>
      </c>
      <c r="BH17" s="71">
        <f t="shared" si="9"/>
        <v>54.999999999999858</v>
      </c>
      <c r="BI17" s="71">
        <f t="shared" si="10"/>
        <v>56.999999999999901</v>
      </c>
      <c r="BJ17" s="71">
        <f t="shared" si="11"/>
        <v>59.000000000000199</v>
      </c>
      <c r="BK17" s="71">
        <f t="shared" si="12"/>
        <v>61.000000000000071</v>
      </c>
      <c r="BL17" s="71">
        <f t="shared" si="13"/>
        <v>88.000000000000341</v>
      </c>
    </row>
    <row r="18" spans="1:6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61</v>
      </c>
      <c r="D18" s="3" t="s">
        <v>86</v>
      </c>
      <c r="E18" s="3" t="s">
        <v>87</v>
      </c>
      <c r="F18" s="3" t="s">
        <v>88</v>
      </c>
      <c r="G18" s="3" t="s">
        <v>89</v>
      </c>
      <c r="H18" s="3" t="s">
        <v>90</v>
      </c>
      <c r="I18" s="3" t="s">
        <v>91</v>
      </c>
      <c r="J18" s="3" t="s">
        <v>92</v>
      </c>
      <c r="K18" s="3" t="s">
        <v>93</v>
      </c>
      <c r="L18" s="3" t="s">
        <v>94</v>
      </c>
      <c r="M18" s="3" t="s">
        <v>95</v>
      </c>
      <c r="N18" s="69" t="s">
        <v>95</v>
      </c>
      <c r="O18" s="69" t="s">
        <v>95</v>
      </c>
      <c r="P18" s="3" t="str">
        <f>'Model names'!C16</f>
        <v>NY</v>
      </c>
      <c r="Q18" s="8">
        <f>[43]Growth_Reports!C182</f>
        <v>10.032629097639173</v>
      </c>
      <c r="R18" s="8">
        <f>[43]Growth_Reports!D182</f>
        <v>111.07204000000712</v>
      </c>
      <c r="S18" s="8">
        <f>[43]Growth_Reports!E182</f>
        <v>166.79768200001251</v>
      </c>
      <c r="T18" s="8">
        <f>[43]Growth_Reports!F182</f>
        <v>348.32838343749938</v>
      </c>
      <c r="U18" s="8">
        <f>[43]Growth_Reports!G182</f>
        <v>477.9676213956285</v>
      </c>
      <c r="V18" s="8">
        <f>[43]Growth_Reports!H182</f>
        <v>613.94361601200239</v>
      </c>
      <c r="W18" s="8">
        <f>[43]Growth_Reports!I182</f>
        <v>756.49218059584223</v>
      </c>
      <c r="X18" s="8">
        <f>[43]Growth_Reports!J182</f>
        <v>905.85695864884929</v>
      </c>
      <c r="Y18" s="8">
        <f>[43]Growth_Reports!K182</f>
        <v>1062.289667991643</v>
      </c>
      <c r="Z18" s="8">
        <f>[43]Growth_Reports!L182</f>
        <v>1226.050352202416</v>
      </c>
      <c r="AA18" s="7">
        <f>[43]Growth_Reports!L182</f>
        <v>1226.050352202416</v>
      </c>
      <c r="AB18" s="7">
        <f>[43]Growth_Reports!L182</f>
        <v>1226.050352202416</v>
      </c>
      <c r="AC18" s="8"/>
      <c r="AD18" t="s">
        <v>210</v>
      </c>
      <c r="AE18">
        <v>71.404148965056038</v>
      </c>
      <c r="AF18">
        <v>158.53480444676575</v>
      </c>
      <c r="AG18" s="5">
        <v>251.22545837661499</v>
      </c>
      <c r="AH18" s="5">
        <v>349.46149584570287</v>
      </c>
      <c r="AI18">
        <v>453.18372398781008</v>
      </c>
      <c r="AJ18">
        <v>563.06188778088062</v>
      </c>
      <c r="AK18">
        <v>679.02070021745317</v>
      </c>
      <c r="AL18">
        <v>801.34081015990034</v>
      </c>
      <c r="AM18">
        <v>930.48202567122109</v>
      </c>
      <c r="AN18">
        <v>1067.2071779796452</v>
      </c>
      <c r="AP18" s="37" t="s">
        <v>210</v>
      </c>
      <c r="AQ18" s="31">
        <f t="shared" si="1"/>
        <v>-17.588476425113384</v>
      </c>
      <c r="AR18" s="31">
        <f t="shared" si="2"/>
        <v>53.999999999999318</v>
      </c>
      <c r="AS18" s="31">
        <f t="shared" si="2"/>
        <v>171.0000000000029</v>
      </c>
      <c r="AT18" s="31">
        <f t="shared" si="2"/>
        <v>238.00000000000051</v>
      </c>
      <c r="AU18" s="31">
        <f t="shared" si="2"/>
        <v>383.00000000000091</v>
      </c>
      <c r="AV18" s="31">
        <f t="shared" si="2"/>
        <v>528.00000000000068</v>
      </c>
      <c r="AW18" s="31">
        <f t="shared" si="2"/>
        <v>673.00000000000114</v>
      </c>
      <c r="AX18" s="31">
        <f t="shared" si="2"/>
        <v>818.00000000000273</v>
      </c>
      <c r="AY18" s="31">
        <f t="shared" si="2"/>
        <v>962.99999999999409</v>
      </c>
      <c r="AZ18" s="78">
        <f t="shared" si="2"/>
        <v>1108.0000000000018</v>
      </c>
      <c r="BA18" s="15"/>
      <c r="BB18" s="72" t="s">
        <v>210</v>
      </c>
      <c r="BC18" s="71">
        <f t="shared" si="4"/>
        <v>-88.992625390169422</v>
      </c>
      <c r="BD18" s="71">
        <f t="shared" si="5"/>
        <v>-104.53480444676643</v>
      </c>
      <c r="BE18" s="71">
        <f t="shared" si="6"/>
        <v>-80.225458376612096</v>
      </c>
      <c r="BF18" s="71">
        <f t="shared" si="7"/>
        <v>-111.46149584570236</v>
      </c>
      <c r="BG18" s="71">
        <f t="shared" si="8"/>
        <v>-70.183723987809174</v>
      </c>
      <c r="BH18" s="71">
        <f t="shared" si="9"/>
        <v>-35.061887780879943</v>
      </c>
      <c r="BI18" s="71">
        <f t="shared" si="10"/>
        <v>-6.0207002174520312</v>
      </c>
      <c r="BJ18" s="71">
        <f t="shared" si="11"/>
        <v>16.659189840102385</v>
      </c>
      <c r="BK18" s="71">
        <f t="shared" si="12"/>
        <v>32.517974328772993</v>
      </c>
      <c r="BL18" s="71">
        <f t="shared" si="13"/>
        <v>40.792822020356653</v>
      </c>
    </row>
    <row r="19" spans="1:6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61</v>
      </c>
      <c r="D19" s="3" t="s">
        <v>86</v>
      </c>
      <c r="E19" s="3" t="s">
        <v>87</v>
      </c>
      <c r="F19" s="3" t="s">
        <v>88</v>
      </c>
      <c r="G19" s="3" t="s">
        <v>89</v>
      </c>
      <c r="H19" s="3" t="s">
        <v>90</v>
      </c>
      <c r="I19" s="3" t="s">
        <v>91</v>
      </c>
      <c r="J19" s="3" t="s">
        <v>92</v>
      </c>
      <c r="K19" s="3" t="s">
        <v>93</v>
      </c>
      <c r="L19" s="3" t="s">
        <v>94</v>
      </c>
      <c r="M19" s="3" t="s">
        <v>95</v>
      </c>
      <c r="N19" s="69" t="s">
        <v>95</v>
      </c>
      <c r="O19" s="69" t="s">
        <v>95</v>
      </c>
      <c r="P19" s="3" t="str">
        <f>'Model names'!C17</f>
        <v>PA</v>
      </c>
      <c r="Q19" s="8">
        <f>[45]Growth_Reports!C182</f>
        <v>1179.0853555746285</v>
      </c>
      <c r="R19" s="8">
        <f>[45]Growth_Reports!D182</f>
        <v>3760.4388363244379</v>
      </c>
      <c r="S19" s="8">
        <f>[45]Growth_Reports!E182</f>
        <v>6481.4920179906367</v>
      </c>
      <c r="T19" s="8">
        <f>[45]Growth_Reports!F182</f>
        <v>15007.183273789189</v>
      </c>
      <c r="U19" s="8">
        <f>[45]Growth_Reports!G182</f>
        <v>18275.992044439328</v>
      </c>
      <c r="V19" s="8">
        <f>[45]Growth_Reports!H182</f>
        <v>21555.75593119223</v>
      </c>
      <c r="W19" s="8">
        <f>[45]Growth_Reports!I182</f>
        <v>31795.955449660338</v>
      </c>
      <c r="X19" s="8">
        <f>[45]Growth_Reports!J182</f>
        <v>35630.531776873882</v>
      </c>
      <c r="Y19" s="8">
        <f>[45]Growth_Reports!K182</f>
        <v>39489.072766962083</v>
      </c>
      <c r="Z19" s="8">
        <f>[45]Growth_Reports!L182</f>
        <v>51736.553827137468</v>
      </c>
      <c r="AA19" s="7">
        <f>[45]Growth_Reports!L182</f>
        <v>51736.553827137468</v>
      </c>
      <c r="AB19" s="7">
        <f>[45]Growth_Reports!L182</f>
        <v>51736.553827137468</v>
      </c>
      <c r="AD19" t="s">
        <v>196</v>
      </c>
      <c r="AE19">
        <v>608.08801116578843</v>
      </c>
      <c r="AF19">
        <v>1236.1498237190344</v>
      </c>
      <c r="AG19" s="5">
        <v>1896.4685734557997</v>
      </c>
      <c r="AH19" s="5">
        <v>2598.5341982924019</v>
      </c>
      <c r="AI19">
        <v>3344.3342892934616</v>
      </c>
      <c r="AJ19">
        <v>4128.1798248252917</v>
      </c>
      <c r="AK19">
        <v>4965.4495315805525</v>
      </c>
      <c r="AL19">
        <v>5853.9396241769318</v>
      </c>
      <c r="AM19">
        <v>6790.4848913596743</v>
      </c>
      <c r="AN19">
        <v>7783.6897611591849</v>
      </c>
      <c r="AP19" s="37" t="s">
        <v>196</v>
      </c>
      <c r="AQ19" s="31">
        <f t="shared" si="1"/>
        <v>-10.336448003814155</v>
      </c>
      <c r="AR19" s="31">
        <f t="shared" si="2"/>
        <v>760.00000000000523</v>
      </c>
      <c r="AS19" s="31">
        <f t="shared" si="2"/>
        <v>1500.0000000000018</v>
      </c>
      <c r="AT19" s="31">
        <f t="shared" si="2"/>
        <v>2650.0000000000191</v>
      </c>
      <c r="AU19" s="31">
        <f t="shared" si="2"/>
        <v>3879.9999999999955</v>
      </c>
      <c r="AV19" s="31">
        <f t="shared" si="2"/>
        <v>4849.9999999999927</v>
      </c>
      <c r="AW19" s="31">
        <f t="shared" si="2"/>
        <v>5865.9999999999991</v>
      </c>
      <c r="AX19" s="31">
        <f t="shared" si="2"/>
        <v>6568.9999999999845</v>
      </c>
      <c r="AY19" s="31">
        <f t="shared" si="2"/>
        <v>8081.0000000000073</v>
      </c>
      <c r="AZ19" s="78">
        <f t="shared" si="2"/>
        <v>9634.9999999999982</v>
      </c>
      <c r="BA19" s="15"/>
      <c r="BB19" s="72" t="s">
        <v>196</v>
      </c>
      <c r="BC19" s="71">
        <f t="shared" si="4"/>
        <v>-618.42445916960264</v>
      </c>
      <c r="BD19" s="71">
        <f t="shared" si="5"/>
        <v>-476.1498237190292</v>
      </c>
      <c r="BE19" s="71">
        <f t="shared" si="6"/>
        <v>-396.46857345579792</v>
      </c>
      <c r="BF19" s="71">
        <f t="shared" si="7"/>
        <v>51.465801707617175</v>
      </c>
      <c r="BG19" s="71">
        <f t="shared" si="8"/>
        <v>535.6657107065339</v>
      </c>
      <c r="BH19" s="71">
        <f t="shared" si="9"/>
        <v>721.82017517470103</v>
      </c>
      <c r="BI19" s="71">
        <f t="shared" si="10"/>
        <v>900.55046841944659</v>
      </c>
      <c r="BJ19" s="71">
        <f t="shared" si="11"/>
        <v>715.06037582305271</v>
      </c>
      <c r="BK19" s="71">
        <f t="shared" si="12"/>
        <v>1290.515108640333</v>
      </c>
      <c r="BL19" s="71">
        <f t="shared" si="13"/>
        <v>1851.3102388408133</v>
      </c>
    </row>
    <row r="20" spans="1:6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61</v>
      </c>
      <c r="D20" s="3" t="s">
        <v>86</v>
      </c>
      <c r="E20" s="3" t="s">
        <v>87</v>
      </c>
      <c r="F20" s="3" t="s">
        <v>88</v>
      </c>
      <c r="G20" s="3" t="s">
        <v>89</v>
      </c>
      <c r="H20" s="3" t="s">
        <v>90</v>
      </c>
      <c r="I20" s="3" t="s">
        <v>91</v>
      </c>
      <c r="J20" s="3" t="s">
        <v>92</v>
      </c>
      <c r="K20" s="3" t="s">
        <v>93</v>
      </c>
      <c r="L20" s="3" t="s">
        <v>94</v>
      </c>
      <c r="M20" s="3" t="s">
        <v>95</v>
      </c>
      <c r="N20" s="69" t="s">
        <v>95</v>
      </c>
      <c r="O20" s="69" t="s">
        <v>95</v>
      </c>
      <c r="P20" s="3" t="str">
        <f>'Model names'!C18</f>
        <v>TN</v>
      </c>
      <c r="Q20" s="8">
        <f>[47]Growth_Reports!C182</f>
        <v>91.075407183036702</v>
      </c>
      <c r="R20" s="8">
        <f>[47]Growth_Reports!D182</f>
        <v>232.96300833333572</v>
      </c>
      <c r="S20" s="8">
        <f>[47]Growth_Reports!E182</f>
        <v>673.67709166666543</v>
      </c>
      <c r="T20" s="8">
        <f>[47]Growth_Reports!F182</f>
        <v>1268.2550916666642</v>
      </c>
      <c r="U20" s="8">
        <f>[47]Growth_Reports!G182</f>
        <v>1645.5274249999991</v>
      </c>
      <c r="V20" s="8">
        <f>[47]Growth_Reports!H182</f>
        <v>3193.544425000001</v>
      </c>
      <c r="W20" s="8">
        <f>[47]Growth_Reports!I182</f>
        <v>3758.5888416666703</v>
      </c>
      <c r="X20" s="8">
        <f>[47]Growth_Reports!J182</f>
        <v>5574.7310083333141</v>
      </c>
      <c r="Y20" s="8">
        <f>[47]Growth_Reports!K182</f>
        <v>7523.9712583333339</v>
      </c>
      <c r="Z20" s="8">
        <f>[47]Growth_Reports!L182</f>
        <v>8584.8498416666662</v>
      </c>
      <c r="AA20" s="7">
        <f>[47]Growth_Reports!L182</f>
        <v>8584.8498416666662</v>
      </c>
      <c r="AB20" s="7">
        <f>[47]Growth_Reports!L182</f>
        <v>8584.8498416666662</v>
      </c>
      <c r="AC20" s="8"/>
      <c r="AD20" t="s">
        <v>211</v>
      </c>
      <c r="AE20">
        <v>0</v>
      </c>
      <c r="AF20">
        <v>0</v>
      </c>
      <c r="AG20" s="5">
        <v>0</v>
      </c>
      <c r="AH20" s="5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P20" s="37" t="s">
        <v>211</v>
      </c>
      <c r="AQ20" s="31">
        <f t="shared" si="1"/>
        <v>0</v>
      </c>
      <c r="AR20" s="31">
        <f t="shared" ref="AR20:AZ22" si="14">VLOOKUP($AD20,$P$4:$Z$22,AR$2,FALSE)</f>
        <v>0</v>
      </c>
      <c r="AS20" s="31">
        <f t="shared" si="14"/>
        <v>0</v>
      </c>
      <c r="AT20" s="31">
        <f t="shared" si="14"/>
        <v>0</v>
      </c>
      <c r="AU20" s="31">
        <f t="shared" si="14"/>
        <v>0</v>
      </c>
      <c r="AV20" s="31">
        <f t="shared" si="14"/>
        <v>-3.1263880373444408E-13</v>
      </c>
      <c r="AW20" s="31">
        <f t="shared" si="14"/>
        <v>0</v>
      </c>
      <c r="AX20" s="31">
        <f t="shared" si="14"/>
        <v>1.1937117960769683E-12</v>
      </c>
      <c r="AY20" s="31">
        <f t="shared" si="14"/>
        <v>-1.2505552149377763E-12</v>
      </c>
      <c r="AZ20" s="78">
        <f t="shared" si="14"/>
        <v>1.4779288903810084E-12</v>
      </c>
      <c r="BA20" s="15"/>
      <c r="BB20" s="72" t="s">
        <v>211</v>
      </c>
      <c r="BC20" s="71">
        <f t="shared" si="4"/>
        <v>0</v>
      </c>
      <c r="BD20" s="71">
        <f t="shared" si="5"/>
        <v>0</v>
      </c>
      <c r="BE20" s="71">
        <f t="shared" si="6"/>
        <v>0</v>
      </c>
      <c r="BF20" s="71">
        <f t="shared" si="7"/>
        <v>0</v>
      </c>
      <c r="BG20" s="71">
        <f t="shared" si="8"/>
        <v>0</v>
      </c>
      <c r="BH20" s="71">
        <f t="shared" si="9"/>
        <v>-3.1263880373444408E-13</v>
      </c>
      <c r="BI20" s="71">
        <f t="shared" si="10"/>
        <v>0</v>
      </c>
      <c r="BJ20" s="71">
        <f t="shared" si="11"/>
        <v>1.1937117960769683E-12</v>
      </c>
      <c r="BK20" s="71">
        <f t="shared" si="12"/>
        <v>-1.2505552149377763E-12</v>
      </c>
      <c r="BL20" s="71">
        <f t="shared" si="13"/>
        <v>1.4779288903810084E-12</v>
      </c>
    </row>
    <row r="21" spans="1:64" hidden="1" outlineLevel="1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">
        <v>61</v>
      </c>
      <c r="D21" s="3" t="s">
        <v>86</v>
      </c>
      <c r="E21" s="3" t="s">
        <v>87</v>
      </c>
      <c r="F21" s="3" t="s">
        <v>88</v>
      </c>
      <c r="G21" s="3" t="s">
        <v>89</v>
      </c>
      <c r="H21" s="3" t="s">
        <v>90</v>
      </c>
      <c r="I21" s="3" t="s">
        <v>91</v>
      </c>
      <c r="J21" s="3" t="s">
        <v>92</v>
      </c>
      <c r="K21" s="3" t="s">
        <v>93</v>
      </c>
      <c r="L21" s="3" t="s">
        <v>94</v>
      </c>
      <c r="M21" s="3" t="s">
        <v>95</v>
      </c>
      <c r="N21" s="69" t="s">
        <v>95</v>
      </c>
      <c r="O21" s="69" t="s">
        <v>95</v>
      </c>
      <c r="P21" s="3" t="str">
        <f>'Model names'!C19</f>
        <v>VA</v>
      </c>
      <c r="Q21" s="8">
        <f>[49]Growth_Reports!C182</f>
        <v>47.571267161396293</v>
      </c>
      <c r="R21" s="8">
        <f>[49]Growth_Reports!D182</f>
        <v>515.99999999999818</v>
      </c>
      <c r="S21" s="8">
        <f>[49]Growth_Reports!E182</f>
        <v>608.99999999999932</v>
      </c>
      <c r="T21" s="8">
        <f>[49]Growth_Reports!F182</f>
        <v>609.00000000000023</v>
      </c>
      <c r="U21" s="8">
        <f>[49]Growth_Reports!G182</f>
        <v>609.0000000000033</v>
      </c>
      <c r="V21" s="8">
        <f>[49]Growth_Reports!H182</f>
        <v>709.00000000000136</v>
      </c>
      <c r="W21" s="8">
        <f>[49]Growth_Reports!I182</f>
        <v>708.99999999999864</v>
      </c>
      <c r="X21" s="8">
        <f>[49]Growth_Reports!J182</f>
        <v>709.00000000000409</v>
      </c>
      <c r="Y21" s="8">
        <f>[49]Growth_Reports!K182</f>
        <v>809.00000000000114</v>
      </c>
      <c r="Z21" s="8">
        <f>[49]Growth_Reports!L182</f>
        <v>1009.0000000000045</v>
      </c>
      <c r="AA21" s="7">
        <f>[49]Growth_Reports!L182</f>
        <v>1009.0000000000045</v>
      </c>
      <c r="AB21" s="7">
        <f>[49]Growth_Reports!L182</f>
        <v>1009.0000000000045</v>
      </c>
      <c r="AC21" s="8"/>
      <c r="AD21" t="s">
        <v>198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s="37" t="s">
        <v>198</v>
      </c>
      <c r="AQ21" s="31">
        <f t="shared" si="1"/>
        <v>0</v>
      </c>
      <c r="AR21" s="31">
        <f t="shared" si="14"/>
        <v>0</v>
      </c>
      <c r="AS21" s="31">
        <f t="shared" si="14"/>
        <v>0</v>
      </c>
      <c r="AT21" s="31">
        <f t="shared" si="14"/>
        <v>0</v>
      </c>
      <c r="AU21" s="31">
        <f t="shared" si="14"/>
        <v>0</v>
      </c>
      <c r="AV21" s="31">
        <f t="shared" si="14"/>
        <v>0</v>
      </c>
      <c r="AW21" s="31">
        <f t="shared" si="14"/>
        <v>0</v>
      </c>
      <c r="AX21" s="31">
        <f t="shared" si="14"/>
        <v>0</v>
      </c>
      <c r="AY21" s="31">
        <f t="shared" si="14"/>
        <v>0</v>
      </c>
      <c r="AZ21" s="78">
        <f t="shared" si="14"/>
        <v>0</v>
      </c>
      <c r="BA21" s="15"/>
      <c r="BB21" s="72" t="s">
        <v>198</v>
      </c>
      <c r="BC21" s="71">
        <f t="shared" si="4"/>
        <v>0</v>
      </c>
      <c r="BD21" s="71">
        <f t="shared" si="5"/>
        <v>0</v>
      </c>
      <c r="BE21" s="71">
        <f t="shared" si="6"/>
        <v>0</v>
      </c>
      <c r="BF21" s="71">
        <f t="shared" si="7"/>
        <v>0</v>
      </c>
      <c r="BG21" s="71">
        <f t="shared" si="8"/>
        <v>0</v>
      </c>
      <c r="BH21" s="71">
        <f t="shared" si="9"/>
        <v>0</v>
      </c>
      <c r="BI21" s="71">
        <f t="shared" si="10"/>
        <v>0</v>
      </c>
      <c r="BJ21" s="71">
        <f t="shared" si="11"/>
        <v>0</v>
      </c>
      <c r="BK21" s="71">
        <f t="shared" si="12"/>
        <v>0</v>
      </c>
      <c r="BL21" s="71">
        <f t="shared" si="13"/>
        <v>0</v>
      </c>
    </row>
    <row r="22" spans="1:64" ht="15" hidden="1" outlineLevel="1" thickBot="1" x14ac:dyDescent="0.35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">
        <v>61</v>
      </c>
      <c r="D22" s="3" t="s">
        <v>86</v>
      </c>
      <c r="E22" s="3" t="s">
        <v>87</v>
      </c>
      <c r="F22" s="3" t="s">
        <v>88</v>
      </c>
      <c r="G22" s="3" t="s">
        <v>89</v>
      </c>
      <c r="H22" s="3" t="s">
        <v>90</v>
      </c>
      <c r="I22" s="3" t="s">
        <v>91</v>
      </c>
      <c r="J22" s="3" t="s">
        <v>92</v>
      </c>
      <c r="K22" s="3" t="s">
        <v>93</v>
      </c>
      <c r="L22" s="3" t="s">
        <v>94</v>
      </c>
      <c r="M22" s="3" t="s">
        <v>95</v>
      </c>
      <c r="N22" s="69" t="s">
        <v>95</v>
      </c>
      <c r="O22" s="69" t="s">
        <v>95</v>
      </c>
      <c r="P22" s="3" t="str">
        <f>'Model names'!C20</f>
        <v>WV</v>
      </c>
      <c r="Q22" s="8">
        <f>[51]Growth_Reports!C182</f>
        <v>380.7795376551212</v>
      </c>
      <c r="R22" s="8">
        <f>[51]Growth_Reports!D182</f>
        <v>943.00000000000159</v>
      </c>
      <c r="S22" s="8">
        <f>[51]Growth_Reports!E182</f>
        <v>1172.4500000000053</v>
      </c>
      <c r="T22" s="8">
        <f>[51]Growth_Reports!F182</f>
        <v>2190.0000000000127</v>
      </c>
      <c r="U22" s="8">
        <f>[51]Growth_Reports!G182</f>
        <v>2490.0000000000018</v>
      </c>
      <c r="V22" s="8">
        <f>[51]Growth_Reports!H182</f>
        <v>2880.1500000000128</v>
      </c>
      <c r="W22" s="8">
        <f>[51]Growth_Reports!I182</f>
        <v>3484.6725000000088</v>
      </c>
      <c r="X22" s="8">
        <f>[51]Growth_Reports!J182</f>
        <v>3877.2692249999973</v>
      </c>
      <c r="Y22" s="8">
        <f>[51]Growth_Reports!K182</f>
        <v>4270.0419172499905</v>
      </c>
      <c r="Z22" s="8">
        <f>[51]Growth_Reports!L182</f>
        <v>4662.9923364225015</v>
      </c>
      <c r="AA22" s="7">
        <f>[51]Growth_Reports!L182</f>
        <v>4662.9923364225015</v>
      </c>
      <c r="AB22" s="7">
        <f>[51]Growth_Reports!L182</f>
        <v>4662.9923364225015</v>
      </c>
      <c r="AC22" s="8"/>
      <c r="AD22" t="s">
        <v>197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s="40" t="s">
        <v>197</v>
      </c>
      <c r="AQ22" s="79">
        <f t="shared" si="1"/>
        <v>0</v>
      </c>
      <c r="AR22" s="79">
        <f t="shared" si="14"/>
        <v>0</v>
      </c>
      <c r="AS22" s="79">
        <f t="shared" si="14"/>
        <v>0</v>
      </c>
      <c r="AT22" s="79">
        <f t="shared" si="14"/>
        <v>0</v>
      </c>
      <c r="AU22" s="79">
        <f t="shared" si="14"/>
        <v>0</v>
      </c>
      <c r="AV22" s="79">
        <f t="shared" si="14"/>
        <v>0</v>
      </c>
      <c r="AW22" s="79">
        <f t="shared" si="14"/>
        <v>0</v>
      </c>
      <c r="AX22" s="79">
        <f t="shared" si="14"/>
        <v>0</v>
      </c>
      <c r="AY22" s="79">
        <f t="shared" si="14"/>
        <v>0</v>
      </c>
      <c r="AZ22" s="80">
        <f t="shared" si="14"/>
        <v>0</v>
      </c>
      <c r="BA22" s="15"/>
      <c r="BB22" s="72" t="s">
        <v>197</v>
      </c>
      <c r="BC22" s="71">
        <f t="shared" si="4"/>
        <v>0</v>
      </c>
      <c r="BD22" s="71">
        <f t="shared" si="5"/>
        <v>0</v>
      </c>
      <c r="BE22" s="71">
        <f t="shared" si="6"/>
        <v>0</v>
      </c>
      <c r="BF22" s="71">
        <f t="shared" si="7"/>
        <v>0</v>
      </c>
      <c r="BG22" s="71">
        <f t="shared" si="8"/>
        <v>0</v>
      </c>
      <c r="BH22" s="71">
        <f t="shared" si="9"/>
        <v>0</v>
      </c>
      <c r="BI22" s="71">
        <f t="shared" si="10"/>
        <v>0</v>
      </c>
      <c r="BJ22" s="71">
        <f t="shared" si="11"/>
        <v>0</v>
      </c>
      <c r="BK22" s="71">
        <f t="shared" si="12"/>
        <v>0</v>
      </c>
      <c r="BL22" s="71">
        <f t="shared" si="13"/>
        <v>0</v>
      </c>
    </row>
    <row r="23" spans="1:64" hidden="1" outlineLevel="1" x14ac:dyDescent="0.3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6"/>
      <c r="O23" s="6"/>
      <c r="P23" s="3"/>
      <c r="Q23" s="8"/>
      <c r="R23" s="8"/>
      <c r="S23" s="8"/>
      <c r="T23" s="8"/>
      <c r="U23" s="8"/>
      <c r="V23" s="8"/>
      <c r="W23" s="8"/>
      <c r="X23" s="8"/>
      <c r="Y23" s="8"/>
      <c r="Z23" s="8"/>
      <c r="AA23" s="69"/>
      <c r="AB23" s="7"/>
      <c r="AC23" s="8"/>
    </row>
    <row r="24" spans="1:64" hidden="1" outlineLevel="1" x14ac:dyDescent="0.3">
      <c r="A24" s="2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6"/>
      <c r="O24" s="6"/>
      <c r="P24" s="3"/>
      <c r="Q24" s="8"/>
      <c r="R24" s="8"/>
      <c r="S24" s="8"/>
      <c r="T24" s="8"/>
      <c r="U24" s="8"/>
      <c r="V24" s="8"/>
      <c r="W24" s="8"/>
      <c r="X24" s="8"/>
      <c r="Y24" s="8"/>
      <c r="Z24" s="8"/>
      <c r="AB24" s="8"/>
      <c r="AC24" s="8"/>
    </row>
    <row r="25" spans="1:64" hidden="1" outlineLevel="1" x14ac:dyDescent="0.3">
      <c r="A25" s="2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6"/>
      <c r="O25" s="6"/>
      <c r="P25" s="3"/>
      <c r="Q25" s="8"/>
      <c r="R25" s="8"/>
      <c r="S25" s="8"/>
      <c r="T25" s="8"/>
      <c r="U25" s="8"/>
      <c r="V25" s="8"/>
      <c r="W25" s="8"/>
      <c r="X25" s="8"/>
      <c r="Y25" s="8"/>
      <c r="Z25" s="8"/>
      <c r="AB25" s="8"/>
      <c r="AC25" s="8"/>
    </row>
    <row r="26" spans="1:64" hidden="1" outlineLevel="1" x14ac:dyDescent="0.3">
      <c r="A26" s="2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6"/>
      <c r="O26" s="6"/>
      <c r="P26" s="3"/>
      <c r="Q26" s="8"/>
      <c r="R26" s="8"/>
      <c r="S26" s="8"/>
      <c r="T26" s="8"/>
      <c r="U26" s="8"/>
      <c r="V26" s="8"/>
      <c r="W26" s="8"/>
      <c r="X26" s="8"/>
      <c r="Y26" s="8"/>
      <c r="Z26" s="8"/>
      <c r="AB26" s="8"/>
      <c r="AC26" s="8"/>
    </row>
    <row r="27" spans="1:64" hidden="1" outlineLevel="1" x14ac:dyDescent="0.3">
      <c r="A27" s="2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6"/>
      <c r="O27" s="6"/>
      <c r="P27" s="3"/>
      <c r="Q27" s="8"/>
      <c r="R27" s="8"/>
      <c r="S27" s="8"/>
      <c r="T27" s="8"/>
      <c r="U27" s="8"/>
      <c r="V27" s="8"/>
      <c r="W27" s="8"/>
      <c r="X27" s="8"/>
      <c r="Y27" s="8"/>
      <c r="Z27" s="8"/>
      <c r="AB27" s="8"/>
      <c r="AC27" s="8"/>
    </row>
    <row r="28" spans="1:64" hidden="1" outlineLevel="1" x14ac:dyDescent="0.3">
      <c r="A28" s="2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6"/>
      <c r="O28" s="6"/>
      <c r="P28" s="3"/>
      <c r="Q28" s="8"/>
      <c r="R28" s="8"/>
      <c r="S28" s="8"/>
      <c r="T28" s="8"/>
      <c r="U28" s="8"/>
      <c r="V28" s="8"/>
      <c r="W28" s="8"/>
      <c r="X28" s="8"/>
      <c r="Y28" s="8"/>
      <c r="Z28" s="8"/>
      <c r="AB28" s="8"/>
      <c r="AC28" s="8"/>
    </row>
    <row r="29" spans="1:64" hidden="1" outlineLevel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8"/>
      <c r="R29" s="8"/>
      <c r="S29" s="8"/>
      <c r="T29" s="8"/>
      <c r="U29" s="8"/>
      <c r="V29" s="8"/>
      <c r="W29" s="8"/>
      <c r="X29" s="8"/>
      <c r="Y29" s="8"/>
      <c r="Z29" s="8"/>
      <c r="AB29" s="8"/>
      <c r="AC29" s="8"/>
    </row>
    <row r="30" spans="1:64" hidden="1" outlineLevel="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8"/>
      <c r="R30" s="8"/>
      <c r="S30" s="8"/>
      <c r="T30" s="8"/>
      <c r="U30" s="8"/>
      <c r="V30" s="8"/>
      <c r="W30" s="8"/>
      <c r="X30" s="8"/>
      <c r="Y30" s="8"/>
      <c r="Z30" s="8"/>
      <c r="AB30" s="8"/>
      <c r="AC30" s="8"/>
    </row>
    <row r="31" spans="1:64" hidden="1" outlineLevel="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8"/>
      <c r="R31" s="8"/>
      <c r="S31" s="8"/>
      <c r="T31" s="8"/>
      <c r="U31" s="8"/>
      <c r="V31" s="8"/>
      <c r="W31" s="8"/>
      <c r="X31" s="8"/>
      <c r="Y31" s="8"/>
      <c r="Z31" s="8"/>
      <c r="AB31" s="8"/>
      <c r="AC31" s="8"/>
    </row>
    <row r="32" spans="1:64" hidden="1" outlineLevel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8"/>
      <c r="R32" s="8"/>
      <c r="S32" s="8"/>
      <c r="T32" s="8"/>
      <c r="U32" s="8"/>
      <c r="V32" s="8"/>
      <c r="W32" s="8"/>
      <c r="X32" s="8"/>
      <c r="Y32" s="8"/>
      <c r="Z32" s="8"/>
      <c r="AB32" s="8"/>
      <c r="AC32" s="8"/>
    </row>
    <row r="33" spans="1:29" hidden="1" outlineLevel="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8"/>
      <c r="R33" s="8"/>
      <c r="S33" s="8"/>
      <c r="T33" s="8"/>
      <c r="U33" s="8"/>
      <c r="V33" s="8"/>
      <c r="W33" s="8"/>
      <c r="X33" s="8"/>
      <c r="Y33" s="8"/>
      <c r="Z33" s="8"/>
      <c r="AB33" s="8"/>
      <c r="AC33" s="8"/>
    </row>
    <row r="34" spans="1:29" collapsed="1" x14ac:dyDescent="0.3"/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23" priority="3" operator="equal">
      <formula>"On"</formula>
    </cfRule>
  </conditionalFormatting>
  <conditionalFormatting sqref="V21:Z23">
    <cfRule type="cellIs" dxfId="22" priority="2" operator="equal">
      <formula>"On"</formula>
    </cfRule>
  </conditionalFormatting>
  <conditionalFormatting sqref="R21:R23">
    <cfRule type="cellIs" dxfId="21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21" r:id="rId3" name="CommandButton21">
          <controlPr autoLine="0" r:id="rId4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81921" r:id="rId3" name="CommandButton2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70C0"/>
  </sheetPr>
  <dimension ref="A1:AH40"/>
  <sheetViews>
    <sheetView topLeftCell="C1" zoomScale="70" zoomScaleNormal="70" workbookViewId="0">
      <selection activeCell="Q15" sqref="Q15:AA15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19" width="11.109375" customWidth="1"/>
    <col min="20" max="21" width="12.21875" bestFit="1" customWidth="1"/>
    <col min="22" max="27" width="12.21875" bestFit="1" customWidth="1" outlineLevel="1"/>
    <col min="28" max="28" width="11.10937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12</v>
      </c>
      <c r="P2" s="1">
        <v>12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names'!I1</f>
        <v>2017</v>
      </c>
      <c r="R3" s="2">
        <f>'Model names'!J1</f>
        <v>2018</v>
      </c>
      <c r="S3" s="2">
        <f>'Model names'!K1</f>
        <v>2019</v>
      </c>
      <c r="T3" s="2">
        <f>'Model names'!L1</f>
        <v>2020</v>
      </c>
      <c r="U3" s="2">
        <f>'Model names'!M1</f>
        <v>2021</v>
      </c>
      <c r="V3" s="2">
        <f>'Model names'!N1</f>
        <v>2022</v>
      </c>
      <c r="W3" s="2">
        <f>'Model names'!O1</f>
        <v>2023</v>
      </c>
      <c r="X3" s="2">
        <f>'Model names'!P1</f>
        <v>2024</v>
      </c>
      <c r="Y3" s="2">
        <f>'Model names'!Q1</f>
        <v>2025</v>
      </c>
      <c r="Z3" s="2">
        <f>'Model names'!R1</f>
        <v>2026</v>
      </c>
      <c r="AA3" s="2">
        <f>'Model names'!S1</f>
        <v>2027</v>
      </c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16</v>
      </c>
      <c r="D4" s="3" t="s">
        <v>136</v>
      </c>
      <c r="E4" s="3" t="s">
        <v>137</v>
      </c>
      <c r="F4" s="3" t="s">
        <v>138</v>
      </c>
      <c r="G4" s="3" t="s">
        <v>139</v>
      </c>
      <c r="H4" s="3" t="s">
        <v>140</v>
      </c>
      <c r="I4" s="3" t="s">
        <v>141</v>
      </c>
      <c r="J4" s="3" t="s">
        <v>142</v>
      </c>
      <c r="K4" s="3" t="s">
        <v>143</v>
      </c>
      <c r="L4" s="3" t="s">
        <v>144</v>
      </c>
      <c r="M4" s="3" t="s">
        <v>145</v>
      </c>
      <c r="N4" s="3" t="s">
        <v>146</v>
      </c>
      <c r="O4" s="6" t="s">
        <v>146</v>
      </c>
      <c r="P4" s="3" t="str">
        <f>'Model names'!C2</f>
        <v>BFW</v>
      </c>
      <c r="Q4" s="8">
        <f>[15]Total_Reports!B309</f>
        <v>0</v>
      </c>
      <c r="R4" s="15">
        <f>[15]Total_Reports!C309</f>
        <v>0</v>
      </c>
      <c r="S4" s="15">
        <f ca="1">[15]Total_Reports!D309</f>
        <v>0</v>
      </c>
      <c r="T4" s="15">
        <f ca="1">[15]Total_Reports!E309</f>
        <v>0</v>
      </c>
      <c r="U4" s="15">
        <f ca="1">[15]Total_Reports!F309</f>
        <v>0</v>
      </c>
      <c r="V4" s="15">
        <f ca="1">[15]Total_Reports!G309</f>
        <v>0</v>
      </c>
      <c r="W4" s="15">
        <f ca="1">[15]Total_Reports!H309</f>
        <v>0</v>
      </c>
      <c r="X4" s="15">
        <f ca="1">[15]Total_Reports!I309</f>
        <v>0</v>
      </c>
      <c r="Y4" s="15">
        <f ca="1">[15]Total_Reports!J309</f>
        <v>0</v>
      </c>
      <c r="Z4" s="15">
        <f ca="1">[15]Total_Reports!K309</f>
        <v>0</v>
      </c>
      <c r="AA4" s="15">
        <f ca="1">[15]Total_Reports!L309</f>
        <v>0</v>
      </c>
      <c r="AB4" s="7">
        <f ca="1">[15]Total_Reports!L309</f>
        <v>0</v>
      </c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16</v>
      </c>
      <c r="D5" s="3" t="s">
        <v>136</v>
      </c>
      <c r="E5" s="3" t="s">
        <v>137</v>
      </c>
      <c r="F5" s="3" t="s">
        <v>138</v>
      </c>
      <c r="G5" s="3" t="s">
        <v>139</v>
      </c>
      <c r="H5" s="3" t="s">
        <v>140</v>
      </c>
      <c r="I5" s="3" t="s">
        <v>141</v>
      </c>
      <c r="J5" s="3" t="s">
        <v>142</v>
      </c>
      <c r="K5" s="3" t="s">
        <v>143</v>
      </c>
      <c r="L5" s="3" t="s">
        <v>144</v>
      </c>
      <c r="M5" s="3" t="s">
        <v>145</v>
      </c>
      <c r="N5" s="3" t="s">
        <v>146</v>
      </c>
      <c r="O5" s="6" t="s">
        <v>146</v>
      </c>
      <c r="P5" s="18" t="str">
        <f>'Model names'!C3</f>
        <v>CA</v>
      </c>
      <c r="Q5" s="8">
        <f>[17]Total_Reports!B309</f>
        <v>298813.67600158072</v>
      </c>
      <c r="R5" s="15">
        <f>[17]Total_Reports!C309</f>
        <v>386848.22335140855</v>
      </c>
      <c r="S5" s="15">
        <f>[17]Total_Reports!D309</f>
        <v>398597.25325140828</v>
      </c>
      <c r="T5" s="15">
        <f>[17]Total_Reports!E309</f>
        <v>448689.88581083226</v>
      </c>
      <c r="U5" s="15">
        <f>[17]Total_Reports!F309</f>
        <v>542551.51365400606</v>
      </c>
      <c r="V5" s="15">
        <f>[17]Total_Reports!G309</f>
        <v>546653.70163283544</v>
      </c>
      <c r="W5" s="15">
        <f>[17]Total_Reports!H309</f>
        <v>554740.88043666736</v>
      </c>
      <c r="X5" s="15">
        <f>[17]Total_Reports!I309</f>
        <v>564827.59122049913</v>
      </c>
      <c r="Y5" s="15">
        <f>[17]Total_Reports!J309</f>
        <v>574913.86580433045</v>
      </c>
      <c r="Z5" s="15">
        <f>[17]Total_Reports!K309</f>
        <v>582999.73385816161</v>
      </c>
      <c r="AA5" s="15">
        <f>[17]Total_Reports!L309</f>
        <v>599361.46878880437</v>
      </c>
      <c r="AB5" s="7">
        <f>[17]Total_Reports!L309</f>
        <v>599361.46878880437</v>
      </c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16</v>
      </c>
      <c r="D6" s="3" t="s">
        <v>136</v>
      </c>
      <c r="E6" s="3" t="s">
        <v>137</v>
      </c>
      <c r="F6" s="3" t="s">
        <v>138</v>
      </c>
      <c r="G6" s="3" t="s">
        <v>139</v>
      </c>
      <c r="H6" s="3" t="s">
        <v>140</v>
      </c>
      <c r="I6" s="3" t="s">
        <v>141</v>
      </c>
      <c r="J6" s="3" t="s">
        <v>142</v>
      </c>
      <c r="K6" s="3" t="s">
        <v>143</v>
      </c>
      <c r="L6" s="3" t="s">
        <v>144</v>
      </c>
      <c r="M6" s="3" t="s">
        <v>145</v>
      </c>
      <c r="N6" s="3" t="s">
        <v>146</v>
      </c>
      <c r="O6" s="6" t="s">
        <v>146</v>
      </c>
      <c r="P6" s="3" t="str">
        <f>'Model names'!C4</f>
        <v>ETS</v>
      </c>
      <c r="Q6" s="8">
        <f>[19]Total_Reports!B309</f>
        <v>0</v>
      </c>
      <c r="R6" s="15">
        <f>[19]Total_Reports!C309</f>
        <v>0</v>
      </c>
      <c r="S6" s="15">
        <f>[19]Total_Reports!D309</f>
        <v>0</v>
      </c>
      <c r="T6" s="15">
        <f>[19]Total_Reports!E309</f>
        <v>0</v>
      </c>
      <c r="U6" s="15">
        <f>[19]Total_Reports!F309</f>
        <v>0</v>
      </c>
      <c r="V6" s="15">
        <f>[19]Total_Reports!G309</f>
        <v>0</v>
      </c>
      <c r="W6" s="15">
        <f>[19]Total_Reports!H309</f>
        <v>0</v>
      </c>
      <c r="X6" s="15">
        <f>[19]Total_Reports!I309</f>
        <v>0</v>
      </c>
      <c r="Y6" s="15">
        <f>[19]Total_Reports!J309</f>
        <v>0</v>
      </c>
      <c r="Z6" s="15">
        <f>[19]Total_Reports!K309</f>
        <v>0</v>
      </c>
      <c r="AA6" s="15">
        <f>[19]Total_Reports!L309</f>
        <v>0</v>
      </c>
      <c r="AB6" s="7">
        <f>[19]Total_Reports!L309</f>
        <v>0</v>
      </c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16</v>
      </c>
      <c r="D7" s="3" t="s">
        <v>136</v>
      </c>
      <c r="E7" s="3" t="s">
        <v>137</v>
      </c>
      <c r="F7" s="3" t="s">
        <v>138</v>
      </c>
      <c r="G7" s="3" t="s">
        <v>139</v>
      </c>
      <c r="H7" s="3" t="s">
        <v>140</v>
      </c>
      <c r="I7" s="3" t="s">
        <v>141</v>
      </c>
      <c r="J7" s="3" t="s">
        <v>142</v>
      </c>
      <c r="K7" s="3" t="s">
        <v>143</v>
      </c>
      <c r="L7" s="3" t="s">
        <v>144</v>
      </c>
      <c r="M7" s="3" t="s">
        <v>145</v>
      </c>
      <c r="N7" s="3" t="s">
        <v>146</v>
      </c>
      <c r="O7" s="6" t="s">
        <v>146</v>
      </c>
      <c r="P7" s="18" t="str">
        <f>'Model names'!C5</f>
        <v>HI</v>
      </c>
      <c r="Q7" s="8">
        <f>[21]Total_Reports!B309</f>
        <v>14270</v>
      </c>
      <c r="R7" s="15">
        <f>[21]Total_Reports!C309</f>
        <v>16770</v>
      </c>
      <c r="S7" s="15">
        <f>[21]Total_Reports!D309</f>
        <v>18770</v>
      </c>
      <c r="T7" s="15">
        <f>[21]Total_Reports!E309</f>
        <v>18770</v>
      </c>
      <c r="U7" s="15">
        <f>[21]Total_Reports!F309</f>
        <v>18770</v>
      </c>
      <c r="V7" s="15">
        <f>[21]Total_Reports!G309</f>
        <v>19036.499999999985</v>
      </c>
      <c r="W7" s="15">
        <f>[21]Total_Reports!H309</f>
        <v>15766.499999999985</v>
      </c>
      <c r="X7" s="15">
        <f>[21]Total_Reports!I309</f>
        <v>15766.499999999985</v>
      </c>
      <c r="Y7" s="15">
        <f>[21]Total_Reports!J309</f>
        <v>15766.499999999985</v>
      </c>
      <c r="Z7" s="15">
        <f>[21]Total_Reports!K309</f>
        <v>15766.499999999985</v>
      </c>
      <c r="AA7" s="15">
        <f>[21]Total_Reports!L309</f>
        <v>16043.499999999993</v>
      </c>
      <c r="AB7" s="7">
        <f>[21]Total_Reports!L309</f>
        <v>16043.499999999993</v>
      </c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16</v>
      </c>
      <c r="D8" s="3" t="s">
        <v>136</v>
      </c>
      <c r="E8" s="3" t="s">
        <v>137</v>
      </c>
      <c r="F8" s="3" t="s">
        <v>138</v>
      </c>
      <c r="G8" s="3" t="s">
        <v>139</v>
      </c>
      <c r="H8" s="3" t="s">
        <v>140</v>
      </c>
      <c r="I8" s="3" t="s">
        <v>141</v>
      </c>
      <c r="J8" s="3" t="s">
        <v>142</v>
      </c>
      <c r="K8" s="3" t="s">
        <v>143</v>
      </c>
      <c r="L8" s="3" t="s">
        <v>144</v>
      </c>
      <c r="M8" s="3" t="s">
        <v>145</v>
      </c>
      <c r="N8" s="3" t="s">
        <v>146</v>
      </c>
      <c r="O8" s="6" t="s">
        <v>146</v>
      </c>
      <c r="P8" s="18" t="str">
        <f>'Model names'!C6</f>
        <v>IA</v>
      </c>
      <c r="Q8" s="8">
        <f>[23]Total_Reports!B309</f>
        <v>50070.813078799998</v>
      </c>
      <c r="R8" s="15">
        <f>[23]Total_Reports!C309</f>
        <v>49927.265806185198</v>
      </c>
      <c r="S8" s="15">
        <f>[23]Total_Reports!D309</f>
        <v>57780.265806185198</v>
      </c>
      <c r="T8" s="15">
        <f>[23]Total_Reports!E309</f>
        <v>64629.265806185169</v>
      </c>
      <c r="U8" s="15">
        <f>[23]Total_Reports!F309</f>
        <v>68459.26580618514</v>
      </c>
      <c r="V8" s="15">
        <f>[23]Total_Reports!G309</f>
        <v>76435.265806185111</v>
      </c>
      <c r="W8" s="15">
        <f>[23]Total_Reports!H309</f>
        <v>82328.625806185126</v>
      </c>
      <c r="X8" s="15">
        <f>[23]Total_Reports!I309</f>
        <v>86221.985806185141</v>
      </c>
      <c r="Y8" s="15">
        <f>[23]Total_Reports!J309</f>
        <v>93114.345806185069</v>
      </c>
      <c r="Z8" s="15">
        <f>[23]Total_Reports!K309</f>
        <v>98305.705806184997</v>
      </c>
      <c r="AA8" s="15">
        <f>[23]Total_Reports!L309</f>
        <v>103224.06580618492</v>
      </c>
      <c r="AB8" s="7">
        <f>[23]Total_Reports!L309</f>
        <v>103224.06580618492</v>
      </c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16</v>
      </c>
      <c r="D9" s="3" t="s">
        <v>136</v>
      </c>
      <c r="E9" s="3" t="s">
        <v>137</v>
      </c>
      <c r="F9" s="3" t="s">
        <v>138</v>
      </c>
      <c r="G9" s="3" t="s">
        <v>139</v>
      </c>
      <c r="H9" s="3" t="s">
        <v>140</v>
      </c>
      <c r="I9" s="3" t="s">
        <v>141</v>
      </c>
      <c r="J9" s="3" t="s">
        <v>142</v>
      </c>
      <c r="K9" s="3" t="s">
        <v>143</v>
      </c>
      <c r="L9" s="3" t="s">
        <v>144</v>
      </c>
      <c r="M9" s="3" t="s">
        <v>145</v>
      </c>
      <c r="N9" s="3" t="s">
        <v>146</v>
      </c>
      <c r="O9" s="6" t="s">
        <v>146</v>
      </c>
      <c r="P9" s="3" t="str">
        <f>'Model names'!C7</f>
        <v>IL</v>
      </c>
      <c r="Q9" s="8">
        <f>[25]Total_Reports!B309</f>
        <v>395146.26164082345</v>
      </c>
      <c r="R9" s="15">
        <f>[25]Total_Reports!C309</f>
        <v>373175.53364471701</v>
      </c>
      <c r="S9" s="15">
        <f>[25]Total_Reports!D309</f>
        <v>421736.95882543206</v>
      </c>
      <c r="T9" s="15">
        <f>[25]Total_Reports!E309</f>
        <v>466802.71993198042</v>
      </c>
      <c r="U9" s="15">
        <f>[25]Total_Reports!F309</f>
        <v>481396.13753149105</v>
      </c>
      <c r="V9" s="15">
        <f>[25]Total_Reports!G309</f>
        <v>536964.88861629728</v>
      </c>
      <c r="W9" s="15">
        <f>[25]Total_Reports!H309</f>
        <v>576700.05231650209</v>
      </c>
      <c r="X9" s="15">
        <f>[25]Total_Reports!I309</f>
        <v>607854.22930124251</v>
      </c>
      <c r="Y9" s="15">
        <f>[25]Total_Reports!J309</f>
        <v>669158.79918935371</v>
      </c>
      <c r="Z9" s="15">
        <f>[25]Total_Reports!K309</f>
        <v>714264.485559767</v>
      </c>
      <c r="AA9" s="15">
        <f>[25]Total_Reports!L309</f>
        <v>759721.55125754082</v>
      </c>
      <c r="AB9" s="7">
        <f>[25]Total_Reports!L309</f>
        <v>759721.55125754082</v>
      </c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16</v>
      </c>
      <c r="D10" s="3" t="s">
        <v>136</v>
      </c>
      <c r="E10" s="3" t="s">
        <v>137</v>
      </c>
      <c r="F10" s="3" t="s">
        <v>138</v>
      </c>
      <c r="G10" s="3" t="s">
        <v>139</v>
      </c>
      <c r="H10" s="3" t="s">
        <v>140</v>
      </c>
      <c r="I10" s="3" t="s">
        <v>141</v>
      </c>
      <c r="J10" s="3" t="s">
        <v>142</v>
      </c>
      <c r="K10" s="3" t="s">
        <v>143</v>
      </c>
      <c r="L10" s="3" t="s">
        <v>144</v>
      </c>
      <c r="M10" s="3" t="s">
        <v>145</v>
      </c>
      <c r="N10" s="3" t="s">
        <v>146</v>
      </c>
      <c r="O10" s="6" t="s">
        <v>146</v>
      </c>
      <c r="P10" s="3" t="str">
        <f>'Model names'!C8</f>
        <v>IN</v>
      </c>
      <c r="Q10" s="8">
        <f>[27]Total_Reports!B309</f>
        <v>323667.26967428735</v>
      </c>
      <c r="R10" s="15">
        <f>[27]Total_Reports!C309</f>
        <v>392815.72826609452</v>
      </c>
      <c r="S10" s="15">
        <f>[27]Total_Reports!D309</f>
        <v>421922.07926609454</v>
      </c>
      <c r="T10" s="15">
        <f>[27]Total_Reports!E309</f>
        <v>487007.73726609454</v>
      </c>
      <c r="U10" s="15">
        <f>[27]Total_Reports!F309</f>
        <v>520073.29426609451</v>
      </c>
      <c r="V10" s="15">
        <f>[27]Total_Reports!G309</f>
        <v>558214.2462660945</v>
      </c>
      <c r="W10" s="15">
        <f>[27]Total_Reports!H309</f>
        <v>602336.18326609454</v>
      </c>
      <c r="X10" s="15">
        <f>[27]Total_Reports!I309</f>
        <v>698939.49826609448</v>
      </c>
      <c r="Y10" s="15">
        <f>[27]Total_Reports!J309</f>
        <v>718982.49726609443</v>
      </c>
      <c r="Z10" s="15">
        <f>[27]Total_Reports!K309</f>
        <v>750322.86026609445</v>
      </c>
      <c r="AA10" s="15">
        <f>[27]Total_Reports!L309</f>
        <v>785161.39526609448</v>
      </c>
      <c r="AB10" s="7">
        <f>[27]Total_Reports!L309</f>
        <v>785161.39526609448</v>
      </c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16</v>
      </c>
      <c r="D11" s="3" t="s">
        <v>136</v>
      </c>
      <c r="E11" s="3" t="s">
        <v>137</v>
      </c>
      <c r="F11" s="3" t="s">
        <v>138</v>
      </c>
      <c r="G11" s="3" t="s">
        <v>139</v>
      </c>
      <c r="H11" s="3" t="s">
        <v>140</v>
      </c>
      <c r="I11" s="3" t="s">
        <v>141</v>
      </c>
      <c r="J11" s="3" t="s">
        <v>142</v>
      </c>
      <c r="K11" s="3" t="s">
        <v>143</v>
      </c>
      <c r="L11" s="3" t="s">
        <v>144</v>
      </c>
      <c r="M11" s="3" t="s">
        <v>145</v>
      </c>
      <c r="N11" s="3" t="s">
        <v>146</v>
      </c>
      <c r="O11" s="6" t="s">
        <v>146</v>
      </c>
      <c r="P11" s="3" t="str">
        <f>'Model names'!C9</f>
        <v>KY</v>
      </c>
      <c r="Q11" s="8">
        <f>[29]Total_Reports!B309</f>
        <v>207999</v>
      </c>
      <c r="R11" s="15">
        <f>[29]Total_Reports!C309</f>
        <v>208002.05153812945</v>
      </c>
      <c r="S11" s="15">
        <f>[29]Total_Reports!D309</f>
        <v>209002.05153812957</v>
      </c>
      <c r="T11" s="15">
        <f>[29]Total_Reports!E309</f>
        <v>213502.05153812957</v>
      </c>
      <c r="U11" s="15">
        <f>[29]Total_Reports!F309</f>
        <v>214502.05153812969</v>
      </c>
      <c r="V11" s="15">
        <f>[29]Total_Reports!G309</f>
        <v>216252.0515381298</v>
      </c>
      <c r="W11" s="15">
        <f>[29]Total_Reports!H309</f>
        <v>221252.05153812969</v>
      </c>
      <c r="X11" s="15">
        <f>[29]Total_Reports!I309</f>
        <v>226252.05153812957</v>
      </c>
      <c r="Y11" s="15">
        <f>[29]Total_Reports!J309</f>
        <v>247252.05153812945</v>
      </c>
      <c r="Z11" s="15">
        <f>[29]Total_Reports!K309</f>
        <v>250752.05153812957</v>
      </c>
      <c r="AA11" s="15">
        <f>[29]Total_Reports!L309</f>
        <v>252752.05153812969</v>
      </c>
      <c r="AB11" s="7">
        <f>[29]Total_Reports!L309</f>
        <v>252752.05153812969</v>
      </c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16</v>
      </c>
      <c r="D12" s="3" t="s">
        <v>136</v>
      </c>
      <c r="E12" s="3" t="s">
        <v>137</v>
      </c>
      <c r="F12" s="3" t="s">
        <v>138</v>
      </c>
      <c r="G12" s="3" t="s">
        <v>139</v>
      </c>
      <c r="H12" s="3" t="s">
        <v>140</v>
      </c>
      <c r="I12" s="3" t="s">
        <v>141</v>
      </c>
      <c r="J12" s="3" t="s">
        <v>142</v>
      </c>
      <c r="K12" s="3" t="s">
        <v>143</v>
      </c>
      <c r="L12" s="3" t="s">
        <v>144</v>
      </c>
      <c r="M12" s="3" t="s">
        <v>145</v>
      </c>
      <c r="N12" s="3" t="s">
        <v>146</v>
      </c>
      <c r="O12" s="6" t="s">
        <v>146</v>
      </c>
      <c r="P12" s="3" t="str">
        <f>'Model names'!C10</f>
        <v>Liberty</v>
      </c>
      <c r="Q12" s="8">
        <f>[31]Total_Reports!B309</f>
        <v>0</v>
      </c>
      <c r="R12" s="15">
        <f>[31]Total_Reports!C309</f>
        <v>0</v>
      </c>
      <c r="S12" s="15">
        <f>[31]Total_Reports!D309</f>
        <v>0</v>
      </c>
      <c r="T12" s="15">
        <f>[31]Total_Reports!E309</f>
        <v>0</v>
      </c>
      <c r="U12" s="15">
        <f>[31]Total_Reports!F309</f>
        <v>0</v>
      </c>
      <c r="V12" s="15">
        <f>[31]Total_Reports!G309</f>
        <v>0</v>
      </c>
      <c r="W12" s="15">
        <f>[31]Total_Reports!H309</f>
        <v>0</v>
      </c>
      <c r="X12" s="15">
        <f>[31]Total_Reports!I309</f>
        <v>0</v>
      </c>
      <c r="Y12" s="15">
        <f>[31]Total_Reports!J309</f>
        <v>0</v>
      </c>
      <c r="Z12" s="15">
        <f>[31]Total_Reports!K309</f>
        <v>0</v>
      </c>
      <c r="AA12" s="15">
        <f>[31]Total_Reports!L309</f>
        <v>0</v>
      </c>
      <c r="AB12" s="7">
        <f>[31]Total_Reports!L309</f>
        <v>0</v>
      </c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16</v>
      </c>
      <c r="D13" s="3" t="s">
        <v>136</v>
      </c>
      <c r="E13" s="3" t="s">
        <v>137</v>
      </c>
      <c r="F13" s="3" t="s">
        <v>138</v>
      </c>
      <c r="G13" s="3" t="s">
        <v>139</v>
      </c>
      <c r="H13" s="3" t="s">
        <v>140</v>
      </c>
      <c r="I13" s="3" t="s">
        <v>141</v>
      </c>
      <c r="J13" s="3" t="s">
        <v>142</v>
      </c>
      <c r="K13" s="3" t="s">
        <v>143</v>
      </c>
      <c r="L13" s="3" t="s">
        <v>144</v>
      </c>
      <c r="M13" s="3" t="s">
        <v>145</v>
      </c>
      <c r="N13" s="3" t="s">
        <v>146</v>
      </c>
      <c r="O13" s="6" t="s">
        <v>146</v>
      </c>
      <c r="P13" s="3" t="str">
        <f>'Model names'!C11</f>
        <v>LW</v>
      </c>
      <c r="Q13" s="8">
        <f>[33]Total_Reports!B309</f>
        <v>0</v>
      </c>
      <c r="R13" s="15">
        <f>[33]Total_Reports!C309</f>
        <v>0</v>
      </c>
      <c r="S13" s="15">
        <f>[33]Total_Reports!D309</f>
        <v>0</v>
      </c>
      <c r="T13" s="15">
        <f>[33]Total_Reports!E309</f>
        <v>0</v>
      </c>
      <c r="U13" s="15">
        <f>[33]Total_Reports!F309</f>
        <v>0</v>
      </c>
      <c r="V13" s="15">
        <f>[33]Total_Reports!G309</f>
        <v>0</v>
      </c>
      <c r="W13" s="15">
        <f>[33]Total_Reports!H309</f>
        <v>3058.6039755351703</v>
      </c>
      <c r="X13" s="15">
        <f>[33]Total_Reports!I309</f>
        <v>6117.7079510703406</v>
      </c>
      <c r="Y13" s="15">
        <f>[33]Total_Reports!J309</f>
        <v>9177.3119266055146</v>
      </c>
      <c r="Z13" s="15">
        <f>[33]Total_Reports!K309</f>
        <v>12237.415902140681</v>
      </c>
      <c r="AA13" s="15">
        <f>[33]Total_Reports!L309</f>
        <v>15298.019877675863</v>
      </c>
      <c r="AB13" s="7">
        <f>[33]Total_Reports!L309</f>
        <v>15298.019877675863</v>
      </c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tr">
        <f t="shared" ref="C14:C30" si="0">IF(B14=0,"",C13)</f>
        <v>Total_Reports</v>
      </c>
      <c r="D14" s="3" t="str">
        <f t="shared" ref="D14:O29" si="1">IF(C14=0,"",D13)</f>
        <v>B309</v>
      </c>
      <c r="E14" s="3" t="str">
        <f t="shared" si="1"/>
        <v>C309</v>
      </c>
      <c r="F14" s="3" t="str">
        <f t="shared" si="1"/>
        <v>D309</v>
      </c>
      <c r="G14" s="3" t="str">
        <f t="shared" si="1"/>
        <v>E309</v>
      </c>
      <c r="H14" s="3" t="str">
        <f t="shared" si="1"/>
        <v>F309</v>
      </c>
      <c r="I14" s="3" t="str">
        <f t="shared" si="1"/>
        <v>G309</v>
      </c>
      <c r="J14" s="3" t="str">
        <f t="shared" si="1"/>
        <v>H309</v>
      </c>
      <c r="K14" s="3" t="str">
        <f t="shared" si="1"/>
        <v>I309</v>
      </c>
      <c r="L14" s="3" t="str">
        <f t="shared" si="1"/>
        <v>J309</v>
      </c>
      <c r="M14" s="3" t="str">
        <f t="shared" si="1"/>
        <v>K309</v>
      </c>
      <c r="N14" s="3" t="str">
        <f t="shared" si="1"/>
        <v>L309</v>
      </c>
      <c r="O14" s="6" t="str">
        <f t="shared" si="1"/>
        <v>L309</v>
      </c>
      <c r="P14" s="3" t="str">
        <f>'Model names'!C12</f>
        <v>MD</v>
      </c>
      <c r="Q14" s="8">
        <f>[35]Total_Reports!B309</f>
        <v>5600</v>
      </c>
      <c r="R14" s="15">
        <f>[35]Total_Reports!C309</f>
        <v>4300</v>
      </c>
      <c r="S14" s="15">
        <f>[35]Total_Reports!D309</f>
        <v>3511.4999999999982</v>
      </c>
      <c r="T14" s="15">
        <f>[35]Total_Reports!E309</f>
        <v>6001.5</v>
      </c>
      <c r="U14" s="15">
        <f>[35]Total_Reports!F309</f>
        <v>8281.5000000000036</v>
      </c>
      <c r="V14" s="15">
        <f>[35]Total_Reports!G309</f>
        <v>10201.499999999996</v>
      </c>
      <c r="W14" s="15">
        <f>[35]Total_Reports!H309</f>
        <v>12511.499999999989</v>
      </c>
      <c r="X14" s="15">
        <f>[35]Total_Reports!I309</f>
        <v>14521.499999999982</v>
      </c>
      <c r="Y14" s="15">
        <f>[35]Total_Reports!J309</f>
        <v>15731.499999999975</v>
      </c>
      <c r="Z14" s="15">
        <f>[35]Total_Reports!K309</f>
        <v>16841.499999999978</v>
      </c>
      <c r="AA14" s="15">
        <f>[35]Total_Reports!L309</f>
        <v>18051.499999999993</v>
      </c>
      <c r="AB14" s="7">
        <f>[35]Total_Reports!L309</f>
        <v>18051.499999999993</v>
      </c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tr">
        <f t="shared" si="0"/>
        <v>Total_Reports</v>
      </c>
      <c r="D15" s="3" t="str">
        <f t="shared" si="1"/>
        <v>B309</v>
      </c>
      <c r="E15" s="3" t="str">
        <f t="shared" si="1"/>
        <v>C309</v>
      </c>
      <c r="F15" s="3" t="str">
        <f t="shared" si="1"/>
        <v>D309</v>
      </c>
      <c r="G15" s="3" t="str">
        <f t="shared" si="1"/>
        <v>E309</v>
      </c>
      <c r="H15" s="3" t="str">
        <f t="shared" si="1"/>
        <v>F309</v>
      </c>
      <c r="I15" s="3" t="str">
        <f t="shared" si="1"/>
        <v>G309</v>
      </c>
      <c r="J15" s="3" t="str">
        <f t="shared" si="1"/>
        <v>H309</v>
      </c>
      <c r="K15" s="3" t="str">
        <f t="shared" si="1"/>
        <v>I309</v>
      </c>
      <c r="L15" s="3" t="str">
        <f t="shared" si="1"/>
        <v>J309</v>
      </c>
      <c r="M15" s="3" t="str">
        <f t="shared" si="1"/>
        <v>K309</v>
      </c>
      <c r="N15" s="3" t="str">
        <f t="shared" si="1"/>
        <v>L309</v>
      </c>
      <c r="O15" s="6" t="str">
        <f t="shared" si="1"/>
        <v>L309</v>
      </c>
      <c r="P15" s="3" t="str">
        <f>'Model names'!C13</f>
        <v>MI</v>
      </c>
      <c r="Q15" s="8">
        <f>[37]Total_Reports!B309</f>
        <v>1399.5284799999999</v>
      </c>
      <c r="R15" s="15">
        <f>[37]Total_Reports!C309</f>
        <v>1399.5467200000003</v>
      </c>
      <c r="S15" s="15">
        <f>[37]Total_Reports!D309</f>
        <v>1399.5467200000003</v>
      </c>
      <c r="T15" s="15">
        <f>[37]Total_Reports!E309</f>
        <v>1399.5467200000003</v>
      </c>
      <c r="U15" s="15">
        <f>[37]Total_Reports!F309</f>
        <v>1399.5467200000003</v>
      </c>
      <c r="V15" s="15">
        <f>[37]Total_Reports!G309</f>
        <v>1399.5467200000003</v>
      </c>
      <c r="W15" s="15">
        <f>[37]Total_Reports!H309</f>
        <v>1399.5467200000003</v>
      </c>
      <c r="X15" s="15">
        <f>[37]Total_Reports!I309</f>
        <v>1399.5467200000003</v>
      </c>
      <c r="Y15" s="15">
        <f>[37]Total_Reports!J309</f>
        <v>1399.5467200000003</v>
      </c>
      <c r="Z15" s="15">
        <f>[37]Total_Reports!K309</f>
        <v>1399.5467200000003</v>
      </c>
      <c r="AA15" s="15">
        <f>[37]Total_Reports!L309</f>
        <v>2399.5467200000003</v>
      </c>
      <c r="AB15" s="7">
        <f>[37]Total_Reports!L309</f>
        <v>2399.5467200000003</v>
      </c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tr">
        <f t="shared" si="0"/>
        <v>Total_Reports</v>
      </c>
      <c r="D16" s="3" t="str">
        <f t="shared" si="1"/>
        <v>B309</v>
      </c>
      <c r="E16" s="3" t="str">
        <f t="shared" si="1"/>
        <v>C309</v>
      </c>
      <c r="F16" s="3" t="str">
        <f t="shared" si="1"/>
        <v>D309</v>
      </c>
      <c r="G16" s="3" t="str">
        <f t="shared" si="1"/>
        <v>E309</v>
      </c>
      <c r="H16" s="3" t="str">
        <f t="shared" si="1"/>
        <v>F309</v>
      </c>
      <c r="I16" s="3" t="str">
        <f t="shared" si="1"/>
        <v>G309</v>
      </c>
      <c r="J16" s="3" t="str">
        <f t="shared" si="1"/>
        <v>H309</v>
      </c>
      <c r="K16" s="3" t="str">
        <f t="shared" si="1"/>
        <v>I309</v>
      </c>
      <c r="L16" s="3" t="str">
        <f t="shared" si="1"/>
        <v>J309</v>
      </c>
      <c r="M16" s="3" t="str">
        <f t="shared" si="1"/>
        <v>K309</v>
      </c>
      <c r="N16" s="3" t="str">
        <f t="shared" si="1"/>
        <v>L309</v>
      </c>
      <c r="O16" s="6" t="str">
        <f t="shared" si="1"/>
        <v>L309</v>
      </c>
      <c r="P16" s="3" t="str">
        <f>'Model names'!C14</f>
        <v>MO</v>
      </c>
      <c r="Q16" s="8">
        <f>[39]Total_Reports!B309</f>
        <v>586483.25205860229</v>
      </c>
      <c r="R16" s="8">
        <f>[39]Total_Reports!C309</f>
        <v>621318.86416750483</v>
      </c>
      <c r="S16" s="8">
        <f>[39]Total_Reports!D309</f>
        <v>714944.6581613993</v>
      </c>
      <c r="T16" s="8">
        <f>[39]Total_Reports!E309</f>
        <v>816071.95635061886</v>
      </c>
      <c r="U16" s="8">
        <f>[39]Total_Reports!F309</f>
        <v>1025559.5843453713</v>
      </c>
      <c r="V16" s="8">
        <f>[39]Total_Reports!G309</f>
        <v>1160821.0500936897</v>
      </c>
      <c r="W16" s="8">
        <f>[39]Total_Reports!H309</f>
        <v>1294032.1825681336</v>
      </c>
      <c r="X16" s="8">
        <f>[39]Total_Reports!I309</f>
        <v>1396980.7824605803</v>
      </c>
      <c r="Y16" s="8">
        <f>[39]Total_Reports!J309</f>
        <v>1470962.2717219039</v>
      </c>
      <c r="Z16" s="8">
        <f>[39]Total_Reports!K309</f>
        <v>1539971.0834049338</v>
      </c>
      <c r="AA16" s="8">
        <f>[39]Total_Reports!L309</f>
        <v>1611498.4362527567</v>
      </c>
      <c r="AB16" s="7">
        <f>[39]Total_Reports!L309</f>
        <v>1611498.4362527567</v>
      </c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tr">
        <f t="shared" si="0"/>
        <v>Total_Reports</v>
      </c>
      <c r="D17" s="3" t="str">
        <f t="shared" si="1"/>
        <v>B309</v>
      </c>
      <c r="E17" s="3" t="str">
        <f t="shared" si="1"/>
        <v>C309</v>
      </c>
      <c r="F17" s="3" t="str">
        <f t="shared" si="1"/>
        <v>D309</v>
      </c>
      <c r="G17" s="3" t="str">
        <f t="shared" si="1"/>
        <v>E309</v>
      </c>
      <c r="H17" s="3" t="str">
        <f t="shared" si="1"/>
        <v>F309</v>
      </c>
      <c r="I17" s="3" t="str">
        <f t="shared" si="1"/>
        <v>G309</v>
      </c>
      <c r="J17" s="3" t="str">
        <f t="shared" si="1"/>
        <v>H309</v>
      </c>
      <c r="K17" s="3" t="str">
        <f t="shared" si="1"/>
        <v>I309</v>
      </c>
      <c r="L17" s="3" t="str">
        <f t="shared" si="1"/>
        <v>J309</v>
      </c>
      <c r="M17" s="3" t="str">
        <f t="shared" si="1"/>
        <v>K309</v>
      </c>
      <c r="N17" s="3" t="str">
        <f t="shared" si="1"/>
        <v>L309</v>
      </c>
      <c r="O17" s="6" t="str">
        <f t="shared" si="1"/>
        <v>L309</v>
      </c>
      <c r="P17" s="3" t="str">
        <f>'Model names'!C15</f>
        <v>NJ</v>
      </c>
      <c r="Q17" s="8">
        <f>[41]Total_Reports!B309</f>
        <v>1299993.1924370495</v>
      </c>
      <c r="R17" s="8">
        <f>[41]Total_Reports!C309</f>
        <v>1368123.4668670259</v>
      </c>
      <c r="S17" s="8">
        <f>[41]Total_Reports!D309</f>
        <v>1416974.4304792839</v>
      </c>
      <c r="T17" s="8">
        <f>[41]Total_Reports!E309</f>
        <v>1530198.684965827</v>
      </c>
      <c r="U17" s="8">
        <f>[41]Total_Reports!F309</f>
        <v>1616002.6458684304</v>
      </c>
      <c r="V17" s="8">
        <f>[41]Total_Reports!G309</f>
        <v>1776613.6616230444</v>
      </c>
      <c r="W17" s="8">
        <f>[41]Total_Reports!H309</f>
        <v>1833449.6420330445</v>
      </c>
      <c r="X17" s="8">
        <f>[41]Total_Reports!I309</f>
        <v>1905209.6172830446</v>
      </c>
      <c r="Y17" s="8">
        <f>[41]Total_Reports!J309</f>
        <v>1995028.7019441999</v>
      </c>
      <c r="Z17" s="8">
        <f>[41]Total_Reports!K309</f>
        <v>2042114.4657942001</v>
      </c>
      <c r="AA17" s="8">
        <f>[41]Total_Reports!L309</f>
        <v>2093135.2296442001</v>
      </c>
      <c r="AB17" s="7">
        <f>[41]Total_Reports!L309</f>
        <v>2093135.2296442001</v>
      </c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tr">
        <f t="shared" si="0"/>
        <v>Total_Reports</v>
      </c>
      <c r="D18" s="3" t="str">
        <f t="shared" si="1"/>
        <v>B309</v>
      </c>
      <c r="E18" s="3" t="str">
        <f t="shared" si="1"/>
        <v>C309</v>
      </c>
      <c r="F18" s="3" t="str">
        <f t="shared" si="1"/>
        <v>D309</v>
      </c>
      <c r="G18" s="3" t="str">
        <f t="shared" si="1"/>
        <v>E309</v>
      </c>
      <c r="H18" s="3" t="str">
        <f t="shared" si="1"/>
        <v>F309</v>
      </c>
      <c r="I18" s="3" t="str">
        <f t="shared" si="1"/>
        <v>G309</v>
      </c>
      <c r="J18" s="3" t="str">
        <f t="shared" si="1"/>
        <v>H309</v>
      </c>
      <c r="K18" s="3" t="str">
        <f t="shared" si="1"/>
        <v>I309</v>
      </c>
      <c r="L18" s="3" t="str">
        <f t="shared" si="1"/>
        <v>J309</v>
      </c>
      <c r="M18" s="3" t="str">
        <f t="shared" si="1"/>
        <v>K309</v>
      </c>
      <c r="N18" s="3" t="str">
        <f t="shared" si="1"/>
        <v>L309</v>
      </c>
      <c r="O18" s="6" t="str">
        <f t="shared" si="1"/>
        <v>L309</v>
      </c>
      <c r="P18" s="3" t="str">
        <f>'Model names'!C16</f>
        <v>NY</v>
      </c>
      <c r="Q18" s="8">
        <f>[43]Total_Reports!B309</f>
        <v>153537.58047000004</v>
      </c>
      <c r="R18" s="8">
        <f>[43]Total_Reports!C309</f>
        <v>173564.92921760824</v>
      </c>
      <c r="S18" s="8">
        <f>[43]Total_Reports!D309</f>
        <v>175699.92921760824</v>
      </c>
      <c r="T18" s="8">
        <f>[43]Total_Reports!E309</f>
        <v>183834.92921760824</v>
      </c>
      <c r="U18" s="8">
        <f>[43]Total_Reports!F309</f>
        <v>195604.92921760824</v>
      </c>
      <c r="V18" s="8">
        <f>[43]Total_Reports!G309</f>
        <v>206874.92921760824</v>
      </c>
      <c r="W18" s="8">
        <f>[43]Total_Reports!H309</f>
        <v>220144.92921760824</v>
      </c>
      <c r="X18" s="8">
        <f>[43]Total_Reports!I309</f>
        <v>230414.92921760824</v>
      </c>
      <c r="Y18" s="8">
        <f>[43]Total_Reports!J309</f>
        <v>240684.92921760824</v>
      </c>
      <c r="Z18" s="8">
        <f>[43]Total_Reports!K309</f>
        <v>251954.92921760824</v>
      </c>
      <c r="AA18" s="8">
        <f>[43]Total_Reports!L309</f>
        <v>262224.92921760818</v>
      </c>
      <c r="AB18" s="7">
        <f>[43]Total_Reports!L309</f>
        <v>262224.92921760818</v>
      </c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tr">
        <f t="shared" si="0"/>
        <v>Total_Reports</v>
      </c>
      <c r="D19" s="3" t="str">
        <f t="shared" si="1"/>
        <v>B309</v>
      </c>
      <c r="E19" s="3" t="str">
        <f t="shared" si="1"/>
        <v>C309</v>
      </c>
      <c r="F19" s="3" t="str">
        <f t="shared" si="1"/>
        <v>D309</v>
      </c>
      <c r="G19" s="3" t="str">
        <f t="shared" si="1"/>
        <v>E309</v>
      </c>
      <c r="H19" s="3" t="str">
        <f t="shared" si="1"/>
        <v>F309</v>
      </c>
      <c r="I19" s="3" t="str">
        <f t="shared" si="1"/>
        <v>G309</v>
      </c>
      <c r="J19" s="3" t="str">
        <f t="shared" si="1"/>
        <v>H309</v>
      </c>
      <c r="K19" s="3" t="str">
        <f t="shared" si="1"/>
        <v>I309</v>
      </c>
      <c r="L19" s="3" t="str">
        <f t="shared" si="1"/>
        <v>J309</v>
      </c>
      <c r="M19" s="3" t="str">
        <f t="shared" si="1"/>
        <v>K309</v>
      </c>
      <c r="N19" s="3" t="str">
        <f t="shared" si="1"/>
        <v>L309</v>
      </c>
      <c r="O19" s="6" t="str">
        <f t="shared" si="1"/>
        <v>L309</v>
      </c>
      <c r="P19" s="3" t="str">
        <f>'Model names'!C17</f>
        <v>PA</v>
      </c>
      <c r="Q19" s="8">
        <f>[45]Total_Reports!B309</f>
        <v>1205252.4384809423</v>
      </c>
      <c r="R19" s="8">
        <f>[45]Total_Reports!C309</f>
        <v>1471323.7415318848</v>
      </c>
      <c r="S19" s="8">
        <f>[45]Total_Reports!D309</f>
        <v>1464875.1959651287</v>
      </c>
      <c r="T19" s="8">
        <f>[45]Total_Reports!E309</f>
        <v>1567962.0128417904</v>
      </c>
      <c r="U19" s="8">
        <f>[45]Total_Reports!F309</f>
        <v>1738880.0005326672</v>
      </c>
      <c r="V19" s="8">
        <f>[45]Total_Reports!G309</f>
        <v>1923198.4992264314</v>
      </c>
      <c r="W19" s="8">
        <f>[45]Total_Reports!H309</f>
        <v>1952205.4667462625</v>
      </c>
      <c r="X19" s="8">
        <f>[45]Total_Reports!I309</f>
        <v>2018177.3876847913</v>
      </c>
      <c r="Y19" s="8">
        <f>[45]Total_Reports!J309</f>
        <v>2156235.6353444285</v>
      </c>
      <c r="Z19" s="8">
        <f>[45]Total_Reports!K309</f>
        <v>2293963.4557339167</v>
      </c>
      <c r="AA19" s="8">
        <f>[45]Total_Reports!L309</f>
        <v>2515921.6313685249</v>
      </c>
      <c r="AB19" s="7">
        <f>[45]Total_Reports!L309</f>
        <v>2515921.6313685249</v>
      </c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tr">
        <f t="shared" si="0"/>
        <v>Total_Reports</v>
      </c>
      <c r="D20" s="3" t="str">
        <f t="shared" si="1"/>
        <v>B309</v>
      </c>
      <c r="E20" s="3" t="str">
        <f t="shared" si="1"/>
        <v>C309</v>
      </c>
      <c r="F20" s="3" t="str">
        <f t="shared" si="1"/>
        <v>D309</v>
      </c>
      <c r="G20" s="3" t="str">
        <f t="shared" si="1"/>
        <v>E309</v>
      </c>
      <c r="H20" s="3" t="str">
        <f t="shared" si="1"/>
        <v>F309</v>
      </c>
      <c r="I20" s="3" t="str">
        <f t="shared" si="1"/>
        <v>G309</v>
      </c>
      <c r="J20" s="3" t="str">
        <f t="shared" si="1"/>
        <v>H309</v>
      </c>
      <c r="K20" s="3" t="str">
        <f t="shared" si="1"/>
        <v>I309</v>
      </c>
      <c r="L20" s="3" t="str">
        <f t="shared" si="1"/>
        <v>J309</v>
      </c>
      <c r="M20" s="3" t="str">
        <f t="shared" si="1"/>
        <v>K309</v>
      </c>
      <c r="N20" s="3" t="str">
        <f t="shared" si="1"/>
        <v>L309</v>
      </c>
      <c r="O20" s="6" t="str">
        <f t="shared" si="1"/>
        <v>L309</v>
      </c>
      <c r="P20" s="3" t="str">
        <f>'Model names'!C18</f>
        <v>TN</v>
      </c>
      <c r="Q20" s="8">
        <f>[47]Total_Reports!B309</f>
        <v>72438.952510000003</v>
      </c>
      <c r="R20" s="8">
        <f>[47]Total_Reports!C309</f>
        <v>58453.21502370204</v>
      </c>
      <c r="S20" s="8">
        <f>[47]Total_Reports!D309</f>
        <v>59572.845107035333</v>
      </c>
      <c r="T20" s="8">
        <f>[47]Total_Reports!E309</f>
        <v>73547.247676479747</v>
      </c>
      <c r="U20" s="8">
        <f>[47]Total_Reports!F309</f>
        <v>86288.509343146463</v>
      </c>
      <c r="V20" s="8">
        <f>[47]Total_Reports!G309</f>
        <v>94328.509343146405</v>
      </c>
      <c r="W20" s="8">
        <f>[47]Total_Reports!H309</f>
        <v>118346.37733220245</v>
      </c>
      <c r="X20" s="8">
        <f>[47]Total_Reports!I309</f>
        <v>128210.95989043935</v>
      </c>
      <c r="Y20" s="8">
        <f>[47]Total_Reports!J309</f>
        <v>159770.95989043941</v>
      </c>
      <c r="Z20" s="8">
        <f>[47]Total_Reports!K309</f>
        <v>173650.95989043941</v>
      </c>
      <c r="AA20" s="8">
        <f>[47]Total_Reports!L309</f>
        <v>192305.98789421981</v>
      </c>
      <c r="AB20" s="7">
        <f>[47]Total_Reports!L309</f>
        <v>192305.98789421981</v>
      </c>
      <c r="AC20" s="8"/>
      <c r="AG20" s="5"/>
      <c r="AH20" s="5"/>
    </row>
    <row r="21" spans="1:34" hidden="1" outlineLevel="1" x14ac:dyDescent="0.3">
      <c r="A21" s="2" t="str">
        <f t="shared" ref="A21:A33" si="2">IF(B21=0,"",A20)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tr">
        <f t="shared" si="0"/>
        <v>Total_Reports</v>
      </c>
      <c r="D21" s="3" t="str">
        <f t="shared" si="1"/>
        <v>B309</v>
      </c>
      <c r="E21" s="3" t="str">
        <f t="shared" si="1"/>
        <v>C309</v>
      </c>
      <c r="F21" s="3" t="str">
        <f t="shared" si="1"/>
        <v>D309</v>
      </c>
      <c r="G21" s="3" t="str">
        <f t="shared" si="1"/>
        <v>E309</v>
      </c>
      <c r="H21" s="3" t="str">
        <f t="shared" si="1"/>
        <v>F309</v>
      </c>
      <c r="I21" s="3" t="str">
        <f t="shared" si="1"/>
        <v>G309</v>
      </c>
      <c r="J21" s="3" t="str">
        <f t="shared" si="1"/>
        <v>H309</v>
      </c>
      <c r="K21" s="3" t="str">
        <f t="shared" si="1"/>
        <v>I309</v>
      </c>
      <c r="L21" s="3" t="str">
        <f t="shared" si="1"/>
        <v>J309</v>
      </c>
      <c r="M21" s="3" t="str">
        <f t="shared" si="1"/>
        <v>K309</v>
      </c>
      <c r="N21" s="3" t="str">
        <f t="shared" si="1"/>
        <v>L309</v>
      </c>
      <c r="O21" s="6" t="str">
        <f t="shared" si="1"/>
        <v>L309</v>
      </c>
      <c r="P21" s="3" t="str">
        <f>'Model names'!C19</f>
        <v>VA</v>
      </c>
      <c r="Q21" s="8">
        <f>[49]Total_Reports!B309</f>
        <v>79284.445694640934</v>
      </c>
      <c r="R21" s="8">
        <f>[49]Total_Reports!C309</f>
        <v>75580.580875948581</v>
      </c>
      <c r="S21" s="8">
        <f>[49]Total_Reports!D309</f>
        <v>85276.420875948621</v>
      </c>
      <c r="T21" s="8">
        <f>[49]Total_Reports!E309</f>
        <v>97136.420875948621</v>
      </c>
      <c r="U21" s="8">
        <f>[49]Total_Reports!F309</f>
        <v>103536.42087594862</v>
      </c>
      <c r="V21" s="8">
        <f>[49]Total_Reports!G309</f>
        <v>111486.42087594862</v>
      </c>
      <c r="W21" s="8">
        <f>[49]Total_Reports!H309</f>
        <v>118939.90087594866</v>
      </c>
      <c r="X21" s="8">
        <f>[49]Total_Reports!I309</f>
        <v>120939.90087594866</v>
      </c>
      <c r="Y21" s="8">
        <f>[49]Total_Reports!J309</f>
        <v>128939.90087594866</v>
      </c>
      <c r="Z21" s="8">
        <f>[49]Total_Reports!K309</f>
        <v>138296.52087594863</v>
      </c>
      <c r="AA21" s="8">
        <f>[49]Total_Reports!L309</f>
        <v>145296.52087594863</v>
      </c>
      <c r="AB21" s="7">
        <f>[49]Total_Reports!L309</f>
        <v>145296.52087594863</v>
      </c>
      <c r="AC21" s="8"/>
    </row>
    <row r="22" spans="1:34" hidden="1" outlineLevel="1" x14ac:dyDescent="0.3">
      <c r="A22" s="2" t="str">
        <f t="shared" si="2"/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tr">
        <f t="shared" si="0"/>
        <v>Total_Reports</v>
      </c>
      <c r="D22" s="3" t="str">
        <f t="shared" si="1"/>
        <v>B309</v>
      </c>
      <c r="E22" s="3" t="str">
        <f t="shared" si="1"/>
        <v>C309</v>
      </c>
      <c r="F22" s="3" t="str">
        <f t="shared" si="1"/>
        <v>D309</v>
      </c>
      <c r="G22" s="3" t="str">
        <f t="shared" si="1"/>
        <v>E309</v>
      </c>
      <c r="H22" s="3" t="str">
        <f t="shared" si="1"/>
        <v>F309</v>
      </c>
      <c r="I22" s="3" t="str">
        <f t="shared" si="1"/>
        <v>G309</v>
      </c>
      <c r="J22" s="3" t="str">
        <f t="shared" si="1"/>
        <v>H309</v>
      </c>
      <c r="K22" s="3" t="str">
        <f t="shared" si="1"/>
        <v>I309</v>
      </c>
      <c r="L22" s="3" t="str">
        <f t="shared" si="1"/>
        <v>J309</v>
      </c>
      <c r="M22" s="3" t="str">
        <f t="shared" si="1"/>
        <v>K309</v>
      </c>
      <c r="N22" s="3" t="str">
        <f t="shared" si="1"/>
        <v>L309</v>
      </c>
      <c r="O22" s="6" t="str">
        <f t="shared" si="1"/>
        <v>L309</v>
      </c>
      <c r="P22" s="3" t="str">
        <f>'Model names'!C20</f>
        <v>WV</v>
      </c>
      <c r="Q22" s="8">
        <f>[51]Total_Reports!B309</f>
        <v>250638.17227556068</v>
      </c>
      <c r="R22" s="8">
        <f>[51]Total_Reports!C309</f>
        <v>219865.62568112128</v>
      </c>
      <c r="S22" s="8">
        <f>[51]Total_Reports!D309</f>
        <v>222769.37368112116</v>
      </c>
      <c r="T22" s="8">
        <f>[51]Total_Reports!E309</f>
        <v>238733.67723667677</v>
      </c>
      <c r="U22" s="8">
        <f>[51]Total_Reports!F309</f>
        <v>251665.75857001013</v>
      </c>
      <c r="V22" s="8">
        <f>[51]Total_Reports!G309</f>
        <v>265962.28434778779</v>
      </c>
      <c r="W22" s="8">
        <f>[51]Total_Reports!H309</f>
        <v>300922.99132214685</v>
      </c>
      <c r="X22" s="8">
        <f>[51]Total_Reports!I309</f>
        <v>337885.80634778779</v>
      </c>
      <c r="Y22" s="8">
        <f>[51]Total_Reports!J309</f>
        <v>380922.79501445452</v>
      </c>
      <c r="Z22" s="8">
        <f>[51]Total_Reports!K309</f>
        <v>411885.61004009529</v>
      </c>
      <c r="AA22" s="8">
        <f>[51]Total_Reports!L309</f>
        <v>442850.55419753137</v>
      </c>
      <c r="AB22" s="7">
        <f>[51]Total_Reports!L309</f>
        <v>442850.55419753137</v>
      </c>
      <c r="AC22" s="8"/>
    </row>
    <row r="23" spans="1:34" hidden="1" outlineLevel="1" x14ac:dyDescent="0.3">
      <c r="A23" s="2" t="str">
        <f t="shared" si="2"/>
        <v/>
      </c>
      <c r="B23" s="3">
        <f>'Model names'!B21</f>
        <v>0</v>
      </c>
      <c r="C23" s="3" t="str">
        <f t="shared" si="0"/>
        <v/>
      </c>
      <c r="D23" s="3" t="str">
        <f t="shared" si="1"/>
        <v>B309</v>
      </c>
      <c r="E23" s="3" t="str">
        <f t="shared" si="1"/>
        <v>C309</v>
      </c>
      <c r="F23" s="3" t="str">
        <f t="shared" si="1"/>
        <v>D309</v>
      </c>
      <c r="G23" s="3" t="str">
        <f t="shared" si="1"/>
        <v>E309</v>
      </c>
      <c r="H23" s="3" t="str">
        <f t="shared" si="1"/>
        <v>F309</v>
      </c>
      <c r="I23" s="3" t="str">
        <f t="shared" si="1"/>
        <v>G309</v>
      </c>
      <c r="J23" s="3" t="str">
        <f t="shared" si="1"/>
        <v>H309</v>
      </c>
      <c r="K23" s="3" t="str">
        <f t="shared" si="1"/>
        <v>I309</v>
      </c>
      <c r="L23" s="3" t="str">
        <f t="shared" si="1"/>
        <v>J309</v>
      </c>
      <c r="M23" s="3" t="str">
        <f t="shared" si="1"/>
        <v>K309</v>
      </c>
      <c r="N23" s="3" t="str">
        <f t="shared" si="1"/>
        <v>L309</v>
      </c>
      <c r="O23" s="6" t="str">
        <f t="shared" si="1"/>
        <v>L309</v>
      </c>
      <c r="P23" s="18">
        <f>'Model names'!C21</f>
        <v>0</v>
      </c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8"/>
      <c r="AC23" s="8"/>
    </row>
    <row r="24" spans="1:34" hidden="1" outlineLevel="1" x14ac:dyDescent="0.3">
      <c r="A24" s="2" t="e">
        <f t="shared" si="2"/>
        <v>#REF!</v>
      </c>
      <c r="B24" s="3" t="e">
        <f>'Model names'!#REF!</f>
        <v>#REF!</v>
      </c>
      <c r="C24" s="3" t="e">
        <f t="shared" si="0"/>
        <v>#REF!</v>
      </c>
      <c r="D24" s="3" t="e">
        <f t="shared" si="1"/>
        <v>#REF!</v>
      </c>
      <c r="E24" s="3" t="e">
        <f t="shared" si="1"/>
        <v>#REF!</v>
      </c>
      <c r="F24" s="3" t="e">
        <f t="shared" si="1"/>
        <v>#REF!</v>
      </c>
      <c r="G24" s="3" t="e">
        <f t="shared" si="1"/>
        <v>#REF!</v>
      </c>
      <c r="H24" s="3" t="e">
        <f t="shared" si="1"/>
        <v>#REF!</v>
      </c>
      <c r="I24" s="3" t="e">
        <f t="shared" si="1"/>
        <v>#REF!</v>
      </c>
      <c r="J24" s="3" t="e">
        <f t="shared" si="1"/>
        <v>#REF!</v>
      </c>
      <c r="K24" s="3" t="e">
        <f t="shared" si="1"/>
        <v>#REF!</v>
      </c>
      <c r="L24" s="3" t="e">
        <f t="shared" si="1"/>
        <v>#REF!</v>
      </c>
      <c r="M24" s="3" t="e">
        <f t="shared" si="1"/>
        <v>#REF!</v>
      </c>
      <c r="N24" s="3" t="e">
        <f t="shared" si="1"/>
        <v>#REF!</v>
      </c>
      <c r="O24" s="6" t="e">
        <f t="shared" si="1"/>
        <v>#REF!</v>
      </c>
      <c r="P24" s="18" t="e">
        <f>'Model names'!#REF!</f>
        <v>#REF!</v>
      </c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8"/>
      <c r="AC24" s="8"/>
    </row>
    <row r="25" spans="1:34" hidden="1" outlineLevel="1" x14ac:dyDescent="0.3">
      <c r="A25" s="2" t="e">
        <f t="shared" si="2"/>
        <v>#REF!</v>
      </c>
      <c r="B25" s="3" t="e">
        <f>'Model names'!#REF!</f>
        <v>#REF!</v>
      </c>
      <c r="C25" s="3" t="e">
        <f t="shared" si="0"/>
        <v>#REF!</v>
      </c>
      <c r="D25" s="3" t="e">
        <f t="shared" si="1"/>
        <v>#REF!</v>
      </c>
      <c r="E25" s="3" t="e">
        <f t="shared" si="1"/>
        <v>#REF!</v>
      </c>
      <c r="F25" s="3" t="e">
        <f t="shared" si="1"/>
        <v>#REF!</v>
      </c>
      <c r="G25" s="3" t="e">
        <f t="shared" si="1"/>
        <v>#REF!</v>
      </c>
      <c r="H25" s="3" t="e">
        <f t="shared" si="1"/>
        <v>#REF!</v>
      </c>
      <c r="I25" s="3" t="e">
        <f t="shared" si="1"/>
        <v>#REF!</v>
      </c>
      <c r="J25" s="3" t="e">
        <f t="shared" si="1"/>
        <v>#REF!</v>
      </c>
      <c r="K25" s="3" t="e">
        <f t="shared" si="1"/>
        <v>#REF!</v>
      </c>
      <c r="L25" s="3" t="e">
        <f t="shared" si="1"/>
        <v>#REF!</v>
      </c>
      <c r="M25" s="3" t="e">
        <f t="shared" si="1"/>
        <v>#REF!</v>
      </c>
      <c r="N25" s="3" t="e">
        <f t="shared" si="1"/>
        <v>#REF!</v>
      </c>
      <c r="O25" s="6" t="e">
        <f t="shared" si="1"/>
        <v>#REF!</v>
      </c>
      <c r="P25" s="18" t="e">
        <f>'Model names'!#REF!</f>
        <v>#REF!</v>
      </c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8"/>
      <c r="AC25" s="8"/>
    </row>
    <row r="26" spans="1:34" hidden="1" outlineLevel="1" x14ac:dyDescent="0.3">
      <c r="A26" s="2" t="e">
        <f t="shared" si="2"/>
        <v>#REF!</v>
      </c>
      <c r="B26" s="3" t="e">
        <f>'Model names'!#REF!</f>
        <v>#REF!</v>
      </c>
      <c r="C26" s="3" t="e">
        <f t="shared" si="0"/>
        <v>#REF!</v>
      </c>
      <c r="D26" s="3" t="e">
        <f t="shared" si="1"/>
        <v>#REF!</v>
      </c>
      <c r="E26" s="3" t="e">
        <f t="shared" si="1"/>
        <v>#REF!</v>
      </c>
      <c r="F26" s="3" t="e">
        <f t="shared" si="1"/>
        <v>#REF!</v>
      </c>
      <c r="G26" s="3" t="e">
        <f t="shared" si="1"/>
        <v>#REF!</v>
      </c>
      <c r="H26" s="3" t="e">
        <f t="shared" si="1"/>
        <v>#REF!</v>
      </c>
      <c r="I26" s="3" t="e">
        <f t="shared" si="1"/>
        <v>#REF!</v>
      </c>
      <c r="J26" s="3" t="e">
        <f t="shared" si="1"/>
        <v>#REF!</v>
      </c>
      <c r="K26" s="3" t="e">
        <f t="shared" si="1"/>
        <v>#REF!</v>
      </c>
      <c r="L26" s="3" t="e">
        <f t="shared" si="1"/>
        <v>#REF!</v>
      </c>
      <c r="M26" s="3" t="e">
        <f t="shared" si="1"/>
        <v>#REF!</v>
      </c>
      <c r="N26" s="3" t="e">
        <f t="shared" si="1"/>
        <v>#REF!</v>
      </c>
      <c r="O26" s="6" t="e">
        <f t="shared" si="1"/>
        <v>#REF!</v>
      </c>
      <c r="P26" s="18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2" t="e">
        <f t="shared" si="2"/>
        <v>#REF!</v>
      </c>
      <c r="B27" s="3" t="e">
        <f>'Model names'!#REF!</f>
        <v>#REF!</v>
      </c>
      <c r="C27" s="3" t="e">
        <f t="shared" si="0"/>
        <v>#REF!</v>
      </c>
      <c r="D27" s="3" t="e">
        <f t="shared" si="1"/>
        <v>#REF!</v>
      </c>
      <c r="E27" s="3" t="e">
        <f t="shared" si="1"/>
        <v>#REF!</v>
      </c>
      <c r="F27" s="3" t="e">
        <f t="shared" si="1"/>
        <v>#REF!</v>
      </c>
      <c r="G27" s="3" t="e">
        <f t="shared" si="1"/>
        <v>#REF!</v>
      </c>
      <c r="H27" s="3" t="e">
        <f t="shared" si="1"/>
        <v>#REF!</v>
      </c>
      <c r="I27" s="3" t="e">
        <f t="shared" si="1"/>
        <v>#REF!</v>
      </c>
      <c r="J27" s="3" t="e">
        <f t="shared" si="1"/>
        <v>#REF!</v>
      </c>
      <c r="K27" s="3" t="e">
        <f t="shared" si="1"/>
        <v>#REF!</v>
      </c>
      <c r="L27" s="3" t="e">
        <f t="shared" si="1"/>
        <v>#REF!</v>
      </c>
      <c r="M27" s="3" t="e">
        <f t="shared" si="1"/>
        <v>#REF!</v>
      </c>
      <c r="N27" s="3" t="e">
        <f t="shared" si="1"/>
        <v>#REF!</v>
      </c>
      <c r="O27" s="6" t="e">
        <f t="shared" si="1"/>
        <v>#REF!</v>
      </c>
      <c r="P27" s="18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2" t="e">
        <f t="shared" si="2"/>
        <v>#REF!</v>
      </c>
      <c r="B28" s="3" t="e">
        <f>'Model names'!#REF!</f>
        <v>#REF!</v>
      </c>
      <c r="C28" s="3" t="e">
        <f t="shared" si="0"/>
        <v>#REF!</v>
      </c>
      <c r="D28" s="3" t="e">
        <f t="shared" si="1"/>
        <v>#REF!</v>
      </c>
      <c r="E28" s="3" t="e">
        <f t="shared" si="1"/>
        <v>#REF!</v>
      </c>
      <c r="F28" s="3" t="e">
        <f t="shared" si="1"/>
        <v>#REF!</v>
      </c>
      <c r="G28" s="3" t="e">
        <f t="shared" si="1"/>
        <v>#REF!</v>
      </c>
      <c r="H28" s="3" t="e">
        <f t="shared" si="1"/>
        <v>#REF!</v>
      </c>
      <c r="I28" s="3" t="e">
        <f t="shared" si="1"/>
        <v>#REF!</v>
      </c>
      <c r="J28" s="3" t="e">
        <f t="shared" si="1"/>
        <v>#REF!</v>
      </c>
      <c r="K28" s="3" t="e">
        <f t="shared" si="1"/>
        <v>#REF!</v>
      </c>
      <c r="L28" s="3" t="e">
        <f t="shared" si="1"/>
        <v>#REF!</v>
      </c>
      <c r="M28" s="3" t="e">
        <f t="shared" si="1"/>
        <v>#REF!</v>
      </c>
      <c r="N28" s="3" t="e">
        <f t="shared" si="1"/>
        <v>#REF!</v>
      </c>
      <c r="O28" s="6" t="e">
        <f t="shared" si="1"/>
        <v>#REF!</v>
      </c>
      <c r="P28" s="18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2" t="e">
        <f t="shared" si="2"/>
        <v>#REF!</v>
      </c>
      <c r="B29" s="3" t="e">
        <f>'Model names'!#REF!</f>
        <v>#REF!</v>
      </c>
      <c r="C29" s="3" t="e">
        <f t="shared" si="0"/>
        <v>#REF!</v>
      </c>
      <c r="D29" s="3" t="e">
        <f t="shared" si="1"/>
        <v>#REF!</v>
      </c>
      <c r="E29" s="3" t="e">
        <f t="shared" si="1"/>
        <v>#REF!</v>
      </c>
      <c r="F29" s="3" t="e">
        <f t="shared" si="1"/>
        <v>#REF!</v>
      </c>
      <c r="G29" s="3" t="e">
        <f t="shared" si="1"/>
        <v>#REF!</v>
      </c>
      <c r="H29" s="3" t="e">
        <f t="shared" si="1"/>
        <v>#REF!</v>
      </c>
      <c r="I29" s="3" t="e">
        <f t="shared" si="1"/>
        <v>#REF!</v>
      </c>
      <c r="J29" s="3" t="e">
        <f t="shared" si="1"/>
        <v>#REF!</v>
      </c>
      <c r="K29" s="3" t="e">
        <f t="shared" si="1"/>
        <v>#REF!</v>
      </c>
      <c r="L29" s="3" t="e">
        <f t="shared" si="1"/>
        <v>#REF!</v>
      </c>
      <c r="M29" s="3" t="e">
        <f t="shared" si="1"/>
        <v>#REF!</v>
      </c>
      <c r="N29" s="3" t="e">
        <f t="shared" si="1"/>
        <v>#REF!</v>
      </c>
      <c r="O29" s="6" t="e">
        <f t="shared" si="1"/>
        <v>#REF!</v>
      </c>
      <c r="P29" s="18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2" t="e">
        <f t="shared" si="2"/>
        <v>#REF!</v>
      </c>
      <c r="B30" s="3" t="e">
        <f>'Model names'!#REF!</f>
        <v>#REF!</v>
      </c>
      <c r="C30" s="3" t="e">
        <f t="shared" si="0"/>
        <v>#REF!</v>
      </c>
      <c r="D30" s="3" t="e">
        <f t="shared" ref="D30:O30" si="3">IF(C30=0,"",D29)</f>
        <v>#REF!</v>
      </c>
      <c r="E30" s="3" t="e">
        <f t="shared" si="3"/>
        <v>#REF!</v>
      </c>
      <c r="F30" s="3" t="e">
        <f t="shared" si="3"/>
        <v>#REF!</v>
      </c>
      <c r="G30" s="3" t="e">
        <f t="shared" si="3"/>
        <v>#REF!</v>
      </c>
      <c r="H30" s="3" t="e">
        <f t="shared" si="3"/>
        <v>#REF!</v>
      </c>
      <c r="I30" s="3" t="e">
        <f t="shared" si="3"/>
        <v>#REF!</v>
      </c>
      <c r="J30" s="3" t="e">
        <f t="shared" si="3"/>
        <v>#REF!</v>
      </c>
      <c r="K30" s="3" t="e">
        <f t="shared" si="3"/>
        <v>#REF!</v>
      </c>
      <c r="L30" s="3" t="e">
        <f t="shared" si="3"/>
        <v>#REF!</v>
      </c>
      <c r="M30" s="3" t="e">
        <f t="shared" si="3"/>
        <v>#REF!</v>
      </c>
      <c r="N30" s="3" t="e">
        <f t="shared" si="3"/>
        <v>#REF!</v>
      </c>
      <c r="O30" s="6" t="e">
        <f t="shared" si="3"/>
        <v>#REF!</v>
      </c>
      <c r="P30" s="18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2" t="e">
        <f t="shared" si="2"/>
        <v>#REF!</v>
      </c>
      <c r="B31" s="3" t="e">
        <f>'Model names'!#REF!</f>
        <v>#REF!</v>
      </c>
      <c r="C31" s="3" t="e">
        <f t="shared" ref="C31:O33" si="4">IF(B31=0,"",C30)</f>
        <v>#REF!</v>
      </c>
      <c r="D31" s="3" t="e">
        <f t="shared" si="4"/>
        <v>#REF!</v>
      </c>
      <c r="E31" s="3" t="e">
        <f t="shared" si="4"/>
        <v>#REF!</v>
      </c>
      <c r="F31" s="3" t="e">
        <f t="shared" si="4"/>
        <v>#REF!</v>
      </c>
      <c r="G31" s="3" t="e">
        <f t="shared" si="4"/>
        <v>#REF!</v>
      </c>
      <c r="H31" s="3" t="e">
        <f t="shared" si="4"/>
        <v>#REF!</v>
      </c>
      <c r="I31" s="3" t="e">
        <f t="shared" si="4"/>
        <v>#REF!</v>
      </c>
      <c r="J31" s="3" t="e">
        <f t="shared" si="4"/>
        <v>#REF!</v>
      </c>
      <c r="K31" s="3" t="e">
        <f t="shared" si="4"/>
        <v>#REF!</v>
      </c>
      <c r="L31" s="3" t="e">
        <f t="shared" si="4"/>
        <v>#REF!</v>
      </c>
      <c r="M31" s="3" t="e">
        <f t="shared" si="4"/>
        <v>#REF!</v>
      </c>
      <c r="N31" s="3" t="e">
        <f t="shared" si="4"/>
        <v>#REF!</v>
      </c>
      <c r="O31" s="6" t="e">
        <f t="shared" si="4"/>
        <v>#REF!</v>
      </c>
      <c r="P31" s="18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2" t="e">
        <f t="shared" si="2"/>
        <v>#REF!</v>
      </c>
      <c r="B32" s="3" t="e">
        <f>'Model names'!#REF!</f>
        <v>#REF!</v>
      </c>
      <c r="C32" s="3" t="e">
        <f t="shared" si="4"/>
        <v>#REF!</v>
      </c>
      <c r="D32" s="3" t="e">
        <f t="shared" si="4"/>
        <v>#REF!</v>
      </c>
      <c r="E32" s="3" t="e">
        <f t="shared" si="4"/>
        <v>#REF!</v>
      </c>
      <c r="F32" s="3" t="e">
        <f t="shared" si="4"/>
        <v>#REF!</v>
      </c>
      <c r="G32" s="3" t="e">
        <f t="shared" si="4"/>
        <v>#REF!</v>
      </c>
      <c r="H32" s="3" t="e">
        <f t="shared" si="4"/>
        <v>#REF!</v>
      </c>
      <c r="I32" s="3" t="e">
        <f t="shared" si="4"/>
        <v>#REF!</v>
      </c>
      <c r="J32" s="3" t="e">
        <f t="shared" si="4"/>
        <v>#REF!</v>
      </c>
      <c r="K32" s="3" t="e">
        <f t="shared" si="4"/>
        <v>#REF!</v>
      </c>
      <c r="L32" s="3" t="e">
        <f t="shared" si="4"/>
        <v>#REF!</v>
      </c>
      <c r="M32" s="3" t="e">
        <f t="shared" si="4"/>
        <v>#REF!</v>
      </c>
      <c r="N32" s="3" t="e">
        <f t="shared" si="4"/>
        <v>#REF!</v>
      </c>
      <c r="O32" s="6" t="e">
        <f t="shared" si="4"/>
        <v>#REF!</v>
      </c>
      <c r="P32" s="18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2" t="e">
        <f t="shared" si="2"/>
        <v>#REF!</v>
      </c>
      <c r="B33" s="3" t="e">
        <f>'Model names'!#REF!</f>
        <v>#REF!</v>
      </c>
      <c r="C33" s="3" t="e">
        <f t="shared" si="4"/>
        <v>#REF!</v>
      </c>
      <c r="D33" s="3" t="e">
        <f t="shared" si="4"/>
        <v>#REF!</v>
      </c>
      <c r="E33" s="3" t="e">
        <f t="shared" si="4"/>
        <v>#REF!</v>
      </c>
      <c r="F33" s="3" t="e">
        <f t="shared" si="4"/>
        <v>#REF!</v>
      </c>
      <c r="G33" s="3" t="e">
        <f t="shared" si="4"/>
        <v>#REF!</v>
      </c>
      <c r="H33" s="3" t="e">
        <f t="shared" si="4"/>
        <v>#REF!</v>
      </c>
      <c r="I33" s="3" t="e">
        <f t="shared" si="4"/>
        <v>#REF!</v>
      </c>
      <c r="J33" s="3" t="e">
        <f t="shared" si="4"/>
        <v>#REF!</v>
      </c>
      <c r="K33" s="3" t="e">
        <f t="shared" si="4"/>
        <v>#REF!</v>
      </c>
      <c r="L33" s="3" t="e">
        <f t="shared" si="4"/>
        <v>#REF!</v>
      </c>
      <c r="M33" s="3" t="e">
        <f t="shared" si="4"/>
        <v>#REF!</v>
      </c>
      <c r="N33" s="3" t="e">
        <f t="shared" si="4"/>
        <v>#REF!</v>
      </c>
      <c r="O33" s="6" t="e">
        <f t="shared" si="4"/>
        <v>#REF!</v>
      </c>
      <c r="P33" s="18" t="e">
        <f>'Model names'!#REF!</f>
        <v>#REF!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>
      <c r="Q34" s="26">
        <f>SUM(Q4:Q20)</f>
        <v>4614671.9648320861</v>
      </c>
      <c r="R34" s="27">
        <f t="shared" ref="R34:AA34" si="5">SUM(R4:R20)</f>
        <v>5126022.566134261</v>
      </c>
      <c r="S34" s="27">
        <f t="shared" ca="1" si="5"/>
        <v>5364786.7143377056</v>
      </c>
      <c r="T34" s="27">
        <f t="shared" ca="1" si="5"/>
        <v>5878417.5381255457</v>
      </c>
      <c r="U34" s="27">
        <f t="shared" ca="1" si="5"/>
        <v>6517768.978823131</v>
      </c>
      <c r="V34" s="27">
        <f t="shared" ca="1" si="5"/>
        <v>7126994.3500834629</v>
      </c>
      <c r="W34" s="27">
        <f t="shared" ca="1" si="5"/>
        <v>7488272.5419563651</v>
      </c>
      <c r="X34" s="27">
        <f t="shared" ca="1" si="5"/>
        <v>7900894.2873396846</v>
      </c>
      <c r="Y34" s="27">
        <f t="shared" ca="1" si="5"/>
        <v>8368178.9163692789</v>
      </c>
      <c r="Z34" s="27">
        <f t="shared" ca="1" si="5"/>
        <v>8744544.6936915778</v>
      </c>
      <c r="AA34" s="28">
        <f t="shared" ca="1" si="5"/>
        <v>9227099.3136317413</v>
      </c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20" priority="3" operator="equal">
      <formula>"On"</formula>
    </cfRule>
  </conditionalFormatting>
  <conditionalFormatting sqref="V21:AA23">
    <cfRule type="cellIs" dxfId="19" priority="2" operator="equal">
      <formula>"On"</formula>
    </cfRule>
  </conditionalFormatting>
  <conditionalFormatting sqref="R21:R23">
    <cfRule type="cellIs" dxfId="18" priority="1" operator="equal">
      <formula>"On"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7" r:id="rId3" name="CommandButton21">
          <controlPr autoLine="0" r:id="rId4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18</xdr:col>
                <xdr:colOff>76200</xdr:colOff>
                <xdr:row>0</xdr:row>
                <xdr:rowOff>403860</xdr:rowOff>
              </to>
            </anchor>
          </controlPr>
        </control>
      </mc:Choice>
      <mc:Fallback>
        <control shapeId="29697" r:id="rId3" name="CommandButton2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0070C0"/>
  </sheetPr>
  <dimension ref="A1:AH40"/>
  <sheetViews>
    <sheetView topLeftCell="C1" zoomScale="70" zoomScaleNormal="70" workbookViewId="0">
      <selection activeCell="AB46" sqref="AB45:AB46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12</v>
      </c>
      <c r="P2" s="1">
        <v>12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names'!I1</f>
        <v>2017</v>
      </c>
      <c r="R3" s="2">
        <f>'Model names'!J1</f>
        <v>2018</v>
      </c>
      <c r="S3" s="2">
        <f>'Model names'!K1</f>
        <v>2019</v>
      </c>
      <c r="T3" s="2">
        <f>'Model names'!L1</f>
        <v>2020</v>
      </c>
      <c r="U3" s="2">
        <f>'Model names'!M1</f>
        <v>2021</v>
      </c>
      <c r="V3" s="2">
        <f>'Model names'!N1</f>
        <v>2022</v>
      </c>
      <c r="W3" s="2">
        <f>'Model names'!O1</f>
        <v>2023</v>
      </c>
      <c r="X3" s="2">
        <f>'Model names'!P1</f>
        <v>2024</v>
      </c>
      <c r="Y3" s="2">
        <f>'Model names'!Q1</f>
        <v>2025</v>
      </c>
      <c r="Z3" s="2">
        <f>'Model names'!R1</f>
        <v>2026</v>
      </c>
      <c r="AA3" s="2">
        <f>'Model names'!S1</f>
        <v>2027</v>
      </c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16</v>
      </c>
      <c r="D4" s="3" t="s">
        <v>147</v>
      </c>
      <c r="E4" s="3" t="s">
        <v>148</v>
      </c>
      <c r="F4" s="3" t="s">
        <v>149</v>
      </c>
      <c r="G4" s="3" t="s">
        <v>150</v>
      </c>
      <c r="H4" s="3" t="s">
        <v>151</v>
      </c>
      <c r="I4" s="3" t="s">
        <v>152</v>
      </c>
      <c r="J4" s="3" t="s">
        <v>153</v>
      </c>
      <c r="K4" s="3" t="s">
        <v>154</v>
      </c>
      <c r="L4" s="3" t="s">
        <v>155</v>
      </c>
      <c r="M4" s="3" t="s">
        <v>156</v>
      </c>
      <c r="N4" s="3" t="s">
        <v>157</v>
      </c>
      <c r="O4" s="6" t="s">
        <v>157</v>
      </c>
      <c r="P4" s="3" t="str">
        <f>'Model names'!C2</f>
        <v>BFW</v>
      </c>
      <c r="Q4" s="15">
        <f>[15]Total_Reports!B313</f>
        <v>0</v>
      </c>
      <c r="R4" s="15">
        <f>[15]Total_Reports!C313</f>
        <v>0</v>
      </c>
      <c r="S4" s="15">
        <f>[15]Total_Reports!D313</f>
        <v>0</v>
      </c>
      <c r="T4" s="15">
        <f>[15]Total_Reports!E313</f>
        <v>0</v>
      </c>
      <c r="U4" s="15">
        <f>[15]Total_Reports!F313</f>
        <v>0</v>
      </c>
      <c r="V4" s="15">
        <f>[15]Total_Reports!G313</f>
        <v>0</v>
      </c>
      <c r="W4" s="15">
        <f>[15]Total_Reports!H313</f>
        <v>0</v>
      </c>
      <c r="X4" s="15">
        <f>[15]Total_Reports!I313</f>
        <v>0</v>
      </c>
      <c r="Y4" s="15">
        <f>[15]Total_Reports!J313</f>
        <v>0</v>
      </c>
      <c r="Z4" s="15">
        <f>[15]Total_Reports!K313</f>
        <v>0</v>
      </c>
      <c r="AA4" s="15">
        <f>[15]Total_Reports!L313</f>
        <v>0</v>
      </c>
      <c r="AB4" s="7">
        <f>[15]Total_Reports!L313</f>
        <v>0</v>
      </c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16</v>
      </c>
      <c r="D5" s="3" t="s">
        <v>147</v>
      </c>
      <c r="E5" s="3" t="s">
        <v>148</v>
      </c>
      <c r="F5" s="3" t="s">
        <v>149</v>
      </c>
      <c r="G5" s="3" t="s">
        <v>150</v>
      </c>
      <c r="H5" s="3" t="s">
        <v>151</v>
      </c>
      <c r="I5" s="3" t="s">
        <v>152</v>
      </c>
      <c r="J5" s="3" t="s">
        <v>153</v>
      </c>
      <c r="K5" s="3" t="s">
        <v>154</v>
      </c>
      <c r="L5" s="3" t="s">
        <v>155</v>
      </c>
      <c r="M5" s="3" t="s">
        <v>156</v>
      </c>
      <c r="N5" s="3" t="s">
        <v>157</v>
      </c>
      <c r="O5" s="6" t="s">
        <v>157</v>
      </c>
      <c r="P5" s="18" t="str">
        <f>'Model names'!C3</f>
        <v>CA</v>
      </c>
      <c r="Q5" s="15">
        <f>[17]Total_Reports!B313</f>
        <v>52302.804560000004</v>
      </c>
      <c r="R5" s="15">
        <f>[17]Total_Reports!C313</f>
        <v>4.1356400000005964</v>
      </c>
      <c r="S5" s="15">
        <f>[17]Total_Reports!D313</f>
        <v>4.1356400000005964</v>
      </c>
      <c r="T5" s="15">
        <f>[17]Total_Reports!E313</f>
        <v>4.1356400000005964</v>
      </c>
      <c r="U5" s="15">
        <f>[17]Total_Reports!F313</f>
        <v>4.1356400000005964</v>
      </c>
      <c r="V5" s="15">
        <f>[17]Total_Reports!G313</f>
        <v>4.1356400000005964</v>
      </c>
      <c r="W5" s="15">
        <f>[17]Total_Reports!H313</f>
        <v>4.1356400000005964</v>
      </c>
      <c r="X5" s="15">
        <f>[17]Total_Reports!I313</f>
        <v>4.1356400000005964</v>
      </c>
      <c r="Y5" s="15">
        <f>[17]Total_Reports!J313</f>
        <v>4.1356400000005964</v>
      </c>
      <c r="Z5" s="15">
        <f>[17]Total_Reports!K313</f>
        <v>4.1356400000005964</v>
      </c>
      <c r="AA5" s="15">
        <f>[17]Total_Reports!L313</f>
        <v>4.1356400000005964</v>
      </c>
      <c r="AB5" s="7">
        <f>[17]Total_Reports!L313</f>
        <v>4.1356400000005964</v>
      </c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16</v>
      </c>
      <c r="D6" s="3" t="s">
        <v>147</v>
      </c>
      <c r="E6" s="3" t="s">
        <v>148</v>
      </c>
      <c r="F6" s="3" t="s">
        <v>149</v>
      </c>
      <c r="G6" s="3" t="s">
        <v>150</v>
      </c>
      <c r="H6" s="3" t="s">
        <v>151</v>
      </c>
      <c r="I6" s="3" t="s">
        <v>152</v>
      </c>
      <c r="J6" s="3" t="s">
        <v>153</v>
      </c>
      <c r="K6" s="3" t="s">
        <v>154</v>
      </c>
      <c r="L6" s="3" t="s">
        <v>155</v>
      </c>
      <c r="M6" s="3" t="s">
        <v>156</v>
      </c>
      <c r="N6" s="3" t="s">
        <v>157</v>
      </c>
      <c r="O6" s="6" t="s">
        <v>157</v>
      </c>
      <c r="P6" s="3" t="str">
        <f>'Model names'!C4</f>
        <v>ETS</v>
      </c>
      <c r="Q6" s="15">
        <f>[19]Total_Reports!B313</f>
        <v>0</v>
      </c>
      <c r="R6" s="15">
        <f>[19]Total_Reports!C313</f>
        <v>0</v>
      </c>
      <c r="S6" s="15">
        <f>[19]Total_Reports!D313</f>
        <v>0</v>
      </c>
      <c r="T6" s="15">
        <f>[19]Total_Reports!E313</f>
        <v>0</v>
      </c>
      <c r="U6" s="15">
        <f>[19]Total_Reports!F313</f>
        <v>0</v>
      </c>
      <c r="V6" s="15">
        <f>[19]Total_Reports!G313</f>
        <v>0</v>
      </c>
      <c r="W6" s="15">
        <f>[19]Total_Reports!H313</f>
        <v>0</v>
      </c>
      <c r="X6" s="15">
        <f>[19]Total_Reports!I313</f>
        <v>0</v>
      </c>
      <c r="Y6" s="15">
        <f>[19]Total_Reports!J313</f>
        <v>0</v>
      </c>
      <c r="Z6" s="15">
        <f>[19]Total_Reports!K313</f>
        <v>0</v>
      </c>
      <c r="AA6" s="15">
        <f>[19]Total_Reports!L313</f>
        <v>0</v>
      </c>
      <c r="AB6" s="7">
        <f>[19]Total_Reports!L313</f>
        <v>0</v>
      </c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16</v>
      </c>
      <c r="D7" s="3" t="s">
        <v>147</v>
      </c>
      <c r="E7" s="3" t="s">
        <v>148</v>
      </c>
      <c r="F7" s="3" t="s">
        <v>149</v>
      </c>
      <c r="G7" s="3" t="s">
        <v>150</v>
      </c>
      <c r="H7" s="3" t="s">
        <v>151</v>
      </c>
      <c r="I7" s="3" t="s">
        <v>152</v>
      </c>
      <c r="J7" s="3" t="s">
        <v>153</v>
      </c>
      <c r="K7" s="3" t="s">
        <v>154</v>
      </c>
      <c r="L7" s="3" t="s">
        <v>155</v>
      </c>
      <c r="M7" s="3" t="s">
        <v>156</v>
      </c>
      <c r="N7" s="3" t="s">
        <v>157</v>
      </c>
      <c r="O7" s="6" t="s">
        <v>157</v>
      </c>
      <c r="P7" s="18" t="str">
        <f>'Model names'!C5</f>
        <v>HI</v>
      </c>
      <c r="Q7" s="15">
        <f>[21]Total_Reports!B313</f>
        <v>0</v>
      </c>
      <c r="R7" s="15">
        <f>[21]Total_Reports!C313</f>
        <v>0</v>
      </c>
      <c r="S7" s="15">
        <f>[21]Total_Reports!D313</f>
        <v>0</v>
      </c>
      <c r="T7" s="15">
        <f>[21]Total_Reports!E313</f>
        <v>0</v>
      </c>
      <c r="U7" s="15">
        <f>[21]Total_Reports!F313</f>
        <v>0</v>
      </c>
      <c r="V7" s="15">
        <f>[21]Total_Reports!G313</f>
        <v>0</v>
      </c>
      <c r="W7" s="15">
        <f>[21]Total_Reports!H313</f>
        <v>0</v>
      </c>
      <c r="X7" s="15">
        <f>[21]Total_Reports!I313</f>
        <v>0</v>
      </c>
      <c r="Y7" s="15">
        <f>[21]Total_Reports!J313</f>
        <v>0</v>
      </c>
      <c r="Z7" s="15">
        <f>[21]Total_Reports!K313</f>
        <v>0</v>
      </c>
      <c r="AA7" s="15">
        <f>[21]Total_Reports!L313</f>
        <v>0</v>
      </c>
      <c r="AB7" s="7">
        <f>[21]Total_Reports!L313</f>
        <v>0</v>
      </c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16</v>
      </c>
      <c r="D8" s="3" t="s">
        <v>147</v>
      </c>
      <c r="E8" s="3" t="s">
        <v>148</v>
      </c>
      <c r="F8" s="3" t="s">
        <v>149</v>
      </c>
      <c r="G8" s="3" t="s">
        <v>150</v>
      </c>
      <c r="H8" s="3" t="s">
        <v>151</v>
      </c>
      <c r="I8" s="3" t="s">
        <v>152</v>
      </c>
      <c r="J8" s="3" t="s">
        <v>153</v>
      </c>
      <c r="K8" s="3" t="s">
        <v>154</v>
      </c>
      <c r="L8" s="3" t="s">
        <v>155</v>
      </c>
      <c r="M8" s="3" t="s">
        <v>156</v>
      </c>
      <c r="N8" s="3" t="s">
        <v>157</v>
      </c>
      <c r="O8" s="6" t="s">
        <v>157</v>
      </c>
      <c r="P8" s="18" t="str">
        <f>'Model names'!C6</f>
        <v>IA</v>
      </c>
      <c r="Q8" s="15">
        <f>[23]Total_Reports!B313</f>
        <v>141</v>
      </c>
      <c r="R8" s="15">
        <f>[23]Total_Reports!C313</f>
        <v>147</v>
      </c>
      <c r="S8" s="15">
        <f>[23]Total_Reports!D313</f>
        <v>147</v>
      </c>
      <c r="T8" s="15">
        <f>[23]Total_Reports!E313</f>
        <v>147</v>
      </c>
      <c r="U8" s="15">
        <f>[23]Total_Reports!F313</f>
        <v>147</v>
      </c>
      <c r="V8" s="15">
        <f>[23]Total_Reports!G313</f>
        <v>147</v>
      </c>
      <c r="W8" s="15">
        <f>[23]Total_Reports!H313</f>
        <v>147</v>
      </c>
      <c r="X8" s="15">
        <f>[23]Total_Reports!I313</f>
        <v>147</v>
      </c>
      <c r="Y8" s="15">
        <f>[23]Total_Reports!J313</f>
        <v>147</v>
      </c>
      <c r="Z8" s="15">
        <f>[23]Total_Reports!K313</f>
        <v>147</v>
      </c>
      <c r="AA8" s="15">
        <f>[23]Total_Reports!L313</f>
        <v>147</v>
      </c>
      <c r="AB8" s="7">
        <f>[23]Total_Reports!L313</f>
        <v>147</v>
      </c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16</v>
      </c>
      <c r="D9" s="3" t="s">
        <v>147</v>
      </c>
      <c r="E9" s="3" t="s">
        <v>148</v>
      </c>
      <c r="F9" s="3" t="s">
        <v>149</v>
      </c>
      <c r="G9" s="3" t="s">
        <v>150</v>
      </c>
      <c r="H9" s="3" t="s">
        <v>151</v>
      </c>
      <c r="I9" s="3" t="s">
        <v>152</v>
      </c>
      <c r="J9" s="3" t="s">
        <v>153</v>
      </c>
      <c r="K9" s="3" t="s">
        <v>154</v>
      </c>
      <c r="L9" s="3" t="s">
        <v>155</v>
      </c>
      <c r="M9" s="3" t="s">
        <v>156</v>
      </c>
      <c r="N9" s="3" t="s">
        <v>157</v>
      </c>
      <c r="O9" s="6" t="s">
        <v>157</v>
      </c>
      <c r="P9" s="3" t="str">
        <f>'Model names'!C7</f>
        <v>IL</v>
      </c>
      <c r="Q9" s="15">
        <f>[25]Total_Reports!B313</f>
        <v>43500</v>
      </c>
      <c r="R9" s="15">
        <f>[25]Total_Reports!C313</f>
        <v>22000</v>
      </c>
      <c r="S9" s="15">
        <f>[25]Total_Reports!D313</f>
        <v>22000</v>
      </c>
      <c r="T9" s="15">
        <f>[25]Total_Reports!E313</f>
        <v>22000</v>
      </c>
      <c r="U9" s="15">
        <f>[25]Total_Reports!F313</f>
        <v>22000</v>
      </c>
      <c r="V9" s="15">
        <f>[25]Total_Reports!G313</f>
        <v>22000</v>
      </c>
      <c r="W9" s="15">
        <f>[25]Total_Reports!H313</f>
        <v>22000</v>
      </c>
      <c r="X9" s="15">
        <f>[25]Total_Reports!I313</f>
        <v>22000</v>
      </c>
      <c r="Y9" s="15">
        <f>[25]Total_Reports!J313</f>
        <v>22000</v>
      </c>
      <c r="Z9" s="15">
        <f>[25]Total_Reports!K313</f>
        <v>22000</v>
      </c>
      <c r="AA9" s="15">
        <f>[25]Total_Reports!L313</f>
        <v>22000</v>
      </c>
      <c r="AB9" s="7">
        <f>[25]Total_Reports!L313</f>
        <v>22000</v>
      </c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16</v>
      </c>
      <c r="D10" s="3" t="s">
        <v>147</v>
      </c>
      <c r="E10" s="3" t="s">
        <v>148</v>
      </c>
      <c r="F10" s="3" t="s">
        <v>149</v>
      </c>
      <c r="G10" s="3" t="s">
        <v>150</v>
      </c>
      <c r="H10" s="3" t="s">
        <v>151</v>
      </c>
      <c r="I10" s="3" t="s">
        <v>152</v>
      </c>
      <c r="J10" s="3" t="s">
        <v>153</v>
      </c>
      <c r="K10" s="3" t="s">
        <v>154</v>
      </c>
      <c r="L10" s="3" t="s">
        <v>155</v>
      </c>
      <c r="M10" s="3" t="s">
        <v>156</v>
      </c>
      <c r="N10" s="3" t="s">
        <v>157</v>
      </c>
      <c r="O10" s="6" t="s">
        <v>157</v>
      </c>
      <c r="P10" s="3" t="str">
        <f>'Model names'!C8</f>
        <v>IN</v>
      </c>
      <c r="Q10" s="15">
        <f>[27]Total_Reports!B313</f>
        <v>27874.152999999998</v>
      </c>
      <c r="R10" s="15">
        <f>[27]Total_Reports!C313</f>
        <v>893.649</v>
      </c>
      <c r="S10" s="15">
        <f>[27]Total_Reports!D313</f>
        <v>893.649</v>
      </c>
      <c r="T10" s="15">
        <f>[27]Total_Reports!E313</f>
        <v>893.649</v>
      </c>
      <c r="U10" s="15">
        <f>[27]Total_Reports!F313</f>
        <v>893.649</v>
      </c>
      <c r="V10" s="15">
        <f>[27]Total_Reports!G313</f>
        <v>893.649</v>
      </c>
      <c r="W10" s="15">
        <f>[27]Total_Reports!H313</f>
        <v>893.649</v>
      </c>
      <c r="X10" s="15">
        <f>[27]Total_Reports!I313</f>
        <v>893.649</v>
      </c>
      <c r="Y10" s="15">
        <f>[27]Total_Reports!J313</f>
        <v>893.649</v>
      </c>
      <c r="Z10" s="15">
        <f>[27]Total_Reports!K313</f>
        <v>893.649</v>
      </c>
      <c r="AA10" s="15">
        <f>[27]Total_Reports!L313</f>
        <v>893.649</v>
      </c>
      <c r="AB10" s="7">
        <f>[27]Total_Reports!L313</f>
        <v>893.649</v>
      </c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16</v>
      </c>
      <c r="D11" s="3" t="s">
        <v>147</v>
      </c>
      <c r="E11" s="3" t="s">
        <v>148</v>
      </c>
      <c r="F11" s="3" t="s">
        <v>149</v>
      </c>
      <c r="G11" s="3" t="s">
        <v>150</v>
      </c>
      <c r="H11" s="3" t="s">
        <v>151</v>
      </c>
      <c r="I11" s="3" t="s">
        <v>152</v>
      </c>
      <c r="J11" s="3" t="s">
        <v>153</v>
      </c>
      <c r="K11" s="3" t="s">
        <v>154</v>
      </c>
      <c r="L11" s="3" t="s">
        <v>155</v>
      </c>
      <c r="M11" s="3" t="s">
        <v>156</v>
      </c>
      <c r="N11" s="3" t="s">
        <v>157</v>
      </c>
      <c r="O11" s="6" t="s">
        <v>157</v>
      </c>
      <c r="P11" s="3" t="str">
        <f>'Model names'!C9</f>
        <v>KY</v>
      </c>
      <c r="Q11" s="15">
        <f>[29]Total_Reports!B313</f>
        <v>0</v>
      </c>
      <c r="R11" s="15">
        <f>[29]Total_Reports!C313</f>
        <v>0</v>
      </c>
      <c r="S11" s="15">
        <f>[29]Total_Reports!D313</f>
        <v>0</v>
      </c>
      <c r="T11" s="15">
        <f>[29]Total_Reports!E313</f>
        <v>0</v>
      </c>
      <c r="U11" s="15">
        <f>[29]Total_Reports!F313</f>
        <v>0</v>
      </c>
      <c r="V11" s="15">
        <f>[29]Total_Reports!G313</f>
        <v>0</v>
      </c>
      <c r="W11" s="15">
        <f>[29]Total_Reports!H313</f>
        <v>0</v>
      </c>
      <c r="X11" s="15">
        <f>[29]Total_Reports!I313</f>
        <v>0</v>
      </c>
      <c r="Y11" s="15">
        <f>[29]Total_Reports!J313</f>
        <v>0</v>
      </c>
      <c r="Z11" s="15">
        <f>[29]Total_Reports!K313</f>
        <v>0</v>
      </c>
      <c r="AA11" s="15">
        <f>[29]Total_Reports!L313</f>
        <v>0</v>
      </c>
      <c r="AB11" s="7">
        <f>[29]Total_Reports!L313</f>
        <v>0</v>
      </c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16</v>
      </c>
      <c r="D12" s="3" t="s">
        <v>147</v>
      </c>
      <c r="E12" s="3" t="s">
        <v>148</v>
      </c>
      <c r="F12" s="3" t="s">
        <v>149</v>
      </c>
      <c r="G12" s="3" t="s">
        <v>150</v>
      </c>
      <c r="H12" s="3" t="s">
        <v>151</v>
      </c>
      <c r="I12" s="3" t="s">
        <v>152</v>
      </c>
      <c r="J12" s="3" t="s">
        <v>153</v>
      </c>
      <c r="K12" s="3" t="s">
        <v>154</v>
      </c>
      <c r="L12" s="3" t="s">
        <v>155</v>
      </c>
      <c r="M12" s="3" t="s">
        <v>156</v>
      </c>
      <c r="N12" s="3" t="s">
        <v>157</v>
      </c>
      <c r="O12" s="6" t="s">
        <v>157</v>
      </c>
      <c r="P12" s="3" t="str">
        <f>'Model names'!C10</f>
        <v>Liberty</v>
      </c>
      <c r="Q12" s="15">
        <f>[31]Total_Reports!B313</f>
        <v>0</v>
      </c>
      <c r="R12" s="15">
        <f>[31]Total_Reports!C313</f>
        <v>0</v>
      </c>
      <c r="S12" s="15">
        <f>[31]Total_Reports!D313</f>
        <v>0</v>
      </c>
      <c r="T12" s="15">
        <f>[31]Total_Reports!E313</f>
        <v>0</v>
      </c>
      <c r="U12" s="15">
        <f>[31]Total_Reports!F313</f>
        <v>0</v>
      </c>
      <c r="V12" s="15">
        <f>[31]Total_Reports!G313</f>
        <v>0</v>
      </c>
      <c r="W12" s="15">
        <f>[31]Total_Reports!H313</f>
        <v>0</v>
      </c>
      <c r="X12" s="15">
        <f>[31]Total_Reports!I313</f>
        <v>0</v>
      </c>
      <c r="Y12" s="15">
        <f>[31]Total_Reports!J313</f>
        <v>0</v>
      </c>
      <c r="Z12" s="15">
        <f>[31]Total_Reports!K313</f>
        <v>0</v>
      </c>
      <c r="AA12" s="15">
        <f>[31]Total_Reports!L313</f>
        <v>0</v>
      </c>
      <c r="AB12" s="7">
        <f>[31]Total_Reports!L313</f>
        <v>0</v>
      </c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16</v>
      </c>
      <c r="D13" s="3" t="s">
        <v>147</v>
      </c>
      <c r="E13" s="3" t="s">
        <v>148</v>
      </c>
      <c r="F13" s="3" t="s">
        <v>149</v>
      </c>
      <c r="G13" s="3" t="s">
        <v>150</v>
      </c>
      <c r="H13" s="3" t="s">
        <v>151</v>
      </c>
      <c r="I13" s="3" t="s">
        <v>152</v>
      </c>
      <c r="J13" s="3" t="s">
        <v>153</v>
      </c>
      <c r="K13" s="3" t="s">
        <v>154</v>
      </c>
      <c r="L13" s="3" t="s">
        <v>155</v>
      </c>
      <c r="M13" s="3" t="s">
        <v>156</v>
      </c>
      <c r="N13" s="3" t="s">
        <v>157</v>
      </c>
      <c r="O13" s="6" t="s">
        <v>157</v>
      </c>
      <c r="P13" s="3" t="str">
        <f>'Model names'!C11</f>
        <v>LW</v>
      </c>
      <c r="Q13" s="15">
        <f>[33]Total_Reports!B313</f>
        <v>0</v>
      </c>
      <c r="R13" s="15">
        <f>[33]Total_Reports!C313</f>
        <v>0</v>
      </c>
      <c r="S13" s="15">
        <f>[33]Total_Reports!D313</f>
        <v>0</v>
      </c>
      <c r="T13" s="15">
        <f>[33]Total_Reports!E313</f>
        <v>0</v>
      </c>
      <c r="U13" s="15">
        <f>[33]Total_Reports!F313</f>
        <v>0</v>
      </c>
      <c r="V13" s="15">
        <f>[33]Total_Reports!G313</f>
        <v>0</v>
      </c>
      <c r="W13" s="15">
        <f>[33]Total_Reports!H313</f>
        <v>0</v>
      </c>
      <c r="X13" s="15">
        <f>[33]Total_Reports!I313</f>
        <v>0</v>
      </c>
      <c r="Y13" s="15">
        <f>[33]Total_Reports!J313</f>
        <v>0</v>
      </c>
      <c r="Z13" s="15">
        <f>[33]Total_Reports!K313</f>
        <v>0</v>
      </c>
      <c r="AA13" s="15">
        <f>[33]Total_Reports!L313</f>
        <v>0</v>
      </c>
      <c r="AB13" s="7">
        <f>[33]Total_Reports!L313</f>
        <v>0</v>
      </c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tr">
        <f t="shared" ref="C14:C30" si="0">IF(B14=0,"",C13)</f>
        <v>Total_Reports</v>
      </c>
      <c r="D14" s="3" t="str">
        <f t="shared" ref="D14:O29" si="1">IF(C14=0,"",D13)</f>
        <v>B313</v>
      </c>
      <c r="E14" s="3" t="str">
        <f t="shared" si="1"/>
        <v>C313</v>
      </c>
      <c r="F14" s="3" t="str">
        <f t="shared" si="1"/>
        <v>D313</v>
      </c>
      <c r="G14" s="3" t="str">
        <f t="shared" si="1"/>
        <v>E313</v>
      </c>
      <c r="H14" s="3" t="str">
        <f t="shared" si="1"/>
        <v>F313</v>
      </c>
      <c r="I14" s="3" t="str">
        <f t="shared" si="1"/>
        <v>G313</v>
      </c>
      <c r="J14" s="3" t="str">
        <f t="shared" si="1"/>
        <v>H313</v>
      </c>
      <c r="K14" s="3" t="str">
        <f t="shared" si="1"/>
        <v>I313</v>
      </c>
      <c r="L14" s="3" t="str">
        <f t="shared" si="1"/>
        <v>J313</v>
      </c>
      <c r="M14" s="3" t="str">
        <f t="shared" si="1"/>
        <v>K313</v>
      </c>
      <c r="N14" s="3" t="str">
        <f t="shared" si="1"/>
        <v>L313</v>
      </c>
      <c r="O14" s="6" t="str">
        <f t="shared" si="1"/>
        <v>L313</v>
      </c>
      <c r="P14" s="3" t="str">
        <f>'Model names'!C12</f>
        <v>MD</v>
      </c>
      <c r="Q14" s="15">
        <f>[35]Total_Reports!B313</f>
        <v>0</v>
      </c>
      <c r="R14" s="15">
        <f>[35]Total_Reports!C313</f>
        <v>1300</v>
      </c>
      <c r="S14" s="15">
        <f>[35]Total_Reports!D313</f>
        <v>1300</v>
      </c>
      <c r="T14" s="15">
        <f>[35]Total_Reports!E313</f>
        <v>1300</v>
      </c>
      <c r="U14" s="15">
        <f>[35]Total_Reports!F313</f>
        <v>1300</v>
      </c>
      <c r="V14" s="15">
        <f>[35]Total_Reports!G313</f>
        <v>1300</v>
      </c>
      <c r="W14" s="15">
        <f>[35]Total_Reports!H313</f>
        <v>1300</v>
      </c>
      <c r="X14" s="15">
        <f>[35]Total_Reports!I313</f>
        <v>1300</v>
      </c>
      <c r="Y14" s="15">
        <f>[35]Total_Reports!J313</f>
        <v>1300</v>
      </c>
      <c r="Z14" s="15">
        <f>[35]Total_Reports!K313</f>
        <v>1300</v>
      </c>
      <c r="AA14" s="15">
        <f>[35]Total_Reports!L313</f>
        <v>1300</v>
      </c>
      <c r="AB14" s="7">
        <f>[35]Total_Reports!L313</f>
        <v>1300</v>
      </c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tr">
        <f t="shared" si="0"/>
        <v>Total_Reports</v>
      </c>
      <c r="D15" s="3" t="str">
        <f t="shared" si="1"/>
        <v>B313</v>
      </c>
      <c r="E15" s="3" t="str">
        <f t="shared" si="1"/>
        <v>C313</v>
      </c>
      <c r="F15" s="3" t="str">
        <f t="shared" si="1"/>
        <v>D313</v>
      </c>
      <c r="G15" s="3" t="str">
        <f t="shared" si="1"/>
        <v>E313</v>
      </c>
      <c r="H15" s="3" t="str">
        <f t="shared" si="1"/>
        <v>F313</v>
      </c>
      <c r="I15" s="3" t="str">
        <f t="shared" si="1"/>
        <v>G313</v>
      </c>
      <c r="J15" s="3" t="str">
        <f t="shared" si="1"/>
        <v>H313</v>
      </c>
      <c r="K15" s="3" t="str">
        <f t="shared" si="1"/>
        <v>I313</v>
      </c>
      <c r="L15" s="3" t="str">
        <f t="shared" si="1"/>
        <v>J313</v>
      </c>
      <c r="M15" s="3" t="str">
        <f t="shared" si="1"/>
        <v>K313</v>
      </c>
      <c r="N15" s="3" t="str">
        <f t="shared" si="1"/>
        <v>L313</v>
      </c>
      <c r="O15" s="6" t="str">
        <f t="shared" si="1"/>
        <v>L313</v>
      </c>
      <c r="P15" s="3" t="str">
        <f>'Model names'!C13</f>
        <v>MI</v>
      </c>
      <c r="Q15" s="15">
        <f>[37]Total_Reports!B313</f>
        <v>0</v>
      </c>
      <c r="R15" s="15">
        <f>[37]Total_Reports!C313</f>
        <v>0</v>
      </c>
      <c r="S15" s="15">
        <f>[37]Total_Reports!D313</f>
        <v>0</v>
      </c>
      <c r="T15" s="15">
        <f>[37]Total_Reports!E313</f>
        <v>0</v>
      </c>
      <c r="U15" s="15">
        <f>[37]Total_Reports!F313</f>
        <v>0</v>
      </c>
      <c r="V15" s="15">
        <f>[37]Total_Reports!G313</f>
        <v>0</v>
      </c>
      <c r="W15" s="15">
        <f>[37]Total_Reports!H313</f>
        <v>0</v>
      </c>
      <c r="X15" s="15">
        <f>[37]Total_Reports!I313</f>
        <v>0</v>
      </c>
      <c r="Y15" s="15">
        <f>[37]Total_Reports!J313</f>
        <v>0</v>
      </c>
      <c r="Z15" s="15">
        <f>[37]Total_Reports!K313</f>
        <v>0</v>
      </c>
      <c r="AA15" s="15">
        <f>[37]Total_Reports!L313</f>
        <v>0</v>
      </c>
      <c r="AB15" s="7">
        <f>[37]Total_Reports!L313</f>
        <v>0</v>
      </c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tr">
        <f t="shared" si="0"/>
        <v>Total_Reports</v>
      </c>
      <c r="D16" s="3" t="str">
        <f t="shared" si="1"/>
        <v>B313</v>
      </c>
      <c r="E16" s="3" t="str">
        <f t="shared" si="1"/>
        <v>C313</v>
      </c>
      <c r="F16" s="3" t="str">
        <f t="shared" si="1"/>
        <v>D313</v>
      </c>
      <c r="G16" s="3" t="str">
        <f t="shared" si="1"/>
        <v>E313</v>
      </c>
      <c r="H16" s="3" t="str">
        <f t="shared" si="1"/>
        <v>F313</v>
      </c>
      <c r="I16" s="3" t="str">
        <f t="shared" si="1"/>
        <v>G313</v>
      </c>
      <c r="J16" s="3" t="str">
        <f t="shared" si="1"/>
        <v>H313</v>
      </c>
      <c r="K16" s="3" t="str">
        <f t="shared" si="1"/>
        <v>I313</v>
      </c>
      <c r="L16" s="3" t="str">
        <f t="shared" si="1"/>
        <v>J313</v>
      </c>
      <c r="M16" s="3" t="str">
        <f t="shared" si="1"/>
        <v>K313</v>
      </c>
      <c r="N16" s="3" t="str">
        <f t="shared" si="1"/>
        <v>L313</v>
      </c>
      <c r="O16" s="6" t="str">
        <f t="shared" si="1"/>
        <v>L313</v>
      </c>
      <c r="P16" s="3" t="str">
        <f>'Model names'!C14</f>
        <v>MO</v>
      </c>
      <c r="Q16" s="15">
        <f>[39]Total_Reports!B313</f>
        <v>0</v>
      </c>
      <c r="R16" s="15">
        <f>[39]Total_Reports!C313</f>
        <v>0</v>
      </c>
      <c r="S16" s="15">
        <f>[39]Total_Reports!D313</f>
        <v>0</v>
      </c>
      <c r="T16" s="15">
        <f>[39]Total_Reports!E313</f>
        <v>0</v>
      </c>
      <c r="U16" s="15">
        <f>[39]Total_Reports!F313</f>
        <v>0</v>
      </c>
      <c r="V16" s="15">
        <f>[39]Total_Reports!G313</f>
        <v>0</v>
      </c>
      <c r="W16" s="15">
        <f>[39]Total_Reports!H313</f>
        <v>0</v>
      </c>
      <c r="X16" s="15">
        <f>[39]Total_Reports!I313</f>
        <v>0</v>
      </c>
      <c r="Y16" s="15">
        <f>[39]Total_Reports!J313</f>
        <v>0</v>
      </c>
      <c r="Z16" s="15">
        <f>[39]Total_Reports!K313</f>
        <v>0</v>
      </c>
      <c r="AA16" s="15">
        <f>[39]Total_Reports!L313</f>
        <v>0</v>
      </c>
      <c r="AB16" s="7">
        <f>[39]Total_Reports!L313</f>
        <v>0</v>
      </c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tr">
        <f t="shared" si="0"/>
        <v>Total_Reports</v>
      </c>
      <c r="D17" s="3" t="str">
        <f t="shared" si="1"/>
        <v>B313</v>
      </c>
      <c r="E17" s="3" t="str">
        <f t="shared" si="1"/>
        <v>C313</v>
      </c>
      <c r="F17" s="3" t="str">
        <f t="shared" si="1"/>
        <v>D313</v>
      </c>
      <c r="G17" s="3" t="str">
        <f t="shared" si="1"/>
        <v>E313</v>
      </c>
      <c r="H17" s="3" t="str">
        <f t="shared" si="1"/>
        <v>F313</v>
      </c>
      <c r="I17" s="3" t="str">
        <f t="shared" si="1"/>
        <v>G313</v>
      </c>
      <c r="J17" s="3" t="str">
        <f t="shared" si="1"/>
        <v>H313</v>
      </c>
      <c r="K17" s="3" t="str">
        <f t="shared" si="1"/>
        <v>I313</v>
      </c>
      <c r="L17" s="3" t="str">
        <f t="shared" si="1"/>
        <v>J313</v>
      </c>
      <c r="M17" s="3" t="str">
        <f t="shared" si="1"/>
        <v>K313</v>
      </c>
      <c r="N17" s="3" t="str">
        <f t="shared" si="1"/>
        <v>L313</v>
      </c>
      <c r="O17" s="6" t="str">
        <f t="shared" si="1"/>
        <v>L313</v>
      </c>
      <c r="P17" s="3" t="str">
        <f>'Model names'!C15</f>
        <v>NJ</v>
      </c>
      <c r="Q17" s="15">
        <f>[41]Total_Reports!B313</f>
        <v>35313.239601432892</v>
      </c>
      <c r="R17" s="15">
        <f>[41]Total_Reports!C313</f>
        <v>31113.723952875513</v>
      </c>
      <c r="S17" s="15">
        <f>[41]Total_Reports!D313</f>
        <v>31113.723952875513</v>
      </c>
      <c r="T17" s="15">
        <f>[41]Total_Reports!E313</f>
        <v>31113.723952875513</v>
      </c>
      <c r="U17" s="15">
        <f>[41]Total_Reports!F313</f>
        <v>31113.723952875513</v>
      </c>
      <c r="V17" s="15">
        <f>[41]Total_Reports!G313</f>
        <v>31113.723952875513</v>
      </c>
      <c r="W17" s="15">
        <f>[41]Total_Reports!H313</f>
        <v>31113.723952875513</v>
      </c>
      <c r="X17" s="15">
        <f>[41]Total_Reports!I313</f>
        <v>31113.723952875513</v>
      </c>
      <c r="Y17" s="15">
        <f>[41]Total_Reports!J313</f>
        <v>31113.723952875513</v>
      </c>
      <c r="Z17" s="15">
        <f>[41]Total_Reports!K313</f>
        <v>31113.723952875513</v>
      </c>
      <c r="AA17" s="15">
        <f>[41]Total_Reports!L313</f>
        <v>31113.723952875513</v>
      </c>
      <c r="AB17" s="7">
        <f>[41]Total_Reports!L313</f>
        <v>31113.723952875513</v>
      </c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tr">
        <f t="shared" si="0"/>
        <v>Total_Reports</v>
      </c>
      <c r="D18" s="3" t="str">
        <f t="shared" si="1"/>
        <v>B313</v>
      </c>
      <c r="E18" s="3" t="str">
        <f t="shared" si="1"/>
        <v>C313</v>
      </c>
      <c r="F18" s="3" t="str">
        <f t="shared" si="1"/>
        <v>D313</v>
      </c>
      <c r="G18" s="3" t="str">
        <f t="shared" si="1"/>
        <v>E313</v>
      </c>
      <c r="H18" s="3" t="str">
        <f t="shared" si="1"/>
        <v>F313</v>
      </c>
      <c r="I18" s="3" t="str">
        <f t="shared" si="1"/>
        <v>G313</v>
      </c>
      <c r="J18" s="3" t="str">
        <f t="shared" si="1"/>
        <v>H313</v>
      </c>
      <c r="K18" s="3" t="str">
        <f t="shared" si="1"/>
        <v>I313</v>
      </c>
      <c r="L18" s="3" t="str">
        <f t="shared" si="1"/>
        <v>J313</v>
      </c>
      <c r="M18" s="3" t="str">
        <f t="shared" si="1"/>
        <v>K313</v>
      </c>
      <c r="N18" s="3" t="str">
        <f t="shared" si="1"/>
        <v>L313</v>
      </c>
      <c r="O18" s="6" t="str">
        <f t="shared" si="1"/>
        <v>L313</v>
      </c>
      <c r="P18" s="3" t="str">
        <f>'Model names'!C16</f>
        <v>NY</v>
      </c>
      <c r="Q18" s="15">
        <f>[43]Total_Reports!B313</f>
        <v>0</v>
      </c>
      <c r="R18" s="15">
        <f>[43]Total_Reports!C313</f>
        <v>0</v>
      </c>
      <c r="S18" s="15">
        <f>[43]Total_Reports!D313</f>
        <v>0</v>
      </c>
      <c r="T18" s="15">
        <f>[43]Total_Reports!E313</f>
        <v>0</v>
      </c>
      <c r="U18" s="15">
        <f>[43]Total_Reports!F313</f>
        <v>0</v>
      </c>
      <c r="V18" s="15">
        <f>[43]Total_Reports!G313</f>
        <v>0</v>
      </c>
      <c r="W18" s="15">
        <f>[43]Total_Reports!H313</f>
        <v>0</v>
      </c>
      <c r="X18" s="15">
        <f>[43]Total_Reports!I313</f>
        <v>0</v>
      </c>
      <c r="Y18" s="15">
        <f>[43]Total_Reports!J313</f>
        <v>0</v>
      </c>
      <c r="Z18" s="15">
        <f>[43]Total_Reports!K313</f>
        <v>0</v>
      </c>
      <c r="AA18" s="15">
        <f>[43]Total_Reports!L313</f>
        <v>0</v>
      </c>
      <c r="AB18" s="7">
        <f>[43]Total_Reports!L313</f>
        <v>0</v>
      </c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tr">
        <f t="shared" si="0"/>
        <v>Total_Reports</v>
      </c>
      <c r="D19" s="3" t="str">
        <f t="shared" si="1"/>
        <v>B313</v>
      </c>
      <c r="E19" s="3" t="str">
        <f t="shared" si="1"/>
        <v>C313</v>
      </c>
      <c r="F19" s="3" t="str">
        <f t="shared" si="1"/>
        <v>D313</v>
      </c>
      <c r="G19" s="3" t="str">
        <f t="shared" si="1"/>
        <v>E313</v>
      </c>
      <c r="H19" s="3" t="str">
        <f t="shared" si="1"/>
        <v>F313</v>
      </c>
      <c r="I19" s="3" t="str">
        <f t="shared" si="1"/>
        <v>G313</v>
      </c>
      <c r="J19" s="3" t="str">
        <f t="shared" si="1"/>
        <v>H313</v>
      </c>
      <c r="K19" s="3" t="str">
        <f t="shared" si="1"/>
        <v>I313</v>
      </c>
      <c r="L19" s="3" t="str">
        <f t="shared" si="1"/>
        <v>J313</v>
      </c>
      <c r="M19" s="3" t="str">
        <f t="shared" si="1"/>
        <v>K313</v>
      </c>
      <c r="N19" s="3" t="str">
        <f t="shared" si="1"/>
        <v>L313</v>
      </c>
      <c r="O19" s="6" t="str">
        <f t="shared" si="1"/>
        <v>L313</v>
      </c>
      <c r="P19" s="3" t="str">
        <f>'Model names'!C17</f>
        <v>PA</v>
      </c>
      <c r="Q19" s="15">
        <f>[45]Total_Reports!B313</f>
        <v>152259.77072</v>
      </c>
      <c r="R19" s="15">
        <f>[45]Total_Reports!C313</f>
        <v>42674.933930000043</v>
      </c>
      <c r="S19" s="15">
        <f>[45]Total_Reports!D313</f>
        <v>42674.933930000043</v>
      </c>
      <c r="T19" s="15">
        <f>[45]Total_Reports!E313</f>
        <v>42674.933930000043</v>
      </c>
      <c r="U19" s="15">
        <f>[45]Total_Reports!F313</f>
        <v>42674.933930000043</v>
      </c>
      <c r="V19" s="15">
        <f>[45]Total_Reports!G313</f>
        <v>42674.933930000043</v>
      </c>
      <c r="W19" s="15">
        <f>[45]Total_Reports!H313</f>
        <v>42674.933930000043</v>
      </c>
      <c r="X19" s="15">
        <f>[45]Total_Reports!I313</f>
        <v>42674.933930000043</v>
      </c>
      <c r="Y19" s="15">
        <f>[45]Total_Reports!J313</f>
        <v>42674.933930000043</v>
      </c>
      <c r="Z19" s="15">
        <f>[45]Total_Reports!K313</f>
        <v>42674.933930000043</v>
      </c>
      <c r="AA19" s="15">
        <f>[45]Total_Reports!L313</f>
        <v>42674.933930000043</v>
      </c>
      <c r="AB19" s="7">
        <f>[45]Total_Reports!L313</f>
        <v>42674.933930000043</v>
      </c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tr">
        <f t="shared" si="0"/>
        <v>Total_Reports</v>
      </c>
      <c r="D20" s="3" t="str">
        <f t="shared" si="1"/>
        <v>B313</v>
      </c>
      <c r="E20" s="3" t="str">
        <f t="shared" si="1"/>
        <v>C313</v>
      </c>
      <c r="F20" s="3" t="str">
        <f t="shared" si="1"/>
        <v>D313</v>
      </c>
      <c r="G20" s="3" t="str">
        <f t="shared" si="1"/>
        <v>E313</v>
      </c>
      <c r="H20" s="3" t="str">
        <f t="shared" si="1"/>
        <v>F313</v>
      </c>
      <c r="I20" s="3" t="str">
        <f t="shared" si="1"/>
        <v>G313</v>
      </c>
      <c r="J20" s="3" t="str">
        <f t="shared" si="1"/>
        <v>H313</v>
      </c>
      <c r="K20" s="3" t="str">
        <f t="shared" si="1"/>
        <v>I313</v>
      </c>
      <c r="L20" s="3" t="str">
        <f t="shared" si="1"/>
        <v>J313</v>
      </c>
      <c r="M20" s="3" t="str">
        <f t="shared" si="1"/>
        <v>K313</v>
      </c>
      <c r="N20" s="3" t="str">
        <f t="shared" si="1"/>
        <v>L313</v>
      </c>
      <c r="O20" s="6" t="str">
        <f t="shared" si="1"/>
        <v>L313</v>
      </c>
      <c r="P20" s="3" t="str">
        <f>'Model names'!C18</f>
        <v>TN</v>
      </c>
      <c r="Q20" s="15">
        <f>[47]Total_Reports!B313</f>
        <v>0</v>
      </c>
      <c r="R20" s="15">
        <f>[47]Total_Reports!C313</f>
        <v>19000</v>
      </c>
      <c r="S20" s="15">
        <f>[47]Total_Reports!D313</f>
        <v>19000</v>
      </c>
      <c r="T20" s="15">
        <f>[47]Total_Reports!E313</f>
        <v>19000</v>
      </c>
      <c r="U20" s="15">
        <f>[47]Total_Reports!F313</f>
        <v>19000</v>
      </c>
      <c r="V20" s="15">
        <f>[47]Total_Reports!G313</f>
        <v>19000</v>
      </c>
      <c r="W20" s="15">
        <f>[47]Total_Reports!H313</f>
        <v>19000</v>
      </c>
      <c r="X20" s="15">
        <f>[47]Total_Reports!I313</f>
        <v>19000</v>
      </c>
      <c r="Y20" s="15">
        <f>[47]Total_Reports!J313</f>
        <v>19000</v>
      </c>
      <c r="Z20" s="15">
        <f>[47]Total_Reports!K313</f>
        <v>19000</v>
      </c>
      <c r="AA20" s="15">
        <f>[47]Total_Reports!L313</f>
        <v>19000</v>
      </c>
      <c r="AB20" s="7">
        <f>[47]Total_Reports!L313</f>
        <v>19000</v>
      </c>
      <c r="AC20" s="8"/>
      <c r="AG20" s="5"/>
      <c r="AH20" s="5"/>
    </row>
    <row r="21" spans="1:34" hidden="1" outlineLevel="1" x14ac:dyDescent="0.3">
      <c r="A21" s="2" t="str">
        <f t="shared" ref="A21:A33" si="2">IF(B21=0,"",A20)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tr">
        <f t="shared" si="0"/>
        <v>Total_Reports</v>
      </c>
      <c r="D21" s="3" t="str">
        <f t="shared" si="1"/>
        <v>B313</v>
      </c>
      <c r="E21" s="3" t="str">
        <f t="shared" si="1"/>
        <v>C313</v>
      </c>
      <c r="F21" s="3" t="str">
        <f t="shared" si="1"/>
        <v>D313</v>
      </c>
      <c r="G21" s="3" t="str">
        <f t="shared" si="1"/>
        <v>E313</v>
      </c>
      <c r="H21" s="3" t="str">
        <f t="shared" si="1"/>
        <v>F313</v>
      </c>
      <c r="I21" s="3" t="str">
        <f t="shared" si="1"/>
        <v>G313</v>
      </c>
      <c r="J21" s="3" t="str">
        <f t="shared" si="1"/>
        <v>H313</v>
      </c>
      <c r="K21" s="3" t="str">
        <f t="shared" si="1"/>
        <v>I313</v>
      </c>
      <c r="L21" s="3" t="str">
        <f t="shared" si="1"/>
        <v>J313</v>
      </c>
      <c r="M21" s="3" t="str">
        <f t="shared" si="1"/>
        <v>K313</v>
      </c>
      <c r="N21" s="3" t="str">
        <f t="shared" si="1"/>
        <v>L313</v>
      </c>
      <c r="O21" s="6" t="str">
        <f t="shared" si="1"/>
        <v>L313</v>
      </c>
      <c r="P21" s="3" t="str">
        <f>'Model names'!C19</f>
        <v>VA</v>
      </c>
      <c r="Q21" s="15">
        <f>[49]Total_Reports!B313</f>
        <v>3790</v>
      </c>
      <c r="R21" s="15">
        <f>[49]Total_Reports!C313</f>
        <v>14290</v>
      </c>
      <c r="S21" s="15">
        <f>[49]Total_Reports!D313</f>
        <v>14290</v>
      </c>
      <c r="T21" s="15">
        <f>[49]Total_Reports!E313</f>
        <v>14290</v>
      </c>
      <c r="U21" s="15">
        <f>[49]Total_Reports!F313</f>
        <v>14290</v>
      </c>
      <c r="V21" s="15">
        <f>[49]Total_Reports!G313</f>
        <v>14290</v>
      </c>
      <c r="W21" s="15">
        <f>[49]Total_Reports!H313</f>
        <v>14290</v>
      </c>
      <c r="X21" s="15">
        <f>[49]Total_Reports!I313</f>
        <v>14290</v>
      </c>
      <c r="Y21" s="15">
        <f>[49]Total_Reports!J313</f>
        <v>14290</v>
      </c>
      <c r="Z21" s="15">
        <f>[49]Total_Reports!K313</f>
        <v>14290</v>
      </c>
      <c r="AA21" s="15">
        <f>[49]Total_Reports!L313</f>
        <v>14290</v>
      </c>
      <c r="AB21" s="7">
        <f>[49]Total_Reports!L313</f>
        <v>14290</v>
      </c>
      <c r="AC21" s="8"/>
    </row>
    <row r="22" spans="1:34" hidden="1" outlineLevel="1" x14ac:dyDescent="0.3">
      <c r="A22" s="2" t="str">
        <f t="shared" si="2"/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tr">
        <f t="shared" si="0"/>
        <v>Total_Reports</v>
      </c>
      <c r="D22" s="3" t="str">
        <f t="shared" si="1"/>
        <v>B313</v>
      </c>
      <c r="E22" s="3" t="str">
        <f t="shared" si="1"/>
        <v>C313</v>
      </c>
      <c r="F22" s="3" t="str">
        <f t="shared" si="1"/>
        <v>D313</v>
      </c>
      <c r="G22" s="3" t="str">
        <f t="shared" si="1"/>
        <v>E313</v>
      </c>
      <c r="H22" s="3" t="str">
        <f t="shared" si="1"/>
        <v>F313</v>
      </c>
      <c r="I22" s="3" t="str">
        <f t="shared" si="1"/>
        <v>G313</v>
      </c>
      <c r="J22" s="3" t="str">
        <f t="shared" si="1"/>
        <v>H313</v>
      </c>
      <c r="K22" s="3" t="str">
        <f t="shared" si="1"/>
        <v>I313</v>
      </c>
      <c r="L22" s="3" t="str">
        <f t="shared" si="1"/>
        <v>J313</v>
      </c>
      <c r="M22" s="3" t="str">
        <f t="shared" si="1"/>
        <v>K313</v>
      </c>
      <c r="N22" s="3" t="str">
        <f t="shared" si="1"/>
        <v>L313</v>
      </c>
      <c r="O22" s="6" t="str">
        <f t="shared" si="1"/>
        <v>L313</v>
      </c>
      <c r="P22" s="3" t="str">
        <f>'Model names'!C20</f>
        <v>WV</v>
      </c>
      <c r="Q22" s="15">
        <f>[51]Total_Reports!B313</f>
        <v>96.251999999999995</v>
      </c>
      <c r="R22" s="15">
        <f>[51]Total_Reports!C313</f>
        <v>30596.252</v>
      </c>
      <c r="S22" s="15">
        <f>[51]Total_Reports!D313</f>
        <v>30596.252</v>
      </c>
      <c r="T22" s="15">
        <f>[51]Total_Reports!E313</f>
        <v>30596.252</v>
      </c>
      <c r="U22" s="15">
        <f>[51]Total_Reports!F313</f>
        <v>30596.252</v>
      </c>
      <c r="V22" s="15">
        <f>[51]Total_Reports!G313</f>
        <v>30596.252</v>
      </c>
      <c r="W22" s="15">
        <f>[51]Total_Reports!H313</f>
        <v>30596.252</v>
      </c>
      <c r="X22" s="15">
        <f>[51]Total_Reports!I313</f>
        <v>30596.252</v>
      </c>
      <c r="Y22" s="15">
        <f>[51]Total_Reports!J313</f>
        <v>30596.252</v>
      </c>
      <c r="Z22" s="15">
        <f>[51]Total_Reports!K313</f>
        <v>30596.252</v>
      </c>
      <c r="AA22" s="15">
        <f>[51]Total_Reports!L313</f>
        <v>30596.252</v>
      </c>
      <c r="AB22" s="7">
        <f>[51]Total_Reports!L313</f>
        <v>30596.252</v>
      </c>
      <c r="AC22" s="8"/>
    </row>
    <row r="23" spans="1:34" hidden="1" outlineLevel="1" x14ac:dyDescent="0.3">
      <c r="A23" s="2" t="str">
        <f t="shared" si="2"/>
        <v/>
      </c>
      <c r="B23" s="3">
        <f>'Model names'!B21</f>
        <v>0</v>
      </c>
      <c r="C23" s="3" t="str">
        <f t="shared" si="0"/>
        <v/>
      </c>
      <c r="D23" s="3" t="str">
        <f t="shared" si="1"/>
        <v>B313</v>
      </c>
      <c r="E23" s="3" t="str">
        <f t="shared" si="1"/>
        <v>C313</v>
      </c>
      <c r="F23" s="3" t="str">
        <f t="shared" si="1"/>
        <v>D313</v>
      </c>
      <c r="G23" s="3" t="str">
        <f t="shared" si="1"/>
        <v>E313</v>
      </c>
      <c r="H23" s="3" t="str">
        <f t="shared" si="1"/>
        <v>F313</v>
      </c>
      <c r="I23" s="3" t="str">
        <f t="shared" si="1"/>
        <v>G313</v>
      </c>
      <c r="J23" s="3" t="str">
        <f t="shared" si="1"/>
        <v>H313</v>
      </c>
      <c r="K23" s="3" t="str">
        <f t="shared" si="1"/>
        <v>I313</v>
      </c>
      <c r="L23" s="3" t="str">
        <f t="shared" si="1"/>
        <v>J313</v>
      </c>
      <c r="M23" s="3" t="str">
        <f t="shared" si="1"/>
        <v>K313</v>
      </c>
      <c r="N23" s="3" t="str">
        <f t="shared" si="1"/>
        <v>L313</v>
      </c>
      <c r="O23" s="6" t="str">
        <f t="shared" si="1"/>
        <v>L313</v>
      </c>
      <c r="P23" s="18">
        <f>'Model names'!C21</f>
        <v>0</v>
      </c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8"/>
      <c r="AC23" s="8"/>
    </row>
    <row r="24" spans="1:34" hidden="1" outlineLevel="1" x14ac:dyDescent="0.3">
      <c r="A24" s="2" t="e">
        <f t="shared" si="2"/>
        <v>#REF!</v>
      </c>
      <c r="B24" s="3" t="e">
        <f>'Model names'!#REF!</f>
        <v>#REF!</v>
      </c>
      <c r="C24" s="3" t="e">
        <f t="shared" si="0"/>
        <v>#REF!</v>
      </c>
      <c r="D24" s="3" t="e">
        <f t="shared" si="1"/>
        <v>#REF!</v>
      </c>
      <c r="E24" s="3" t="e">
        <f t="shared" si="1"/>
        <v>#REF!</v>
      </c>
      <c r="F24" s="3" t="e">
        <f t="shared" si="1"/>
        <v>#REF!</v>
      </c>
      <c r="G24" s="3" t="e">
        <f t="shared" si="1"/>
        <v>#REF!</v>
      </c>
      <c r="H24" s="3" t="e">
        <f t="shared" si="1"/>
        <v>#REF!</v>
      </c>
      <c r="I24" s="3" t="e">
        <f t="shared" si="1"/>
        <v>#REF!</v>
      </c>
      <c r="J24" s="3" t="e">
        <f t="shared" si="1"/>
        <v>#REF!</v>
      </c>
      <c r="K24" s="3" t="e">
        <f t="shared" si="1"/>
        <v>#REF!</v>
      </c>
      <c r="L24" s="3" t="e">
        <f t="shared" si="1"/>
        <v>#REF!</v>
      </c>
      <c r="M24" s="3" t="e">
        <f t="shared" si="1"/>
        <v>#REF!</v>
      </c>
      <c r="N24" s="3" t="e">
        <f t="shared" si="1"/>
        <v>#REF!</v>
      </c>
      <c r="O24" s="6" t="e">
        <f t="shared" si="1"/>
        <v>#REF!</v>
      </c>
      <c r="P24" s="18" t="e">
        <f>'Model names'!#REF!</f>
        <v>#REF!</v>
      </c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8"/>
      <c r="AC24" s="8"/>
    </row>
    <row r="25" spans="1:34" hidden="1" outlineLevel="1" x14ac:dyDescent="0.3">
      <c r="A25" s="2" t="e">
        <f t="shared" si="2"/>
        <v>#REF!</v>
      </c>
      <c r="B25" s="3" t="e">
        <f>'Model names'!#REF!</f>
        <v>#REF!</v>
      </c>
      <c r="C25" s="3" t="e">
        <f t="shared" si="0"/>
        <v>#REF!</v>
      </c>
      <c r="D25" s="3" t="e">
        <f t="shared" si="1"/>
        <v>#REF!</v>
      </c>
      <c r="E25" s="3" t="e">
        <f t="shared" si="1"/>
        <v>#REF!</v>
      </c>
      <c r="F25" s="3" t="e">
        <f t="shared" si="1"/>
        <v>#REF!</v>
      </c>
      <c r="G25" s="3" t="e">
        <f t="shared" si="1"/>
        <v>#REF!</v>
      </c>
      <c r="H25" s="3" t="e">
        <f t="shared" si="1"/>
        <v>#REF!</v>
      </c>
      <c r="I25" s="3" t="e">
        <f t="shared" si="1"/>
        <v>#REF!</v>
      </c>
      <c r="J25" s="3" t="e">
        <f t="shared" si="1"/>
        <v>#REF!</v>
      </c>
      <c r="K25" s="3" t="e">
        <f t="shared" si="1"/>
        <v>#REF!</v>
      </c>
      <c r="L25" s="3" t="e">
        <f t="shared" si="1"/>
        <v>#REF!</v>
      </c>
      <c r="M25" s="3" t="e">
        <f t="shared" si="1"/>
        <v>#REF!</v>
      </c>
      <c r="N25" s="3" t="e">
        <f t="shared" si="1"/>
        <v>#REF!</v>
      </c>
      <c r="O25" s="6" t="e">
        <f t="shared" si="1"/>
        <v>#REF!</v>
      </c>
      <c r="P25" s="18" t="e">
        <f>'Model names'!#REF!</f>
        <v>#REF!</v>
      </c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8"/>
      <c r="AC25" s="8"/>
    </row>
    <row r="26" spans="1:34" hidden="1" outlineLevel="1" x14ac:dyDescent="0.3">
      <c r="A26" s="2" t="e">
        <f t="shared" si="2"/>
        <v>#REF!</v>
      </c>
      <c r="B26" s="3" t="e">
        <f>'Model names'!#REF!</f>
        <v>#REF!</v>
      </c>
      <c r="C26" s="3" t="e">
        <f t="shared" si="0"/>
        <v>#REF!</v>
      </c>
      <c r="D26" s="3" t="e">
        <f t="shared" si="1"/>
        <v>#REF!</v>
      </c>
      <c r="E26" s="3" t="e">
        <f t="shared" si="1"/>
        <v>#REF!</v>
      </c>
      <c r="F26" s="3" t="e">
        <f t="shared" si="1"/>
        <v>#REF!</v>
      </c>
      <c r="G26" s="3" t="e">
        <f t="shared" si="1"/>
        <v>#REF!</v>
      </c>
      <c r="H26" s="3" t="e">
        <f t="shared" si="1"/>
        <v>#REF!</v>
      </c>
      <c r="I26" s="3" t="e">
        <f t="shared" si="1"/>
        <v>#REF!</v>
      </c>
      <c r="J26" s="3" t="e">
        <f t="shared" si="1"/>
        <v>#REF!</v>
      </c>
      <c r="K26" s="3" t="e">
        <f t="shared" si="1"/>
        <v>#REF!</v>
      </c>
      <c r="L26" s="3" t="e">
        <f t="shared" si="1"/>
        <v>#REF!</v>
      </c>
      <c r="M26" s="3" t="e">
        <f t="shared" si="1"/>
        <v>#REF!</v>
      </c>
      <c r="N26" s="3" t="e">
        <f t="shared" si="1"/>
        <v>#REF!</v>
      </c>
      <c r="O26" s="6" t="e">
        <f t="shared" si="1"/>
        <v>#REF!</v>
      </c>
      <c r="P26" s="18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2" t="e">
        <f t="shared" si="2"/>
        <v>#REF!</v>
      </c>
      <c r="B27" s="3" t="e">
        <f>'Model names'!#REF!</f>
        <v>#REF!</v>
      </c>
      <c r="C27" s="3" t="e">
        <f t="shared" si="0"/>
        <v>#REF!</v>
      </c>
      <c r="D27" s="3" t="e">
        <f t="shared" si="1"/>
        <v>#REF!</v>
      </c>
      <c r="E27" s="3" t="e">
        <f t="shared" si="1"/>
        <v>#REF!</v>
      </c>
      <c r="F27" s="3" t="e">
        <f t="shared" si="1"/>
        <v>#REF!</v>
      </c>
      <c r="G27" s="3" t="e">
        <f t="shared" si="1"/>
        <v>#REF!</v>
      </c>
      <c r="H27" s="3" t="e">
        <f t="shared" si="1"/>
        <v>#REF!</v>
      </c>
      <c r="I27" s="3" t="e">
        <f t="shared" si="1"/>
        <v>#REF!</v>
      </c>
      <c r="J27" s="3" t="e">
        <f t="shared" si="1"/>
        <v>#REF!</v>
      </c>
      <c r="K27" s="3" t="e">
        <f t="shared" si="1"/>
        <v>#REF!</v>
      </c>
      <c r="L27" s="3" t="e">
        <f t="shared" si="1"/>
        <v>#REF!</v>
      </c>
      <c r="M27" s="3" t="e">
        <f t="shared" si="1"/>
        <v>#REF!</v>
      </c>
      <c r="N27" s="3" t="e">
        <f t="shared" si="1"/>
        <v>#REF!</v>
      </c>
      <c r="O27" s="6" t="e">
        <f t="shared" si="1"/>
        <v>#REF!</v>
      </c>
      <c r="P27" s="18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2" t="e">
        <f t="shared" si="2"/>
        <v>#REF!</v>
      </c>
      <c r="B28" s="3" t="e">
        <f>'Model names'!#REF!</f>
        <v>#REF!</v>
      </c>
      <c r="C28" s="3" t="e">
        <f t="shared" si="0"/>
        <v>#REF!</v>
      </c>
      <c r="D28" s="3" t="e">
        <f t="shared" si="1"/>
        <v>#REF!</v>
      </c>
      <c r="E28" s="3" t="e">
        <f t="shared" si="1"/>
        <v>#REF!</v>
      </c>
      <c r="F28" s="3" t="e">
        <f t="shared" si="1"/>
        <v>#REF!</v>
      </c>
      <c r="G28" s="3" t="e">
        <f t="shared" si="1"/>
        <v>#REF!</v>
      </c>
      <c r="H28" s="3" t="e">
        <f t="shared" si="1"/>
        <v>#REF!</v>
      </c>
      <c r="I28" s="3" t="e">
        <f t="shared" si="1"/>
        <v>#REF!</v>
      </c>
      <c r="J28" s="3" t="e">
        <f t="shared" si="1"/>
        <v>#REF!</v>
      </c>
      <c r="K28" s="3" t="e">
        <f t="shared" si="1"/>
        <v>#REF!</v>
      </c>
      <c r="L28" s="3" t="e">
        <f t="shared" si="1"/>
        <v>#REF!</v>
      </c>
      <c r="M28" s="3" t="e">
        <f t="shared" si="1"/>
        <v>#REF!</v>
      </c>
      <c r="N28" s="3" t="e">
        <f t="shared" si="1"/>
        <v>#REF!</v>
      </c>
      <c r="O28" s="6" t="e">
        <f t="shared" si="1"/>
        <v>#REF!</v>
      </c>
      <c r="P28" s="18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2" t="e">
        <f t="shared" si="2"/>
        <v>#REF!</v>
      </c>
      <c r="B29" s="3" t="e">
        <f>'Model names'!#REF!</f>
        <v>#REF!</v>
      </c>
      <c r="C29" s="3" t="e">
        <f t="shared" si="0"/>
        <v>#REF!</v>
      </c>
      <c r="D29" s="3" t="e">
        <f t="shared" si="1"/>
        <v>#REF!</v>
      </c>
      <c r="E29" s="3" t="e">
        <f t="shared" si="1"/>
        <v>#REF!</v>
      </c>
      <c r="F29" s="3" t="e">
        <f t="shared" si="1"/>
        <v>#REF!</v>
      </c>
      <c r="G29" s="3" t="e">
        <f t="shared" si="1"/>
        <v>#REF!</v>
      </c>
      <c r="H29" s="3" t="e">
        <f t="shared" si="1"/>
        <v>#REF!</v>
      </c>
      <c r="I29" s="3" t="e">
        <f t="shared" si="1"/>
        <v>#REF!</v>
      </c>
      <c r="J29" s="3" t="e">
        <f t="shared" si="1"/>
        <v>#REF!</v>
      </c>
      <c r="K29" s="3" t="e">
        <f t="shared" si="1"/>
        <v>#REF!</v>
      </c>
      <c r="L29" s="3" t="e">
        <f t="shared" si="1"/>
        <v>#REF!</v>
      </c>
      <c r="M29" s="3" t="e">
        <f t="shared" si="1"/>
        <v>#REF!</v>
      </c>
      <c r="N29" s="3" t="e">
        <f t="shared" si="1"/>
        <v>#REF!</v>
      </c>
      <c r="O29" s="6" t="e">
        <f t="shared" si="1"/>
        <v>#REF!</v>
      </c>
      <c r="P29" s="18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2" t="e">
        <f t="shared" si="2"/>
        <v>#REF!</v>
      </c>
      <c r="B30" s="3" t="e">
        <f>'Model names'!#REF!</f>
        <v>#REF!</v>
      </c>
      <c r="C30" s="3" t="e">
        <f t="shared" si="0"/>
        <v>#REF!</v>
      </c>
      <c r="D30" s="3" t="e">
        <f t="shared" ref="D30:O30" si="3">IF(C30=0,"",D29)</f>
        <v>#REF!</v>
      </c>
      <c r="E30" s="3" t="e">
        <f t="shared" si="3"/>
        <v>#REF!</v>
      </c>
      <c r="F30" s="3" t="e">
        <f t="shared" si="3"/>
        <v>#REF!</v>
      </c>
      <c r="G30" s="3" t="e">
        <f t="shared" si="3"/>
        <v>#REF!</v>
      </c>
      <c r="H30" s="3" t="e">
        <f t="shared" si="3"/>
        <v>#REF!</v>
      </c>
      <c r="I30" s="3" t="e">
        <f t="shared" si="3"/>
        <v>#REF!</v>
      </c>
      <c r="J30" s="3" t="e">
        <f t="shared" si="3"/>
        <v>#REF!</v>
      </c>
      <c r="K30" s="3" t="e">
        <f t="shared" si="3"/>
        <v>#REF!</v>
      </c>
      <c r="L30" s="3" t="e">
        <f t="shared" si="3"/>
        <v>#REF!</v>
      </c>
      <c r="M30" s="3" t="e">
        <f t="shared" si="3"/>
        <v>#REF!</v>
      </c>
      <c r="N30" s="3" t="e">
        <f t="shared" si="3"/>
        <v>#REF!</v>
      </c>
      <c r="O30" s="6" t="e">
        <f t="shared" si="3"/>
        <v>#REF!</v>
      </c>
      <c r="P30" s="18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2" t="e">
        <f t="shared" si="2"/>
        <v>#REF!</v>
      </c>
      <c r="B31" s="3" t="e">
        <f>'Model names'!#REF!</f>
        <v>#REF!</v>
      </c>
      <c r="C31" s="3" t="e">
        <f t="shared" ref="C31:O33" si="4">IF(B31=0,"",C30)</f>
        <v>#REF!</v>
      </c>
      <c r="D31" s="3" t="e">
        <f t="shared" si="4"/>
        <v>#REF!</v>
      </c>
      <c r="E31" s="3" t="e">
        <f t="shared" si="4"/>
        <v>#REF!</v>
      </c>
      <c r="F31" s="3" t="e">
        <f t="shared" si="4"/>
        <v>#REF!</v>
      </c>
      <c r="G31" s="3" t="e">
        <f t="shared" si="4"/>
        <v>#REF!</v>
      </c>
      <c r="H31" s="3" t="e">
        <f t="shared" si="4"/>
        <v>#REF!</v>
      </c>
      <c r="I31" s="3" t="e">
        <f t="shared" si="4"/>
        <v>#REF!</v>
      </c>
      <c r="J31" s="3" t="e">
        <f t="shared" si="4"/>
        <v>#REF!</v>
      </c>
      <c r="K31" s="3" t="e">
        <f t="shared" si="4"/>
        <v>#REF!</v>
      </c>
      <c r="L31" s="3" t="e">
        <f t="shared" si="4"/>
        <v>#REF!</v>
      </c>
      <c r="M31" s="3" t="e">
        <f t="shared" si="4"/>
        <v>#REF!</v>
      </c>
      <c r="N31" s="3" t="e">
        <f t="shared" si="4"/>
        <v>#REF!</v>
      </c>
      <c r="O31" s="6" t="e">
        <f t="shared" si="4"/>
        <v>#REF!</v>
      </c>
      <c r="P31" s="18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2" t="e">
        <f t="shared" si="2"/>
        <v>#REF!</v>
      </c>
      <c r="B32" s="3" t="e">
        <f>'Model names'!#REF!</f>
        <v>#REF!</v>
      </c>
      <c r="C32" s="3" t="e">
        <f t="shared" si="4"/>
        <v>#REF!</v>
      </c>
      <c r="D32" s="3" t="e">
        <f t="shared" si="4"/>
        <v>#REF!</v>
      </c>
      <c r="E32" s="3" t="e">
        <f t="shared" si="4"/>
        <v>#REF!</v>
      </c>
      <c r="F32" s="3" t="e">
        <f t="shared" si="4"/>
        <v>#REF!</v>
      </c>
      <c r="G32" s="3" t="e">
        <f t="shared" si="4"/>
        <v>#REF!</v>
      </c>
      <c r="H32" s="3" t="e">
        <f t="shared" si="4"/>
        <v>#REF!</v>
      </c>
      <c r="I32" s="3" t="e">
        <f t="shared" si="4"/>
        <v>#REF!</v>
      </c>
      <c r="J32" s="3" t="e">
        <f t="shared" si="4"/>
        <v>#REF!</v>
      </c>
      <c r="K32" s="3" t="e">
        <f t="shared" si="4"/>
        <v>#REF!</v>
      </c>
      <c r="L32" s="3" t="e">
        <f t="shared" si="4"/>
        <v>#REF!</v>
      </c>
      <c r="M32" s="3" t="e">
        <f t="shared" si="4"/>
        <v>#REF!</v>
      </c>
      <c r="N32" s="3" t="e">
        <f t="shared" si="4"/>
        <v>#REF!</v>
      </c>
      <c r="O32" s="6" t="e">
        <f t="shared" si="4"/>
        <v>#REF!</v>
      </c>
      <c r="P32" s="18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2" t="e">
        <f t="shared" si="2"/>
        <v>#REF!</v>
      </c>
      <c r="B33" s="3" t="e">
        <f>'Model names'!#REF!</f>
        <v>#REF!</v>
      </c>
      <c r="C33" s="3" t="e">
        <f t="shared" si="4"/>
        <v>#REF!</v>
      </c>
      <c r="D33" s="3" t="e">
        <f t="shared" si="4"/>
        <v>#REF!</v>
      </c>
      <c r="E33" s="3" t="e">
        <f t="shared" si="4"/>
        <v>#REF!</v>
      </c>
      <c r="F33" s="3" t="e">
        <f t="shared" si="4"/>
        <v>#REF!</v>
      </c>
      <c r="G33" s="3" t="e">
        <f t="shared" si="4"/>
        <v>#REF!</v>
      </c>
      <c r="H33" s="3" t="e">
        <f t="shared" si="4"/>
        <v>#REF!</v>
      </c>
      <c r="I33" s="3" t="e">
        <f t="shared" si="4"/>
        <v>#REF!</v>
      </c>
      <c r="J33" s="3" t="e">
        <f t="shared" si="4"/>
        <v>#REF!</v>
      </c>
      <c r="K33" s="3" t="e">
        <f t="shared" si="4"/>
        <v>#REF!</v>
      </c>
      <c r="L33" s="3" t="e">
        <f t="shared" si="4"/>
        <v>#REF!</v>
      </c>
      <c r="M33" s="3" t="e">
        <f t="shared" si="4"/>
        <v>#REF!</v>
      </c>
      <c r="N33" s="3" t="e">
        <f t="shared" si="4"/>
        <v>#REF!</v>
      </c>
      <c r="O33" s="6" t="e">
        <f t="shared" si="4"/>
        <v>#REF!</v>
      </c>
      <c r="P33" s="18" t="e">
        <f>'Model names'!#REF!</f>
        <v>#REF!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>
      <c r="Q34" s="26">
        <f>SUM(Q4:Q20)</f>
        <v>311390.96788143291</v>
      </c>
      <c r="R34" s="27">
        <f t="shared" ref="R34:AA34" si="5">SUM(R4:R20)</f>
        <v>117133.44252287556</v>
      </c>
      <c r="S34" s="27">
        <f t="shared" si="5"/>
        <v>117133.44252287556</v>
      </c>
      <c r="T34" s="27">
        <f t="shared" si="5"/>
        <v>117133.44252287556</v>
      </c>
      <c r="U34" s="27">
        <f t="shared" si="5"/>
        <v>117133.44252287556</v>
      </c>
      <c r="V34" s="27">
        <f t="shared" si="5"/>
        <v>117133.44252287556</v>
      </c>
      <c r="W34" s="27">
        <f t="shared" si="5"/>
        <v>117133.44252287556</v>
      </c>
      <c r="X34" s="27">
        <f t="shared" si="5"/>
        <v>117133.44252287556</v>
      </c>
      <c r="Y34" s="27">
        <f t="shared" si="5"/>
        <v>117133.44252287556</v>
      </c>
      <c r="Z34" s="27">
        <f t="shared" si="5"/>
        <v>117133.44252287556</v>
      </c>
      <c r="AA34" s="28">
        <f t="shared" si="5"/>
        <v>117133.44252287556</v>
      </c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17" priority="3" operator="equal">
      <formula>"On"</formula>
    </cfRule>
  </conditionalFormatting>
  <conditionalFormatting sqref="V21:AA23">
    <cfRule type="cellIs" dxfId="16" priority="2" operator="equal">
      <formula>"On"</formula>
    </cfRule>
  </conditionalFormatting>
  <conditionalFormatting sqref="R21:R23">
    <cfRule type="cellIs" dxfId="15" priority="1" operator="equal">
      <formula>"On"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21">
          <controlPr autoLine="0" r:id="rId4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30721" r:id="rId3" name="CommandButton2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0070C0"/>
  </sheetPr>
  <dimension ref="A1:AH40"/>
  <sheetViews>
    <sheetView topLeftCell="C1" zoomScale="70" zoomScaleNormal="70" workbookViewId="0">
      <selection activeCell="Q15" sqref="Q15:AA15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12</v>
      </c>
      <c r="P2" s="1">
        <v>12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names'!I1</f>
        <v>2017</v>
      </c>
      <c r="R3" s="2">
        <f>'Model names'!J1</f>
        <v>2018</v>
      </c>
      <c r="S3" s="2">
        <f>'Model names'!K1</f>
        <v>2019</v>
      </c>
      <c r="T3" s="2">
        <f>'Model names'!L1</f>
        <v>2020</v>
      </c>
      <c r="U3" s="2">
        <f>'Model names'!M1</f>
        <v>2021</v>
      </c>
      <c r="V3" s="2">
        <f>'Model names'!N1</f>
        <v>2022</v>
      </c>
      <c r="W3" s="2">
        <f>'Model names'!O1</f>
        <v>2023</v>
      </c>
      <c r="X3" s="2">
        <f>'Model names'!P1</f>
        <v>2024</v>
      </c>
      <c r="Y3" s="2">
        <f>'Model names'!Q1</f>
        <v>2025</v>
      </c>
      <c r="Z3" s="2">
        <f>'Model names'!R1</f>
        <v>2026</v>
      </c>
      <c r="AA3" s="2">
        <f>'Model names'!S1</f>
        <v>2027</v>
      </c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16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  <c r="L4" s="3" t="s">
        <v>166</v>
      </c>
      <c r="M4" s="3" t="s">
        <v>167</v>
      </c>
      <c r="N4" s="3" t="s">
        <v>168</v>
      </c>
      <c r="O4" s="6" t="s">
        <v>168</v>
      </c>
      <c r="P4" s="3" t="str">
        <f>'Model names'!C2</f>
        <v>BFW</v>
      </c>
      <c r="Q4" s="15">
        <f>[15]Total_Reports!B312</f>
        <v>448.26355031443211</v>
      </c>
      <c r="R4" s="15">
        <f>[15]Total_Reports!C312</f>
        <v>451.21597765097005</v>
      </c>
      <c r="S4" s="15">
        <f ca="1">[15]Total_Reports!D312</f>
        <v>443.89960954343258</v>
      </c>
      <c r="T4" s="15">
        <f ca="1">[15]Total_Reports!E312</f>
        <v>436.13839611687786</v>
      </c>
      <c r="U4" s="15">
        <f ca="1">[15]Total_Reports!F312</f>
        <v>428.59842806449331</v>
      </c>
      <c r="V4" s="15">
        <f ca="1">[15]Total_Reports!G312</f>
        <v>423.90828354028793</v>
      </c>
      <c r="W4" s="15">
        <f ca="1">[15]Total_Reports!H312</f>
        <v>402.33714513437394</v>
      </c>
      <c r="X4" s="15">
        <f ca="1">[15]Total_Reports!I312</f>
        <v>387.70093713242426</v>
      </c>
      <c r="Y4" s="15">
        <f ca="1">[15]Total_Reports!J312</f>
        <v>374.36847426014043</v>
      </c>
      <c r="Z4" s="15">
        <f ca="1">[15]Total_Reports!K312</f>
        <v>369.93092120673532</v>
      </c>
      <c r="AA4" s="15">
        <f ca="1">[15]Total_Reports!L312</f>
        <v>366.15877945603256</v>
      </c>
      <c r="AB4" s="7">
        <f ca="1">[15]Total_Reports!L312</f>
        <v>366.15877945603256</v>
      </c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16</v>
      </c>
      <c r="D5" s="3" t="s">
        <v>158</v>
      </c>
      <c r="E5" s="3" t="s">
        <v>159</v>
      </c>
      <c r="F5" s="3" t="s">
        <v>160</v>
      </c>
      <c r="G5" s="3" t="s">
        <v>161</v>
      </c>
      <c r="H5" s="3" t="s">
        <v>162</v>
      </c>
      <c r="I5" s="3" t="s">
        <v>163</v>
      </c>
      <c r="J5" s="3" t="s">
        <v>164</v>
      </c>
      <c r="K5" s="3" t="s">
        <v>165</v>
      </c>
      <c r="L5" s="3" t="s">
        <v>166</v>
      </c>
      <c r="M5" s="3" t="s">
        <v>167</v>
      </c>
      <c r="N5" s="3" t="s">
        <v>168</v>
      </c>
      <c r="O5" s="6" t="s">
        <v>168</v>
      </c>
      <c r="P5" s="18" t="str">
        <f>'Model names'!C3</f>
        <v>CA</v>
      </c>
      <c r="Q5" s="15">
        <f>[17]Total_Reports!B312</f>
        <v>53752.010273710861</v>
      </c>
      <c r="R5" s="15">
        <f>[17]Total_Reports!C312</f>
        <v>27526.180312179342</v>
      </c>
      <c r="S5" s="15">
        <f>[17]Total_Reports!D312</f>
        <v>77104.744725365686</v>
      </c>
      <c r="T5" s="15">
        <f>[17]Total_Reports!E312</f>
        <v>63255.543807192626</v>
      </c>
      <c r="U5" s="15">
        <f>[17]Total_Reports!F312</f>
        <v>73732.039875569128</v>
      </c>
      <c r="V5" s="15">
        <f>[17]Total_Reports!G312</f>
        <v>70645.410964047012</v>
      </c>
      <c r="W5" s="15">
        <f>[17]Total_Reports!H312</f>
        <v>70725.746147527607</v>
      </c>
      <c r="X5" s="15">
        <f>[17]Total_Reports!I312</f>
        <v>70177.30324999927</v>
      </c>
      <c r="Y5" s="15">
        <f>[17]Total_Reports!J312</f>
        <v>68376.852657188443</v>
      </c>
      <c r="Z5" s="15">
        <f>[17]Total_Reports!K312</f>
        <v>67106.735782769276</v>
      </c>
      <c r="AA5" s="15">
        <f>[17]Total_Reports!L312</f>
        <v>65531.061014969091</v>
      </c>
      <c r="AB5" s="7">
        <f>[17]Total_Reports!L312</f>
        <v>65531.061014969091</v>
      </c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16</v>
      </c>
      <c r="D6" s="3" t="s">
        <v>158</v>
      </c>
      <c r="E6" s="3" t="s">
        <v>159</v>
      </c>
      <c r="F6" s="3" t="s">
        <v>160</v>
      </c>
      <c r="G6" s="3" t="s">
        <v>161</v>
      </c>
      <c r="H6" s="3" t="s">
        <v>162</v>
      </c>
      <c r="I6" s="3" t="s">
        <v>163</v>
      </c>
      <c r="J6" s="3" t="s">
        <v>164</v>
      </c>
      <c r="K6" s="3" t="s">
        <v>165</v>
      </c>
      <c r="L6" s="3" t="s">
        <v>166</v>
      </c>
      <c r="M6" s="3" t="s">
        <v>167</v>
      </c>
      <c r="N6" s="3" t="s">
        <v>168</v>
      </c>
      <c r="O6" s="6" t="s">
        <v>168</v>
      </c>
      <c r="P6" s="3" t="str">
        <f>'Model names'!C4</f>
        <v>ETS</v>
      </c>
      <c r="Q6" s="15">
        <f>[19]Total_Reports!B312</f>
        <v>468.9519431918564</v>
      </c>
      <c r="R6" s="15">
        <f>[19]Total_Reports!C312</f>
        <v>41.765943191856323</v>
      </c>
      <c r="S6" s="15">
        <f>[19]Total_Reports!D312</f>
        <v>0</v>
      </c>
      <c r="T6" s="15">
        <f>[19]Total_Reports!E312</f>
        <v>0</v>
      </c>
      <c r="U6" s="15">
        <f>[19]Total_Reports!F312</f>
        <v>0</v>
      </c>
      <c r="V6" s="15">
        <f>[19]Total_Reports!G312</f>
        <v>0</v>
      </c>
      <c r="W6" s="15">
        <f>[19]Total_Reports!H312</f>
        <v>0</v>
      </c>
      <c r="X6" s="15">
        <f>[19]Total_Reports!I312</f>
        <v>0</v>
      </c>
      <c r="Y6" s="15">
        <f>[19]Total_Reports!J312</f>
        <v>0</v>
      </c>
      <c r="Z6" s="15">
        <f>[19]Total_Reports!K312</f>
        <v>0</v>
      </c>
      <c r="AA6" s="15">
        <f>[19]Total_Reports!L312</f>
        <v>0</v>
      </c>
      <c r="AB6" s="7">
        <f>[19]Total_Reports!L312</f>
        <v>0</v>
      </c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16</v>
      </c>
      <c r="D7" s="3" t="s">
        <v>158</v>
      </c>
      <c r="E7" s="3" t="s">
        <v>159</v>
      </c>
      <c r="F7" s="3" t="s">
        <v>160</v>
      </c>
      <c r="G7" s="3" t="s">
        <v>161</v>
      </c>
      <c r="H7" s="3" t="s">
        <v>162</v>
      </c>
      <c r="I7" s="3" t="s">
        <v>163</v>
      </c>
      <c r="J7" s="3" t="s">
        <v>164</v>
      </c>
      <c r="K7" s="3" t="s">
        <v>165</v>
      </c>
      <c r="L7" s="3" t="s">
        <v>166</v>
      </c>
      <c r="M7" s="3" t="s">
        <v>167</v>
      </c>
      <c r="N7" s="3" t="s">
        <v>168</v>
      </c>
      <c r="O7" s="6" t="s">
        <v>168</v>
      </c>
      <c r="P7" s="18" t="str">
        <f>'Model names'!C5</f>
        <v>HI</v>
      </c>
      <c r="Q7" s="15">
        <f>[21]Total_Reports!B312</f>
        <v>1494.0519567069412</v>
      </c>
      <c r="R7" s="15">
        <f>[21]Total_Reports!C312</f>
        <v>2963.4213291152332</v>
      </c>
      <c r="S7" s="15">
        <f>[21]Total_Reports!D312</f>
        <v>1598.6174418099645</v>
      </c>
      <c r="T7" s="15">
        <f>[21]Total_Reports!E312</f>
        <v>588.52716666666629</v>
      </c>
      <c r="U7" s="15">
        <f>[21]Total_Reports!F312</f>
        <v>118.52716666666629</v>
      </c>
      <c r="V7" s="15">
        <f>[21]Total_Reports!G312</f>
        <v>118.52716666666629</v>
      </c>
      <c r="W7" s="15">
        <f>[21]Total_Reports!H312</f>
        <v>886.45466521367337</v>
      </c>
      <c r="X7" s="15">
        <f>[21]Total_Reports!I312</f>
        <v>713.06918162360762</v>
      </c>
      <c r="Y7" s="15">
        <f>[21]Total_Reports!J312</f>
        <v>460.44046534614267</v>
      </c>
      <c r="Z7" s="15">
        <f>[21]Total_Reports!K312</f>
        <v>168.44046534614267</v>
      </c>
      <c r="AA7" s="15">
        <f>[21]Total_Reports!L312</f>
        <v>538.69195402987634</v>
      </c>
      <c r="AB7" s="7">
        <f>[21]Total_Reports!L312</f>
        <v>538.69195402987634</v>
      </c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16</v>
      </c>
      <c r="D8" s="3" t="s">
        <v>158</v>
      </c>
      <c r="E8" s="3" t="s">
        <v>159</v>
      </c>
      <c r="F8" s="3" t="s">
        <v>160</v>
      </c>
      <c r="G8" s="3" t="s">
        <v>161</v>
      </c>
      <c r="H8" s="3" t="s">
        <v>162</v>
      </c>
      <c r="I8" s="3" t="s">
        <v>163</v>
      </c>
      <c r="J8" s="3" t="s">
        <v>164</v>
      </c>
      <c r="K8" s="3" t="s">
        <v>165</v>
      </c>
      <c r="L8" s="3" t="s">
        <v>166</v>
      </c>
      <c r="M8" s="3" t="s">
        <v>167</v>
      </c>
      <c r="N8" s="3" t="s">
        <v>168</v>
      </c>
      <c r="O8" s="6" t="s">
        <v>168</v>
      </c>
      <c r="P8" s="18" t="str">
        <f>'Model names'!C6</f>
        <v>IA</v>
      </c>
      <c r="Q8" s="15">
        <f>[23]Total_Reports!B312</f>
        <v>8362.1136553522319</v>
      </c>
      <c r="R8" s="15">
        <f>[23]Total_Reports!C312</f>
        <v>9910.8665986035994</v>
      </c>
      <c r="S8" s="15">
        <f>[23]Total_Reports!D312</f>
        <v>12596.577214636663</v>
      </c>
      <c r="T8" s="15">
        <f>[23]Total_Reports!E312</f>
        <v>11795.503166500381</v>
      </c>
      <c r="U8" s="15">
        <f>[23]Total_Reports!F312</f>
        <v>11170.604428101871</v>
      </c>
      <c r="V8" s="15">
        <f>[23]Total_Reports!G312</f>
        <v>10843.223208799353</v>
      </c>
      <c r="W8" s="15">
        <f>[23]Total_Reports!H312</f>
        <v>10458.27140783424</v>
      </c>
      <c r="X8" s="15">
        <f>[23]Total_Reports!I312</f>
        <v>11941.230828706877</v>
      </c>
      <c r="Y8" s="15">
        <f>[23]Total_Reports!J312</f>
        <v>11325.615750531542</v>
      </c>
      <c r="Z8" s="15">
        <f>[23]Total_Reports!K312</f>
        <v>10454.004725652618</v>
      </c>
      <c r="AA8" s="15">
        <f>[23]Total_Reports!L312</f>
        <v>10472.584041434078</v>
      </c>
      <c r="AB8" s="7">
        <f>[23]Total_Reports!L312</f>
        <v>10472.584041434078</v>
      </c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16</v>
      </c>
      <c r="D9" s="3" t="s">
        <v>158</v>
      </c>
      <c r="E9" s="3" t="s">
        <v>159</v>
      </c>
      <c r="F9" s="3" t="s">
        <v>160</v>
      </c>
      <c r="G9" s="3" t="s">
        <v>161</v>
      </c>
      <c r="H9" s="3" t="s">
        <v>162</v>
      </c>
      <c r="I9" s="3" t="s">
        <v>163</v>
      </c>
      <c r="J9" s="3" t="s">
        <v>164</v>
      </c>
      <c r="K9" s="3" t="s">
        <v>165</v>
      </c>
      <c r="L9" s="3" t="s">
        <v>166</v>
      </c>
      <c r="M9" s="3" t="s">
        <v>167</v>
      </c>
      <c r="N9" s="3" t="s">
        <v>168</v>
      </c>
      <c r="O9" s="6" t="s">
        <v>168</v>
      </c>
      <c r="P9" s="3" t="str">
        <f>'Model names'!C7</f>
        <v>IL</v>
      </c>
      <c r="Q9" s="15">
        <f>[25]Total_Reports!B312</f>
        <v>60177.966987686203</v>
      </c>
      <c r="R9" s="15">
        <f>[25]Total_Reports!C312</f>
        <v>124801.61741352813</v>
      </c>
      <c r="S9" s="15">
        <f>[25]Total_Reports!D312</f>
        <v>142886.44898998798</v>
      </c>
      <c r="T9" s="15">
        <f>[25]Total_Reports!E312</f>
        <v>153228.42494358338</v>
      </c>
      <c r="U9" s="15">
        <f>[25]Total_Reports!F312</f>
        <v>150960.20418314758</v>
      </c>
      <c r="V9" s="15">
        <f>[25]Total_Reports!G312</f>
        <v>136384.52308007076</v>
      </c>
      <c r="W9" s="15">
        <f>[25]Total_Reports!H312</f>
        <v>136389.68467641596</v>
      </c>
      <c r="X9" s="15">
        <f>[25]Total_Reports!I312</f>
        <v>147761.32339849786</v>
      </c>
      <c r="Y9" s="15">
        <f>[25]Total_Reports!J312</f>
        <v>135311.89044879246</v>
      </c>
      <c r="Z9" s="15">
        <f>[25]Total_Reports!K312</f>
        <v>135082.89279569895</v>
      </c>
      <c r="AA9" s="15">
        <f>[25]Total_Reports!L312</f>
        <v>134156.9372385953</v>
      </c>
      <c r="AB9" s="7">
        <f>[25]Total_Reports!L312</f>
        <v>134156.9372385953</v>
      </c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16</v>
      </c>
      <c r="D10" s="3" t="s">
        <v>158</v>
      </c>
      <c r="E10" s="3" t="s">
        <v>159</v>
      </c>
      <c r="F10" s="3" t="s">
        <v>160</v>
      </c>
      <c r="G10" s="3" t="s">
        <v>161</v>
      </c>
      <c r="H10" s="3" t="s">
        <v>162</v>
      </c>
      <c r="I10" s="3" t="s">
        <v>163</v>
      </c>
      <c r="J10" s="3" t="s">
        <v>164</v>
      </c>
      <c r="K10" s="3" t="s">
        <v>165</v>
      </c>
      <c r="L10" s="3" t="s">
        <v>166</v>
      </c>
      <c r="M10" s="3" t="s">
        <v>167</v>
      </c>
      <c r="N10" s="3" t="s">
        <v>168</v>
      </c>
      <c r="O10" s="6" t="s">
        <v>168</v>
      </c>
      <c r="P10" s="3" t="str">
        <f>'Model names'!C8</f>
        <v>IN</v>
      </c>
      <c r="Q10" s="15">
        <f>[27]Total_Reports!B312</f>
        <v>45604.448314077898</v>
      </c>
      <c r="R10" s="15">
        <f>[27]Total_Reports!C312</f>
        <v>61784.806858614102</v>
      </c>
      <c r="S10" s="15">
        <f>[27]Total_Reports!D312</f>
        <v>85871.175521028461</v>
      </c>
      <c r="T10" s="15">
        <f>[27]Total_Reports!E312</f>
        <v>81750.391805732841</v>
      </c>
      <c r="U10" s="15">
        <f>[27]Total_Reports!F312</f>
        <v>78109.211895998931</v>
      </c>
      <c r="V10" s="15">
        <f>[27]Total_Reports!G312</f>
        <v>73391.583810002339</v>
      </c>
      <c r="W10" s="15">
        <f>[27]Total_Reports!H312</f>
        <v>71578.163146042905</v>
      </c>
      <c r="X10" s="15">
        <f>[27]Total_Reports!I312</f>
        <v>67812.92040432326</v>
      </c>
      <c r="Y10" s="15">
        <f>[27]Total_Reports!J312</f>
        <v>65393.011902361039</v>
      </c>
      <c r="Z10" s="15">
        <f>[27]Total_Reports!K312</f>
        <v>63287.680868874711</v>
      </c>
      <c r="AA10" s="15">
        <f>[27]Total_Reports!L312</f>
        <v>60410.111322977551</v>
      </c>
      <c r="AB10" s="7">
        <f>[27]Total_Reports!L312</f>
        <v>60410.111322977551</v>
      </c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16</v>
      </c>
      <c r="D11" s="3" t="s">
        <v>158</v>
      </c>
      <c r="E11" s="3" t="s">
        <v>159</v>
      </c>
      <c r="F11" s="3" t="s">
        <v>160</v>
      </c>
      <c r="G11" s="3" t="s">
        <v>161</v>
      </c>
      <c r="H11" s="3" t="s">
        <v>162</v>
      </c>
      <c r="I11" s="3" t="s">
        <v>163</v>
      </c>
      <c r="J11" s="3" t="s">
        <v>164</v>
      </c>
      <c r="K11" s="3" t="s">
        <v>165</v>
      </c>
      <c r="L11" s="3" t="s">
        <v>166</v>
      </c>
      <c r="M11" s="3" t="s">
        <v>167</v>
      </c>
      <c r="N11" s="3" t="s">
        <v>168</v>
      </c>
      <c r="O11" s="6" t="s">
        <v>168</v>
      </c>
      <c r="P11" s="3" t="str">
        <f>'Model names'!C9</f>
        <v>KY</v>
      </c>
      <c r="Q11" s="15">
        <f>[29]Total_Reports!B312</f>
        <v>14586.480351634404</v>
      </c>
      <c r="R11" s="15">
        <f>[29]Total_Reports!C312</f>
        <v>18155.707100399715</v>
      </c>
      <c r="S11" s="15">
        <f>[29]Total_Reports!D312</f>
        <v>17287.356017744278</v>
      </c>
      <c r="T11" s="15">
        <f>[29]Total_Reports!E312</f>
        <v>20155.2492021076</v>
      </c>
      <c r="U11" s="15">
        <f>[29]Total_Reports!F312</f>
        <v>22701.140128001403</v>
      </c>
      <c r="V11" s="15">
        <f>[29]Total_Reports!G312</f>
        <v>21038.178001310651</v>
      </c>
      <c r="W11" s="15">
        <f>[29]Total_Reports!H312</f>
        <v>19784.502549388249</v>
      </c>
      <c r="X11" s="15">
        <f>[29]Total_Reports!I312</f>
        <v>17325.648612636003</v>
      </c>
      <c r="Y11" s="15">
        <f>[29]Total_Reports!J312</f>
        <v>14981.44333418896</v>
      </c>
      <c r="Z11" s="15">
        <f>[29]Total_Reports!K312</f>
        <v>10703.686686280002</v>
      </c>
      <c r="AA11" s="15">
        <f>[29]Total_Reports!L312</f>
        <v>6561.7977305181339</v>
      </c>
      <c r="AB11" s="7">
        <f>[29]Total_Reports!L312</f>
        <v>6561.7977305181339</v>
      </c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16</v>
      </c>
      <c r="D12" s="3" t="s">
        <v>158</v>
      </c>
      <c r="E12" s="3" t="s">
        <v>159</v>
      </c>
      <c r="F12" s="3" t="s">
        <v>160</v>
      </c>
      <c r="G12" s="3" t="s">
        <v>161</v>
      </c>
      <c r="H12" s="3" t="s">
        <v>162</v>
      </c>
      <c r="I12" s="3" t="s">
        <v>163</v>
      </c>
      <c r="J12" s="3" t="s">
        <v>164</v>
      </c>
      <c r="K12" s="3" t="s">
        <v>165</v>
      </c>
      <c r="L12" s="3" t="s">
        <v>166</v>
      </c>
      <c r="M12" s="3" t="s">
        <v>167</v>
      </c>
      <c r="N12" s="3" t="s">
        <v>168</v>
      </c>
      <c r="O12" s="6" t="s">
        <v>168</v>
      </c>
      <c r="P12" s="3" t="str">
        <f>'Model names'!C10</f>
        <v>Liberty</v>
      </c>
      <c r="Q12" s="15">
        <f>[31]Total_Reports!B312</f>
        <v>132.22193355695745</v>
      </c>
      <c r="R12" s="15">
        <f>[31]Total_Reports!C312</f>
        <v>132.22193355695745</v>
      </c>
      <c r="S12" s="15">
        <f>[31]Total_Reports!D312</f>
        <v>0</v>
      </c>
      <c r="T12" s="15">
        <f>[31]Total_Reports!E312</f>
        <v>0</v>
      </c>
      <c r="U12" s="15">
        <f>[31]Total_Reports!F312</f>
        <v>0</v>
      </c>
      <c r="V12" s="15">
        <f>[31]Total_Reports!G312</f>
        <v>0</v>
      </c>
      <c r="W12" s="15">
        <f>[31]Total_Reports!H312</f>
        <v>0</v>
      </c>
      <c r="X12" s="15">
        <f>[31]Total_Reports!I312</f>
        <v>0</v>
      </c>
      <c r="Y12" s="15">
        <f>[31]Total_Reports!J312</f>
        <v>0</v>
      </c>
      <c r="Z12" s="15">
        <f>[31]Total_Reports!K312</f>
        <v>0</v>
      </c>
      <c r="AA12" s="15">
        <f>[31]Total_Reports!L312</f>
        <v>0</v>
      </c>
      <c r="AB12" s="7">
        <f>[31]Total_Reports!L312</f>
        <v>0</v>
      </c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16</v>
      </c>
      <c r="D13" s="3" t="s">
        <v>158</v>
      </c>
      <c r="E13" s="3" t="s">
        <v>159</v>
      </c>
      <c r="F13" s="3" t="s">
        <v>160</v>
      </c>
      <c r="G13" s="3" t="s">
        <v>161</v>
      </c>
      <c r="H13" s="3" t="s">
        <v>162</v>
      </c>
      <c r="I13" s="3" t="s">
        <v>163</v>
      </c>
      <c r="J13" s="3" t="s">
        <v>164</v>
      </c>
      <c r="K13" s="3" t="s">
        <v>165</v>
      </c>
      <c r="L13" s="3" t="s">
        <v>166</v>
      </c>
      <c r="M13" s="3" t="s">
        <v>167</v>
      </c>
      <c r="N13" s="3" t="s">
        <v>168</v>
      </c>
      <c r="O13" s="6" t="s">
        <v>168</v>
      </c>
      <c r="P13" s="3" t="str">
        <f>'Model names'!C11</f>
        <v>LW</v>
      </c>
      <c r="Q13" s="15">
        <f>[33]Total_Reports!B312</f>
        <v>-14090.73879834256</v>
      </c>
      <c r="R13" s="15">
        <f>[33]Total_Reports!C312</f>
        <v>-15264.12269039722</v>
      </c>
      <c r="S13" s="15">
        <f>[33]Total_Reports!D312</f>
        <v>0</v>
      </c>
      <c r="T13" s="15">
        <f>[33]Total_Reports!E312</f>
        <v>0</v>
      </c>
      <c r="U13" s="15">
        <f>[33]Total_Reports!F312</f>
        <v>0</v>
      </c>
      <c r="V13" s="15">
        <f>[33]Total_Reports!G312</f>
        <v>0</v>
      </c>
      <c r="W13" s="15">
        <f>[33]Total_Reports!H312</f>
        <v>0</v>
      </c>
      <c r="X13" s="15">
        <f>[33]Total_Reports!I312</f>
        <v>0</v>
      </c>
      <c r="Y13" s="15">
        <f>[33]Total_Reports!J312</f>
        <v>0</v>
      </c>
      <c r="Z13" s="15">
        <f>[33]Total_Reports!K312</f>
        <v>0</v>
      </c>
      <c r="AA13" s="15">
        <f>[33]Total_Reports!L312</f>
        <v>0</v>
      </c>
      <c r="AB13" s="7">
        <f>[33]Total_Reports!L312</f>
        <v>0</v>
      </c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tr">
        <f t="shared" ref="C14:C30" si="0">IF(B14=0,"",C13)</f>
        <v>Total_Reports</v>
      </c>
      <c r="D14" s="3" t="str">
        <f t="shared" ref="D14:O29" si="1">IF(C14=0,"",D13)</f>
        <v>B312</v>
      </c>
      <c r="E14" s="3" t="str">
        <f t="shared" si="1"/>
        <v>C312</v>
      </c>
      <c r="F14" s="3" t="str">
        <f t="shared" si="1"/>
        <v>D312</v>
      </c>
      <c r="G14" s="3" t="str">
        <f t="shared" si="1"/>
        <v>E312</v>
      </c>
      <c r="H14" s="3" t="str">
        <f t="shared" si="1"/>
        <v>F312</v>
      </c>
      <c r="I14" s="3" t="str">
        <f t="shared" si="1"/>
        <v>G312</v>
      </c>
      <c r="J14" s="3" t="str">
        <f t="shared" si="1"/>
        <v>H312</v>
      </c>
      <c r="K14" s="3" t="str">
        <f t="shared" si="1"/>
        <v>I312</v>
      </c>
      <c r="L14" s="3" t="str">
        <f t="shared" si="1"/>
        <v>J312</v>
      </c>
      <c r="M14" s="3" t="str">
        <f t="shared" si="1"/>
        <v>K312</v>
      </c>
      <c r="N14" s="3" t="str">
        <f t="shared" si="1"/>
        <v>L312</v>
      </c>
      <c r="O14" s="6" t="str">
        <f t="shared" si="1"/>
        <v>L312</v>
      </c>
      <c r="P14" s="3" t="str">
        <f>'Model names'!C12</f>
        <v>MD</v>
      </c>
      <c r="Q14" s="15">
        <f>[35]Total_Reports!B312</f>
        <v>12546.756967782176</v>
      </c>
      <c r="R14" s="15">
        <f>[35]Total_Reports!C312</f>
        <v>10190.222654332732</v>
      </c>
      <c r="S14" s="15">
        <f>[35]Total_Reports!D312</f>
        <v>9077.6041747266518</v>
      </c>
      <c r="T14" s="15">
        <f>[35]Total_Reports!E312</f>
        <v>8315.2462692124755</v>
      </c>
      <c r="U14" s="15">
        <f>[35]Total_Reports!F312</f>
        <v>7180.0514586983063</v>
      </c>
      <c r="V14" s="15">
        <f>[35]Total_Reports!G312</f>
        <v>5485.7707612791628</v>
      </c>
      <c r="W14" s="15">
        <f>[35]Total_Reports!H312</f>
        <v>4340.1822565191715</v>
      </c>
      <c r="X14" s="15">
        <f>[35]Total_Reports!I312</f>
        <v>3475.712823770903</v>
      </c>
      <c r="Y14" s="15">
        <f>[35]Total_Reports!J312</f>
        <v>3377.1388935502246</v>
      </c>
      <c r="Z14" s="15">
        <f>[35]Total_Reports!K312</f>
        <v>3271.2208476949477</v>
      </c>
      <c r="AA14" s="15">
        <f>[35]Total_Reports!L312</f>
        <v>3175.9256150127653</v>
      </c>
      <c r="AB14" s="7">
        <f>[35]Total_Reports!L312</f>
        <v>3175.9256150127653</v>
      </c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tr">
        <f t="shared" si="0"/>
        <v>Total_Reports</v>
      </c>
      <c r="D15" s="3" t="str">
        <f t="shared" si="1"/>
        <v>B312</v>
      </c>
      <c r="E15" s="3" t="str">
        <f t="shared" si="1"/>
        <v>C312</v>
      </c>
      <c r="F15" s="3" t="str">
        <f t="shared" si="1"/>
        <v>D312</v>
      </c>
      <c r="G15" s="3" t="str">
        <f t="shared" si="1"/>
        <v>E312</v>
      </c>
      <c r="H15" s="3" t="str">
        <f t="shared" si="1"/>
        <v>F312</v>
      </c>
      <c r="I15" s="3" t="str">
        <f t="shared" si="1"/>
        <v>G312</v>
      </c>
      <c r="J15" s="3" t="str">
        <f t="shared" si="1"/>
        <v>H312</v>
      </c>
      <c r="K15" s="3" t="str">
        <f t="shared" si="1"/>
        <v>I312</v>
      </c>
      <c r="L15" s="3" t="str">
        <f t="shared" si="1"/>
        <v>J312</v>
      </c>
      <c r="M15" s="3" t="str">
        <f t="shared" si="1"/>
        <v>K312</v>
      </c>
      <c r="N15" s="3" t="str">
        <f t="shared" si="1"/>
        <v>L312</v>
      </c>
      <c r="O15" s="6" t="str">
        <f t="shared" si="1"/>
        <v>L312</v>
      </c>
      <c r="P15" s="3" t="str">
        <f>'Model names'!C13</f>
        <v>MI</v>
      </c>
      <c r="Q15" s="15">
        <f>[37]Total_Reports!B312</f>
        <v>-99.380637280771992</v>
      </c>
      <c r="R15" s="15">
        <f>[37]Total_Reports!C312</f>
        <v>-104.030637280772</v>
      </c>
      <c r="S15" s="15">
        <f>[37]Total_Reports!D312</f>
        <v>80</v>
      </c>
      <c r="T15" s="15">
        <f>[37]Total_Reports!E312</f>
        <v>371.94410236875342</v>
      </c>
      <c r="U15" s="15">
        <f>[37]Total_Reports!F312</f>
        <v>393.88295008498307</v>
      </c>
      <c r="V15" s="15">
        <f>[37]Total_Reports!G312</f>
        <v>534.47846855965554</v>
      </c>
      <c r="W15" s="15">
        <f>[37]Total_Reports!H312</f>
        <v>880.42104659620327</v>
      </c>
      <c r="X15" s="15">
        <f>[37]Total_Reports!I312</f>
        <v>243.48346065505109</v>
      </c>
      <c r="Y15" s="15">
        <f>[37]Total_Reports!J312</f>
        <v>538.92031994268291</v>
      </c>
      <c r="Z15" s="15">
        <f>[37]Total_Reports!K312</f>
        <v>843.59852635965808</v>
      </c>
      <c r="AA15" s="15">
        <f>[37]Total_Reports!L312</f>
        <v>120</v>
      </c>
      <c r="AB15" s="7">
        <f>[37]Total_Reports!L312</f>
        <v>120</v>
      </c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tr">
        <f t="shared" si="0"/>
        <v>Total_Reports</v>
      </c>
      <c r="D16" s="3" t="str">
        <f t="shared" si="1"/>
        <v>B312</v>
      </c>
      <c r="E16" s="3" t="str">
        <f t="shared" si="1"/>
        <v>C312</v>
      </c>
      <c r="F16" s="3" t="str">
        <f t="shared" si="1"/>
        <v>D312</v>
      </c>
      <c r="G16" s="3" t="str">
        <f t="shared" si="1"/>
        <v>E312</v>
      </c>
      <c r="H16" s="3" t="str">
        <f t="shared" si="1"/>
        <v>F312</v>
      </c>
      <c r="I16" s="3" t="str">
        <f t="shared" si="1"/>
        <v>G312</v>
      </c>
      <c r="J16" s="3" t="str">
        <f t="shared" si="1"/>
        <v>H312</v>
      </c>
      <c r="K16" s="3" t="str">
        <f t="shared" si="1"/>
        <v>I312</v>
      </c>
      <c r="L16" s="3" t="str">
        <f t="shared" si="1"/>
        <v>J312</v>
      </c>
      <c r="M16" s="3" t="str">
        <f t="shared" si="1"/>
        <v>K312</v>
      </c>
      <c r="N16" s="3" t="str">
        <f t="shared" si="1"/>
        <v>L312</v>
      </c>
      <c r="O16" s="6" t="str">
        <f t="shared" si="1"/>
        <v>L312</v>
      </c>
      <c r="P16" s="3" t="str">
        <f>'Model names'!C14</f>
        <v>MO</v>
      </c>
      <c r="Q16" s="8">
        <f>[39]Total_Reports!B312</f>
        <v>57350.832619461878</v>
      </c>
      <c r="R16" s="8">
        <f>[39]Total_Reports!C312</f>
        <v>85125.416015530282</v>
      </c>
      <c r="S16" s="8">
        <f>[39]Total_Reports!D312</f>
        <v>135768.1248017686</v>
      </c>
      <c r="T16" s="8">
        <f>[39]Total_Reports!E312</f>
        <v>133239.36639456585</v>
      </c>
      <c r="U16" s="8">
        <f>[39]Total_Reports!F312</f>
        <v>130926.22105809289</v>
      </c>
      <c r="V16" s="8">
        <f>[39]Total_Reports!G312</f>
        <v>128095.45640457021</v>
      </c>
      <c r="W16" s="8">
        <f>[39]Total_Reports!H312</f>
        <v>126917.11266527085</v>
      </c>
      <c r="X16" s="8">
        <f>[39]Total_Reports!I312</f>
        <v>125586.64042405787</v>
      </c>
      <c r="Y16" s="8">
        <f>[39]Total_Reports!J312</f>
        <v>124872.68179067271</v>
      </c>
      <c r="Z16" s="8">
        <f>[39]Total_Reports!K312</f>
        <v>123628.86004954265</v>
      </c>
      <c r="AA16" s="8">
        <f>[39]Total_Reports!L312</f>
        <v>123066.89867544865</v>
      </c>
      <c r="AB16" s="7">
        <f>[39]Total_Reports!L312</f>
        <v>123066.89867544865</v>
      </c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tr">
        <f t="shared" si="0"/>
        <v>Total_Reports</v>
      </c>
      <c r="D17" s="3" t="str">
        <f t="shared" si="1"/>
        <v>B312</v>
      </c>
      <c r="E17" s="3" t="str">
        <f t="shared" si="1"/>
        <v>C312</v>
      </c>
      <c r="F17" s="3" t="str">
        <f t="shared" si="1"/>
        <v>D312</v>
      </c>
      <c r="G17" s="3" t="str">
        <f t="shared" si="1"/>
        <v>E312</v>
      </c>
      <c r="H17" s="3" t="str">
        <f t="shared" si="1"/>
        <v>F312</v>
      </c>
      <c r="I17" s="3" t="str">
        <f t="shared" si="1"/>
        <v>G312</v>
      </c>
      <c r="J17" s="3" t="str">
        <f t="shared" si="1"/>
        <v>H312</v>
      </c>
      <c r="K17" s="3" t="str">
        <f t="shared" si="1"/>
        <v>I312</v>
      </c>
      <c r="L17" s="3" t="str">
        <f t="shared" si="1"/>
        <v>J312</v>
      </c>
      <c r="M17" s="3" t="str">
        <f t="shared" si="1"/>
        <v>K312</v>
      </c>
      <c r="N17" s="3" t="str">
        <f t="shared" si="1"/>
        <v>L312</v>
      </c>
      <c r="O17" s="6" t="str">
        <f t="shared" si="1"/>
        <v>L312</v>
      </c>
      <c r="P17" s="3" t="str">
        <f>'Model names'!C15</f>
        <v>NJ</v>
      </c>
      <c r="Q17" s="8">
        <f>[41]Total_Reports!B312</f>
        <v>68258.15965999999</v>
      </c>
      <c r="R17" s="8">
        <f>[41]Total_Reports!C312</f>
        <v>117187.72665999999</v>
      </c>
      <c r="S17" s="8">
        <f>[41]Total_Reports!D312</f>
        <v>187940.59695548442</v>
      </c>
      <c r="T17" s="8">
        <f>[41]Total_Reports!E312</f>
        <v>186780.663991412</v>
      </c>
      <c r="U17" s="8">
        <f>[41]Total_Reports!F312</f>
        <v>184354.03205308426</v>
      </c>
      <c r="V17" s="8">
        <f>[41]Total_Reports!G312</f>
        <v>181435.03470825279</v>
      </c>
      <c r="W17" s="8">
        <f>[41]Total_Reports!H312</f>
        <v>181304.32951969406</v>
      </c>
      <c r="X17" s="8">
        <f>[41]Total_Reports!I312</f>
        <v>179862.58058754663</v>
      </c>
      <c r="Y17" s="8">
        <f>[41]Total_Reports!J312</f>
        <v>178064.93044921593</v>
      </c>
      <c r="Z17" s="8">
        <f>[41]Total_Reports!K312</f>
        <v>177503.90171513878</v>
      </c>
      <c r="AA17" s="8">
        <f>[41]Total_Reports!L312</f>
        <v>175879.66338975477</v>
      </c>
      <c r="AB17" s="7">
        <f>[41]Total_Reports!L312</f>
        <v>175879.66338975477</v>
      </c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tr">
        <f t="shared" si="0"/>
        <v>Total_Reports</v>
      </c>
      <c r="D18" s="3" t="str">
        <f t="shared" si="1"/>
        <v>B312</v>
      </c>
      <c r="E18" s="3" t="str">
        <f t="shared" si="1"/>
        <v>C312</v>
      </c>
      <c r="F18" s="3" t="str">
        <f t="shared" si="1"/>
        <v>D312</v>
      </c>
      <c r="G18" s="3" t="str">
        <f t="shared" si="1"/>
        <v>E312</v>
      </c>
      <c r="H18" s="3" t="str">
        <f t="shared" si="1"/>
        <v>F312</v>
      </c>
      <c r="I18" s="3" t="str">
        <f t="shared" si="1"/>
        <v>G312</v>
      </c>
      <c r="J18" s="3" t="str">
        <f t="shared" si="1"/>
        <v>H312</v>
      </c>
      <c r="K18" s="3" t="str">
        <f t="shared" si="1"/>
        <v>I312</v>
      </c>
      <c r="L18" s="3" t="str">
        <f t="shared" si="1"/>
        <v>J312</v>
      </c>
      <c r="M18" s="3" t="str">
        <f t="shared" si="1"/>
        <v>K312</v>
      </c>
      <c r="N18" s="3" t="str">
        <f t="shared" si="1"/>
        <v>L312</v>
      </c>
      <c r="O18" s="6" t="str">
        <f t="shared" si="1"/>
        <v>L312</v>
      </c>
      <c r="P18" s="3" t="str">
        <f>'Model names'!C16</f>
        <v>NY</v>
      </c>
      <c r="Q18" s="8">
        <f>[43]Total_Reports!B312</f>
        <v>33127.908230000008</v>
      </c>
      <c r="R18" s="8">
        <f>[43]Total_Reports!C312</f>
        <v>38946.673230000015</v>
      </c>
      <c r="S18" s="8">
        <f>[43]Total_Reports!D312</f>
        <v>44664.244650609413</v>
      </c>
      <c r="T18" s="8">
        <f>[43]Total_Reports!E312</f>
        <v>44361.821257839089</v>
      </c>
      <c r="U18" s="8">
        <f>[43]Total_Reports!F312</f>
        <v>45051.817668772805</v>
      </c>
      <c r="V18" s="8">
        <f>[43]Total_Reports!G312</f>
        <v>44674.980447981594</v>
      </c>
      <c r="W18" s="8">
        <f>[43]Total_Reports!H312</f>
        <v>44453.956281675179</v>
      </c>
      <c r="X18" s="8">
        <f>[43]Total_Reports!I312</f>
        <v>43772.339798526846</v>
      </c>
      <c r="Y18" s="8">
        <f>[43]Total_Reports!J312</f>
        <v>43809.545267567904</v>
      </c>
      <c r="Z18" s="8">
        <f>[43]Total_Reports!K312</f>
        <v>43728.589561683366</v>
      </c>
      <c r="AA18" s="8">
        <f>[43]Total_Reports!L312</f>
        <v>41566.925658963475</v>
      </c>
      <c r="AB18" s="7">
        <f>[43]Total_Reports!L312</f>
        <v>41566.925658963475</v>
      </c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tr">
        <f t="shared" si="0"/>
        <v>Total_Reports</v>
      </c>
      <c r="D19" s="3" t="str">
        <f t="shared" si="1"/>
        <v>B312</v>
      </c>
      <c r="E19" s="3" t="str">
        <f t="shared" si="1"/>
        <v>C312</v>
      </c>
      <c r="F19" s="3" t="str">
        <f t="shared" si="1"/>
        <v>D312</v>
      </c>
      <c r="G19" s="3" t="str">
        <f t="shared" si="1"/>
        <v>E312</v>
      </c>
      <c r="H19" s="3" t="str">
        <f t="shared" si="1"/>
        <v>F312</v>
      </c>
      <c r="I19" s="3" t="str">
        <f t="shared" si="1"/>
        <v>G312</v>
      </c>
      <c r="J19" s="3" t="str">
        <f t="shared" si="1"/>
        <v>H312</v>
      </c>
      <c r="K19" s="3" t="str">
        <f t="shared" si="1"/>
        <v>I312</v>
      </c>
      <c r="L19" s="3" t="str">
        <f t="shared" si="1"/>
        <v>J312</v>
      </c>
      <c r="M19" s="3" t="str">
        <f t="shared" si="1"/>
        <v>K312</v>
      </c>
      <c r="N19" s="3" t="str">
        <f t="shared" si="1"/>
        <v>L312</v>
      </c>
      <c r="O19" s="6" t="str">
        <f t="shared" si="1"/>
        <v>L312</v>
      </c>
      <c r="P19" s="3" t="str">
        <f>'Model names'!C17</f>
        <v>PA</v>
      </c>
      <c r="Q19" s="8">
        <f>[45]Total_Reports!B312</f>
        <v>196966.6427432771</v>
      </c>
      <c r="R19" s="8">
        <f>[45]Total_Reports!C312</f>
        <v>193625.83474327711</v>
      </c>
      <c r="S19" s="8">
        <f>[45]Total_Reports!D312</f>
        <v>362974.79219167918</v>
      </c>
      <c r="T19" s="8">
        <f>[45]Total_Reports!E312</f>
        <v>433866.44307879079</v>
      </c>
      <c r="U19" s="8">
        <f>[45]Total_Reports!F312</f>
        <v>367601.33171683736</v>
      </c>
      <c r="V19" s="8">
        <f>[45]Total_Reports!G312</f>
        <v>263747.46308217966</v>
      </c>
      <c r="W19" s="8">
        <f>[45]Total_Reports!H312</f>
        <v>365128.78808648052</v>
      </c>
      <c r="X19" s="8">
        <f>[45]Total_Reports!I312</f>
        <v>420970.76131202077</v>
      </c>
      <c r="Y19" s="8">
        <f>[45]Total_Reports!J312</f>
        <v>419984.31938073883</v>
      </c>
      <c r="Z19" s="8">
        <f>[45]Total_Reports!K312</f>
        <v>419486.21017368173</v>
      </c>
      <c r="AA19" s="8">
        <f>[45]Total_Reports!L312</f>
        <v>416304.38810119929</v>
      </c>
      <c r="AB19" s="7">
        <f>[45]Total_Reports!L312</f>
        <v>416304.38810119929</v>
      </c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tr">
        <f t="shared" si="0"/>
        <v>Total_Reports</v>
      </c>
      <c r="D20" s="3" t="str">
        <f t="shared" si="1"/>
        <v>B312</v>
      </c>
      <c r="E20" s="3" t="str">
        <f t="shared" si="1"/>
        <v>C312</v>
      </c>
      <c r="F20" s="3" t="str">
        <f t="shared" si="1"/>
        <v>D312</v>
      </c>
      <c r="G20" s="3" t="str">
        <f t="shared" si="1"/>
        <v>E312</v>
      </c>
      <c r="H20" s="3" t="str">
        <f t="shared" si="1"/>
        <v>F312</v>
      </c>
      <c r="I20" s="3" t="str">
        <f t="shared" si="1"/>
        <v>G312</v>
      </c>
      <c r="J20" s="3" t="str">
        <f t="shared" si="1"/>
        <v>H312</v>
      </c>
      <c r="K20" s="3" t="str">
        <f t="shared" si="1"/>
        <v>I312</v>
      </c>
      <c r="L20" s="3" t="str">
        <f t="shared" si="1"/>
        <v>J312</v>
      </c>
      <c r="M20" s="3" t="str">
        <f t="shared" si="1"/>
        <v>K312</v>
      </c>
      <c r="N20" s="3" t="str">
        <f t="shared" si="1"/>
        <v>L312</v>
      </c>
      <c r="O20" s="6" t="str">
        <f t="shared" si="1"/>
        <v>L312</v>
      </c>
      <c r="P20" s="3" t="str">
        <f>'Model names'!C18</f>
        <v>TN</v>
      </c>
      <c r="Q20" s="8">
        <f>[47]Total_Reports!B312</f>
        <v>9763.579667144717</v>
      </c>
      <c r="R20" s="8">
        <f>[47]Total_Reports!C312</f>
        <v>16240.17233506547</v>
      </c>
      <c r="S20" s="8">
        <f>[47]Total_Reports!D312</f>
        <v>18746.556851565281</v>
      </c>
      <c r="T20" s="8">
        <f>[47]Total_Reports!E312</f>
        <v>18085.207354032511</v>
      </c>
      <c r="U20" s="8">
        <f>[47]Total_Reports!F312</f>
        <v>16902.101797693213</v>
      </c>
      <c r="V20" s="8">
        <f>[47]Total_Reports!G312</f>
        <v>15150.100752147788</v>
      </c>
      <c r="W20" s="8">
        <f>[47]Total_Reports!H312</f>
        <v>13009.606568087969</v>
      </c>
      <c r="X20" s="8">
        <f>[47]Total_Reports!I312</f>
        <v>9594.6479359860587</v>
      </c>
      <c r="Y20" s="8">
        <f>[47]Total_Reports!J312</f>
        <v>5267.6066797031217</v>
      </c>
      <c r="Z20" s="8">
        <f>[47]Total_Reports!K312</f>
        <v>157.56861887387595</v>
      </c>
      <c r="AA20" s="8">
        <f>[47]Total_Reports!L312</f>
        <v>-1950.806920583495</v>
      </c>
      <c r="AB20" s="7">
        <f>[47]Total_Reports!L312</f>
        <v>-1950.806920583495</v>
      </c>
      <c r="AC20" s="8"/>
      <c r="AG20" s="5"/>
      <c r="AH20" s="5"/>
    </row>
    <row r="21" spans="1:34" hidden="1" outlineLevel="1" x14ac:dyDescent="0.3">
      <c r="A21" s="2" t="str">
        <f t="shared" ref="A21:A33" si="2">IF(B21=0,"",A20)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tr">
        <f t="shared" si="0"/>
        <v>Total_Reports</v>
      </c>
      <c r="D21" s="3" t="str">
        <f t="shared" si="1"/>
        <v>B312</v>
      </c>
      <c r="E21" s="3" t="str">
        <f t="shared" si="1"/>
        <v>C312</v>
      </c>
      <c r="F21" s="3" t="str">
        <f t="shared" si="1"/>
        <v>D312</v>
      </c>
      <c r="G21" s="3" t="str">
        <f t="shared" si="1"/>
        <v>E312</v>
      </c>
      <c r="H21" s="3" t="str">
        <f t="shared" si="1"/>
        <v>F312</v>
      </c>
      <c r="I21" s="3" t="str">
        <f t="shared" si="1"/>
        <v>G312</v>
      </c>
      <c r="J21" s="3" t="str">
        <f t="shared" si="1"/>
        <v>H312</v>
      </c>
      <c r="K21" s="3" t="str">
        <f t="shared" si="1"/>
        <v>I312</v>
      </c>
      <c r="L21" s="3" t="str">
        <f t="shared" si="1"/>
        <v>J312</v>
      </c>
      <c r="M21" s="3" t="str">
        <f t="shared" si="1"/>
        <v>K312</v>
      </c>
      <c r="N21" s="3" t="str">
        <f t="shared" si="1"/>
        <v>L312</v>
      </c>
      <c r="O21" s="6" t="str">
        <f t="shared" si="1"/>
        <v>L312</v>
      </c>
      <c r="P21" s="3" t="str">
        <f>'Model names'!C19</f>
        <v>VA</v>
      </c>
      <c r="Q21" s="8">
        <f>[49]Total_Reports!B312</f>
        <v>9555.7014798043347</v>
      </c>
      <c r="R21" s="8">
        <f>[49]Total_Reports!C312</f>
        <v>14503.894479804345</v>
      </c>
      <c r="S21" s="8">
        <f>[49]Total_Reports!D312</f>
        <v>17328.207644866918</v>
      </c>
      <c r="T21" s="8">
        <f>[49]Total_Reports!E312</f>
        <v>16935.091998853302</v>
      </c>
      <c r="U21" s="8">
        <f>[49]Total_Reports!F312</f>
        <v>16950.187858898094</v>
      </c>
      <c r="V21" s="8">
        <f>[49]Total_Reports!G312</f>
        <v>16012.486487284674</v>
      </c>
      <c r="W21" s="8">
        <f>[49]Total_Reports!H312</f>
        <v>15859.641936849852</v>
      </c>
      <c r="X21" s="8">
        <f>[49]Total_Reports!I312</f>
        <v>15818.073215396602</v>
      </c>
      <c r="Y21" s="8">
        <f>[49]Total_Reports!J312</f>
        <v>15662.857195980676</v>
      </c>
      <c r="Z21" s="8">
        <f>[49]Total_Reports!K312</f>
        <v>15508.196480122937</v>
      </c>
      <c r="AA21" s="8">
        <f>[49]Total_Reports!L312</f>
        <v>15162.003833232808</v>
      </c>
      <c r="AB21" s="7">
        <f>[49]Total_Reports!L312</f>
        <v>15162.003833232808</v>
      </c>
      <c r="AC21" s="8"/>
    </row>
    <row r="22" spans="1:34" hidden="1" outlineLevel="1" x14ac:dyDescent="0.3">
      <c r="A22" s="2" t="str">
        <f t="shared" si="2"/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tr">
        <f t="shared" si="0"/>
        <v>Total_Reports</v>
      </c>
      <c r="D22" s="3" t="str">
        <f t="shared" si="1"/>
        <v>B312</v>
      </c>
      <c r="E22" s="3" t="str">
        <f t="shared" si="1"/>
        <v>C312</v>
      </c>
      <c r="F22" s="3" t="str">
        <f t="shared" si="1"/>
        <v>D312</v>
      </c>
      <c r="G22" s="3" t="str">
        <f t="shared" si="1"/>
        <v>E312</v>
      </c>
      <c r="H22" s="3" t="str">
        <f t="shared" si="1"/>
        <v>F312</v>
      </c>
      <c r="I22" s="3" t="str">
        <f t="shared" si="1"/>
        <v>G312</v>
      </c>
      <c r="J22" s="3" t="str">
        <f t="shared" si="1"/>
        <v>H312</v>
      </c>
      <c r="K22" s="3" t="str">
        <f t="shared" si="1"/>
        <v>I312</v>
      </c>
      <c r="L22" s="3" t="str">
        <f t="shared" si="1"/>
        <v>J312</v>
      </c>
      <c r="M22" s="3" t="str">
        <f t="shared" si="1"/>
        <v>K312</v>
      </c>
      <c r="N22" s="3" t="str">
        <f t="shared" si="1"/>
        <v>L312</v>
      </c>
      <c r="O22" s="6" t="str">
        <f t="shared" si="1"/>
        <v>L312</v>
      </c>
      <c r="P22" s="3" t="str">
        <f>'Model names'!C20</f>
        <v>WV</v>
      </c>
      <c r="Q22" s="8">
        <f>[51]Total_Reports!B312</f>
        <v>31638.051175446777</v>
      </c>
      <c r="R22" s="8">
        <f>[51]Total_Reports!C312</f>
        <v>114107.48558110537</v>
      </c>
      <c r="S22" s="8">
        <f>[51]Total_Reports!D312</f>
        <v>129083.44902626488</v>
      </c>
      <c r="T22" s="8">
        <f>[51]Total_Reports!E312</f>
        <v>126864.77880634398</v>
      </c>
      <c r="U22" s="8">
        <f>[51]Total_Reports!F312</f>
        <v>123110.67992355464</v>
      </c>
      <c r="V22" s="8">
        <f>[51]Total_Reports!G312</f>
        <v>120042.00590480413</v>
      </c>
      <c r="W22" s="8">
        <f>[51]Total_Reports!H312</f>
        <v>118367.38084669784</v>
      </c>
      <c r="X22" s="8">
        <f>[51]Total_Reports!I312</f>
        <v>116573.66271232134</v>
      </c>
      <c r="Y22" s="8">
        <f>[51]Total_Reports!J312</f>
        <v>113916.32209149124</v>
      </c>
      <c r="Z22" s="8">
        <f>[51]Total_Reports!K312</f>
        <v>112709.29629461488</v>
      </c>
      <c r="AA22" s="8">
        <f>[51]Total_Reports!L312</f>
        <v>110635.84439161404</v>
      </c>
      <c r="AB22" s="7">
        <f>[51]Total_Reports!L312</f>
        <v>110635.84439161404</v>
      </c>
      <c r="AC22" s="8"/>
    </row>
    <row r="23" spans="1:34" hidden="1" outlineLevel="1" x14ac:dyDescent="0.3">
      <c r="A23" s="2" t="str">
        <f t="shared" si="2"/>
        <v/>
      </c>
      <c r="B23" s="3">
        <f>'Model names'!B21</f>
        <v>0</v>
      </c>
      <c r="C23" s="3" t="str">
        <f t="shared" si="0"/>
        <v/>
      </c>
      <c r="D23" s="3" t="str">
        <f t="shared" si="1"/>
        <v>B312</v>
      </c>
      <c r="E23" s="3" t="str">
        <f t="shared" si="1"/>
        <v>C312</v>
      </c>
      <c r="F23" s="3" t="str">
        <f t="shared" si="1"/>
        <v>D312</v>
      </c>
      <c r="G23" s="3" t="str">
        <f t="shared" si="1"/>
        <v>E312</v>
      </c>
      <c r="H23" s="3" t="str">
        <f t="shared" si="1"/>
        <v>F312</v>
      </c>
      <c r="I23" s="3" t="str">
        <f t="shared" si="1"/>
        <v>G312</v>
      </c>
      <c r="J23" s="3" t="str">
        <f t="shared" si="1"/>
        <v>H312</v>
      </c>
      <c r="K23" s="3" t="str">
        <f t="shared" si="1"/>
        <v>I312</v>
      </c>
      <c r="L23" s="3" t="str">
        <f t="shared" si="1"/>
        <v>J312</v>
      </c>
      <c r="M23" s="3" t="str">
        <f t="shared" si="1"/>
        <v>K312</v>
      </c>
      <c r="N23" s="3" t="str">
        <f t="shared" si="1"/>
        <v>L312</v>
      </c>
      <c r="O23" s="6" t="str">
        <f t="shared" si="1"/>
        <v>L312</v>
      </c>
      <c r="P23" s="18">
        <f>'Model names'!C21</f>
        <v>0</v>
      </c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8"/>
      <c r="AC23" s="8"/>
    </row>
    <row r="24" spans="1:34" hidden="1" outlineLevel="1" x14ac:dyDescent="0.3">
      <c r="A24" s="2" t="e">
        <f t="shared" si="2"/>
        <v>#REF!</v>
      </c>
      <c r="B24" s="3" t="e">
        <f>'Model names'!#REF!</f>
        <v>#REF!</v>
      </c>
      <c r="C24" s="3" t="e">
        <f t="shared" si="0"/>
        <v>#REF!</v>
      </c>
      <c r="D24" s="3" t="e">
        <f t="shared" si="1"/>
        <v>#REF!</v>
      </c>
      <c r="E24" s="3" t="e">
        <f t="shared" si="1"/>
        <v>#REF!</v>
      </c>
      <c r="F24" s="3" t="e">
        <f t="shared" si="1"/>
        <v>#REF!</v>
      </c>
      <c r="G24" s="3" t="e">
        <f t="shared" si="1"/>
        <v>#REF!</v>
      </c>
      <c r="H24" s="3" t="e">
        <f t="shared" si="1"/>
        <v>#REF!</v>
      </c>
      <c r="I24" s="3" t="e">
        <f t="shared" si="1"/>
        <v>#REF!</v>
      </c>
      <c r="J24" s="3" t="e">
        <f t="shared" si="1"/>
        <v>#REF!</v>
      </c>
      <c r="K24" s="3" t="e">
        <f t="shared" si="1"/>
        <v>#REF!</v>
      </c>
      <c r="L24" s="3" t="e">
        <f t="shared" si="1"/>
        <v>#REF!</v>
      </c>
      <c r="M24" s="3" t="e">
        <f t="shared" si="1"/>
        <v>#REF!</v>
      </c>
      <c r="N24" s="3" t="e">
        <f t="shared" si="1"/>
        <v>#REF!</v>
      </c>
      <c r="O24" s="6" t="e">
        <f t="shared" si="1"/>
        <v>#REF!</v>
      </c>
      <c r="P24" s="18" t="e">
        <f>'Model names'!#REF!</f>
        <v>#REF!</v>
      </c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8"/>
      <c r="AC24" s="8"/>
    </row>
    <row r="25" spans="1:34" hidden="1" outlineLevel="1" x14ac:dyDescent="0.3">
      <c r="A25" s="2" t="e">
        <f t="shared" si="2"/>
        <v>#REF!</v>
      </c>
      <c r="B25" s="3" t="e">
        <f>'Model names'!#REF!</f>
        <v>#REF!</v>
      </c>
      <c r="C25" s="3" t="e">
        <f t="shared" si="0"/>
        <v>#REF!</v>
      </c>
      <c r="D25" s="3" t="e">
        <f t="shared" si="1"/>
        <v>#REF!</v>
      </c>
      <c r="E25" s="3" t="e">
        <f t="shared" si="1"/>
        <v>#REF!</v>
      </c>
      <c r="F25" s="3" t="e">
        <f t="shared" si="1"/>
        <v>#REF!</v>
      </c>
      <c r="G25" s="3" t="e">
        <f t="shared" si="1"/>
        <v>#REF!</v>
      </c>
      <c r="H25" s="3" t="e">
        <f t="shared" si="1"/>
        <v>#REF!</v>
      </c>
      <c r="I25" s="3" t="e">
        <f t="shared" si="1"/>
        <v>#REF!</v>
      </c>
      <c r="J25" s="3" t="e">
        <f t="shared" si="1"/>
        <v>#REF!</v>
      </c>
      <c r="K25" s="3" t="e">
        <f t="shared" si="1"/>
        <v>#REF!</v>
      </c>
      <c r="L25" s="3" t="e">
        <f t="shared" si="1"/>
        <v>#REF!</v>
      </c>
      <c r="M25" s="3" t="e">
        <f t="shared" si="1"/>
        <v>#REF!</v>
      </c>
      <c r="N25" s="3" t="e">
        <f t="shared" si="1"/>
        <v>#REF!</v>
      </c>
      <c r="O25" s="6" t="e">
        <f t="shared" si="1"/>
        <v>#REF!</v>
      </c>
      <c r="P25" s="18" t="e">
        <f>'Model names'!#REF!</f>
        <v>#REF!</v>
      </c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8"/>
      <c r="AC25" s="8"/>
    </row>
    <row r="26" spans="1:34" hidden="1" outlineLevel="1" x14ac:dyDescent="0.3">
      <c r="A26" s="2" t="e">
        <f t="shared" si="2"/>
        <v>#REF!</v>
      </c>
      <c r="B26" s="3" t="e">
        <f>'Model names'!#REF!</f>
        <v>#REF!</v>
      </c>
      <c r="C26" s="3" t="e">
        <f t="shared" si="0"/>
        <v>#REF!</v>
      </c>
      <c r="D26" s="3" t="e">
        <f t="shared" si="1"/>
        <v>#REF!</v>
      </c>
      <c r="E26" s="3" t="e">
        <f t="shared" si="1"/>
        <v>#REF!</v>
      </c>
      <c r="F26" s="3" t="e">
        <f t="shared" si="1"/>
        <v>#REF!</v>
      </c>
      <c r="G26" s="3" t="e">
        <f t="shared" si="1"/>
        <v>#REF!</v>
      </c>
      <c r="H26" s="3" t="e">
        <f t="shared" si="1"/>
        <v>#REF!</v>
      </c>
      <c r="I26" s="3" t="e">
        <f t="shared" si="1"/>
        <v>#REF!</v>
      </c>
      <c r="J26" s="3" t="e">
        <f t="shared" si="1"/>
        <v>#REF!</v>
      </c>
      <c r="K26" s="3" t="e">
        <f t="shared" si="1"/>
        <v>#REF!</v>
      </c>
      <c r="L26" s="3" t="e">
        <f t="shared" si="1"/>
        <v>#REF!</v>
      </c>
      <c r="M26" s="3" t="e">
        <f t="shared" si="1"/>
        <v>#REF!</v>
      </c>
      <c r="N26" s="3" t="e">
        <f t="shared" si="1"/>
        <v>#REF!</v>
      </c>
      <c r="O26" s="6" t="e">
        <f t="shared" si="1"/>
        <v>#REF!</v>
      </c>
      <c r="P26" s="18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2" t="e">
        <f t="shared" si="2"/>
        <v>#REF!</v>
      </c>
      <c r="B27" s="3" t="e">
        <f>'Model names'!#REF!</f>
        <v>#REF!</v>
      </c>
      <c r="C27" s="3" t="e">
        <f t="shared" si="0"/>
        <v>#REF!</v>
      </c>
      <c r="D27" s="3" t="e">
        <f t="shared" si="1"/>
        <v>#REF!</v>
      </c>
      <c r="E27" s="3" t="e">
        <f t="shared" si="1"/>
        <v>#REF!</v>
      </c>
      <c r="F27" s="3" t="e">
        <f t="shared" si="1"/>
        <v>#REF!</v>
      </c>
      <c r="G27" s="3" t="e">
        <f t="shared" si="1"/>
        <v>#REF!</v>
      </c>
      <c r="H27" s="3" t="e">
        <f t="shared" si="1"/>
        <v>#REF!</v>
      </c>
      <c r="I27" s="3" t="e">
        <f t="shared" si="1"/>
        <v>#REF!</v>
      </c>
      <c r="J27" s="3" t="e">
        <f t="shared" si="1"/>
        <v>#REF!</v>
      </c>
      <c r="K27" s="3" t="e">
        <f t="shared" si="1"/>
        <v>#REF!</v>
      </c>
      <c r="L27" s="3" t="e">
        <f t="shared" si="1"/>
        <v>#REF!</v>
      </c>
      <c r="M27" s="3" t="e">
        <f t="shared" si="1"/>
        <v>#REF!</v>
      </c>
      <c r="N27" s="3" t="e">
        <f t="shared" si="1"/>
        <v>#REF!</v>
      </c>
      <c r="O27" s="6" t="e">
        <f t="shared" si="1"/>
        <v>#REF!</v>
      </c>
      <c r="P27" s="18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2" t="e">
        <f t="shared" si="2"/>
        <v>#REF!</v>
      </c>
      <c r="B28" s="3" t="e">
        <f>'Model names'!#REF!</f>
        <v>#REF!</v>
      </c>
      <c r="C28" s="3" t="e">
        <f t="shared" si="0"/>
        <v>#REF!</v>
      </c>
      <c r="D28" s="3" t="e">
        <f t="shared" si="1"/>
        <v>#REF!</v>
      </c>
      <c r="E28" s="3" t="e">
        <f t="shared" si="1"/>
        <v>#REF!</v>
      </c>
      <c r="F28" s="3" t="e">
        <f t="shared" si="1"/>
        <v>#REF!</v>
      </c>
      <c r="G28" s="3" t="e">
        <f t="shared" si="1"/>
        <v>#REF!</v>
      </c>
      <c r="H28" s="3" t="e">
        <f t="shared" si="1"/>
        <v>#REF!</v>
      </c>
      <c r="I28" s="3" t="e">
        <f t="shared" si="1"/>
        <v>#REF!</v>
      </c>
      <c r="J28" s="3" t="e">
        <f t="shared" si="1"/>
        <v>#REF!</v>
      </c>
      <c r="K28" s="3" t="e">
        <f t="shared" si="1"/>
        <v>#REF!</v>
      </c>
      <c r="L28" s="3" t="e">
        <f t="shared" si="1"/>
        <v>#REF!</v>
      </c>
      <c r="M28" s="3" t="e">
        <f t="shared" si="1"/>
        <v>#REF!</v>
      </c>
      <c r="N28" s="3" t="e">
        <f t="shared" si="1"/>
        <v>#REF!</v>
      </c>
      <c r="O28" s="6" t="e">
        <f t="shared" si="1"/>
        <v>#REF!</v>
      </c>
      <c r="P28" s="18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2" t="e">
        <f t="shared" si="2"/>
        <v>#REF!</v>
      </c>
      <c r="B29" s="3" t="e">
        <f>'Model names'!#REF!</f>
        <v>#REF!</v>
      </c>
      <c r="C29" s="3" t="e">
        <f t="shared" si="0"/>
        <v>#REF!</v>
      </c>
      <c r="D29" s="3" t="e">
        <f t="shared" si="1"/>
        <v>#REF!</v>
      </c>
      <c r="E29" s="3" t="e">
        <f t="shared" si="1"/>
        <v>#REF!</v>
      </c>
      <c r="F29" s="3" t="e">
        <f t="shared" si="1"/>
        <v>#REF!</v>
      </c>
      <c r="G29" s="3" t="e">
        <f t="shared" si="1"/>
        <v>#REF!</v>
      </c>
      <c r="H29" s="3" t="e">
        <f t="shared" si="1"/>
        <v>#REF!</v>
      </c>
      <c r="I29" s="3" t="e">
        <f t="shared" si="1"/>
        <v>#REF!</v>
      </c>
      <c r="J29" s="3" t="e">
        <f t="shared" si="1"/>
        <v>#REF!</v>
      </c>
      <c r="K29" s="3" t="e">
        <f t="shared" si="1"/>
        <v>#REF!</v>
      </c>
      <c r="L29" s="3" t="e">
        <f t="shared" si="1"/>
        <v>#REF!</v>
      </c>
      <c r="M29" s="3" t="e">
        <f t="shared" si="1"/>
        <v>#REF!</v>
      </c>
      <c r="N29" s="3" t="e">
        <f t="shared" si="1"/>
        <v>#REF!</v>
      </c>
      <c r="O29" s="6" t="e">
        <f t="shared" si="1"/>
        <v>#REF!</v>
      </c>
      <c r="P29" s="18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2" t="e">
        <f t="shared" si="2"/>
        <v>#REF!</v>
      </c>
      <c r="B30" s="3" t="e">
        <f>'Model names'!#REF!</f>
        <v>#REF!</v>
      </c>
      <c r="C30" s="3" t="e">
        <f t="shared" si="0"/>
        <v>#REF!</v>
      </c>
      <c r="D30" s="3" t="e">
        <f t="shared" ref="D30:O30" si="3">IF(C30=0,"",D29)</f>
        <v>#REF!</v>
      </c>
      <c r="E30" s="3" t="e">
        <f t="shared" si="3"/>
        <v>#REF!</v>
      </c>
      <c r="F30" s="3" t="e">
        <f t="shared" si="3"/>
        <v>#REF!</v>
      </c>
      <c r="G30" s="3" t="e">
        <f t="shared" si="3"/>
        <v>#REF!</v>
      </c>
      <c r="H30" s="3" t="e">
        <f t="shared" si="3"/>
        <v>#REF!</v>
      </c>
      <c r="I30" s="3" t="e">
        <f t="shared" si="3"/>
        <v>#REF!</v>
      </c>
      <c r="J30" s="3" t="e">
        <f t="shared" si="3"/>
        <v>#REF!</v>
      </c>
      <c r="K30" s="3" t="e">
        <f t="shared" si="3"/>
        <v>#REF!</v>
      </c>
      <c r="L30" s="3" t="e">
        <f t="shared" si="3"/>
        <v>#REF!</v>
      </c>
      <c r="M30" s="3" t="e">
        <f t="shared" si="3"/>
        <v>#REF!</v>
      </c>
      <c r="N30" s="3" t="e">
        <f t="shared" si="3"/>
        <v>#REF!</v>
      </c>
      <c r="O30" s="6" t="e">
        <f t="shared" si="3"/>
        <v>#REF!</v>
      </c>
      <c r="P30" s="18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2" t="e">
        <f t="shared" si="2"/>
        <v>#REF!</v>
      </c>
      <c r="B31" s="3" t="e">
        <f>'Model names'!#REF!</f>
        <v>#REF!</v>
      </c>
      <c r="C31" s="3" t="e">
        <f t="shared" ref="C31:O33" si="4">IF(B31=0,"",C30)</f>
        <v>#REF!</v>
      </c>
      <c r="D31" s="3" t="e">
        <f t="shared" si="4"/>
        <v>#REF!</v>
      </c>
      <c r="E31" s="3" t="e">
        <f t="shared" si="4"/>
        <v>#REF!</v>
      </c>
      <c r="F31" s="3" t="e">
        <f t="shared" si="4"/>
        <v>#REF!</v>
      </c>
      <c r="G31" s="3" t="e">
        <f t="shared" si="4"/>
        <v>#REF!</v>
      </c>
      <c r="H31" s="3" t="e">
        <f t="shared" si="4"/>
        <v>#REF!</v>
      </c>
      <c r="I31" s="3" t="e">
        <f t="shared" si="4"/>
        <v>#REF!</v>
      </c>
      <c r="J31" s="3" t="e">
        <f t="shared" si="4"/>
        <v>#REF!</v>
      </c>
      <c r="K31" s="3" t="e">
        <f t="shared" si="4"/>
        <v>#REF!</v>
      </c>
      <c r="L31" s="3" t="e">
        <f t="shared" si="4"/>
        <v>#REF!</v>
      </c>
      <c r="M31" s="3" t="e">
        <f t="shared" si="4"/>
        <v>#REF!</v>
      </c>
      <c r="N31" s="3" t="e">
        <f t="shared" si="4"/>
        <v>#REF!</v>
      </c>
      <c r="O31" s="6" t="e">
        <f t="shared" si="4"/>
        <v>#REF!</v>
      </c>
      <c r="P31" s="18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2" t="e">
        <f t="shared" si="2"/>
        <v>#REF!</v>
      </c>
      <c r="B32" s="3" t="e">
        <f>'Model names'!#REF!</f>
        <v>#REF!</v>
      </c>
      <c r="C32" s="3" t="e">
        <f t="shared" si="4"/>
        <v>#REF!</v>
      </c>
      <c r="D32" s="3" t="e">
        <f t="shared" si="4"/>
        <v>#REF!</v>
      </c>
      <c r="E32" s="3" t="e">
        <f t="shared" si="4"/>
        <v>#REF!</v>
      </c>
      <c r="F32" s="3" t="e">
        <f t="shared" si="4"/>
        <v>#REF!</v>
      </c>
      <c r="G32" s="3" t="e">
        <f t="shared" si="4"/>
        <v>#REF!</v>
      </c>
      <c r="H32" s="3" t="e">
        <f t="shared" si="4"/>
        <v>#REF!</v>
      </c>
      <c r="I32" s="3" t="e">
        <f t="shared" si="4"/>
        <v>#REF!</v>
      </c>
      <c r="J32" s="3" t="e">
        <f t="shared" si="4"/>
        <v>#REF!</v>
      </c>
      <c r="K32" s="3" t="e">
        <f t="shared" si="4"/>
        <v>#REF!</v>
      </c>
      <c r="L32" s="3" t="e">
        <f t="shared" si="4"/>
        <v>#REF!</v>
      </c>
      <c r="M32" s="3" t="e">
        <f t="shared" si="4"/>
        <v>#REF!</v>
      </c>
      <c r="N32" s="3" t="e">
        <f t="shared" si="4"/>
        <v>#REF!</v>
      </c>
      <c r="O32" s="6" t="e">
        <f t="shared" si="4"/>
        <v>#REF!</v>
      </c>
      <c r="P32" s="18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2" t="e">
        <f t="shared" si="2"/>
        <v>#REF!</v>
      </c>
      <c r="B33" s="3" t="e">
        <f>'Model names'!#REF!</f>
        <v>#REF!</v>
      </c>
      <c r="C33" s="3" t="e">
        <f t="shared" si="4"/>
        <v>#REF!</v>
      </c>
      <c r="D33" s="3" t="e">
        <f t="shared" si="4"/>
        <v>#REF!</v>
      </c>
      <c r="E33" s="3" t="e">
        <f t="shared" si="4"/>
        <v>#REF!</v>
      </c>
      <c r="F33" s="3" t="e">
        <f t="shared" si="4"/>
        <v>#REF!</v>
      </c>
      <c r="G33" s="3" t="e">
        <f t="shared" si="4"/>
        <v>#REF!</v>
      </c>
      <c r="H33" s="3" t="e">
        <f t="shared" si="4"/>
        <v>#REF!</v>
      </c>
      <c r="I33" s="3" t="e">
        <f t="shared" si="4"/>
        <v>#REF!</v>
      </c>
      <c r="J33" s="3" t="e">
        <f t="shared" si="4"/>
        <v>#REF!</v>
      </c>
      <c r="K33" s="3" t="e">
        <f t="shared" si="4"/>
        <v>#REF!</v>
      </c>
      <c r="L33" s="3" t="e">
        <f t="shared" si="4"/>
        <v>#REF!</v>
      </c>
      <c r="M33" s="3" t="e">
        <f t="shared" si="4"/>
        <v>#REF!</v>
      </c>
      <c r="N33" s="3" t="e">
        <f t="shared" si="4"/>
        <v>#REF!</v>
      </c>
      <c r="O33" s="6" t="e">
        <f t="shared" si="4"/>
        <v>#REF!</v>
      </c>
      <c r="P33" s="18" t="e">
        <f>'Model names'!#REF!</f>
        <v>#REF!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>
      <c r="Q34" s="26">
        <f>SUM(Q4:Q20)</f>
        <v>548850.26941827429</v>
      </c>
      <c r="R34" s="27">
        <f t="shared" ref="R34:AA34" si="5">SUM(R4:R20)</f>
        <v>691715.69577736745</v>
      </c>
      <c r="S34" s="27">
        <f t="shared" ca="1" si="5"/>
        <v>1097040.7391459502</v>
      </c>
      <c r="T34" s="27">
        <f t="shared" ca="1" si="5"/>
        <v>1156230.4709361219</v>
      </c>
      <c r="U34" s="27">
        <f t="shared" ca="1" si="5"/>
        <v>1089629.7648088138</v>
      </c>
      <c r="V34" s="27">
        <f t="shared" ca="1" si="5"/>
        <v>951968.63913940801</v>
      </c>
      <c r="W34" s="27">
        <f t="shared" ca="1" si="5"/>
        <v>1046259.5561618808</v>
      </c>
      <c r="X34" s="27">
        <f t="shared" ca="1" si="5"/>
        <v>1099625.3629554834</v>
      </c>
      <c r="Y34" s="27">
        <f t="shared" ca="1" si="5"/>
        <v>1072138.7658140601</v>
      </c>
      <c r="Z34" s="27">
        <f t="shared" ca="1" si="5"/>
        <v>1055793.3217388035</v>
      </c>
      <c r="AA34" s="28">
        <f t="shared" ca="1" si="5"/>
        <v>1036200.3366017756</v>
      </c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14" priority="3" operator="equal">
      <formula>"On"</formula>
    </cfRule>
  </conditionalFormatting>
  <conditionalFormatting sqref="V21:AA23">
    <cfRule type="cellIs" dxfId="13" priority="2" operator="equal">
      <formula>"On"</formula>
    </cfRule>
  </conditionalFormatting>
  <conditionalFormatting sqref="R21:R23">
    <cfRule type="cellIs" dxfId="12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21">
          <controlPr autoLine="0" r:id="rId4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32769" r:id="rId3" name="CommandButton2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0070C0"/>
  </sheetPr>
  <dimension ref="A1:AH40"/>
  <sheetViews>
    <sheetView topLeftCell="C1" zoomScale="70" zoomScaleNormal="70" workbookViewId="0">
      <selection activeCell="Q4" sqref="Q4:Z4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customWidth="1" outlineLevel="1"/>
    <col min="29" max="29" width="3.6640625" customWidth="1"/>
    <col min="30" max="30" width="18.33203125" bestFit="1" customWidth="1"/>
    <col min="31" max="31" width="8.5546875" bestFit="1" customWidth="1"/>
    <col min="32" max="32" width="6.33203125" customWidth="1"/>
    <col min="33" max="34" width="15.88671875" customWidth="1"/>
  </cols>
  <sheetData>
    <row r="1" spans="1:34" ht="35.4" customHeight="1" x14ac:dyDescent="0.3"/>
    <row r="2" spans="1:34" x14ac:dyDescent="0.3">
      <c r="A2">
        <f>COUNTIF(A4:A33,"&gt;""")</f>
        <v>19</v>
      </c>
      <c r="B2">
        <f>P2</f>
        <v>10</v>
      </c>
      <c r="P2" s="1">
        <v>10</v>
      </c>
      <c r="Q2" s="2"/>
      <c r="R2" s="2"/>
    </row>
    <row r="3" spans="1:34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Q3" s="2">
        <f>'Model names'!J1</f>
        <v>2018</v>
      </c>
      <c r="R3" s="2">
        <f>'Model names'!K1</f>
        <v>2019</v>
      </c>
      <c r="S3" s="2">
        <f>'Model names'!L1</f>
        <v>2020</v>
      </c>
      <c r="T3" s="2">
        <f>'Model names'!M1</f>
        <v>2021</v>
      </c>
      <c r="U3" s="2">
        <f>'Model names'!N1</f>
        <v>2022</v>
      </c>
      <c r="V3" s="2">
        <f>'Model names'!O1</f>
        <v>2023</v>
      </c>
      <c r="W3" s="2">
        <f>'Model names'!P1</f>
        <v>2024</v>
      </c>
      <c r="X3" s="2">
        <f>'Model names'!Q1</f>
        <v>2025</v>
      </c>
      <c r="Y3" s="2">
        <f>'Model names'!R1</f>
        <v>2026</v>
      </c>
      <c r="Z3" s="2">
        <f>'Model names'!S1</f>
        <v>2027</v>
      </c>
      <c r="AA3" s="2"/>
      <c r="AB3" s="2"/>
    </row>
    <row r="4" spans="1:34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16</v>
      </c>
      <c r="D4" s="3" t="s">
        <v>257</v>
      </c>
      <c r="E4" s="3" t="s">
        <v>258</v>
      </c>
      <c r="F4" s="3" t="s">
        <v>259</v>
      </c>
      <c r="G4" s="3" t="s">
        <v>260</v>
      </c>
      <c r="H4" s="3" t="s">
        <v>261</v>
      </c>
      <c r="I4" s="3" t="s">
        <v>262</v>
      </c>
      <c r="J4" s="3" t="s">
        <v>263</v>
      </c>
      <c r="K4" s="3" t="s">
        <v>264</v>
      </c>
      <c r="L4" s="3" t="s">
        <v>265</v>
      </c>
      <c r="M4" s="3" t="s">
        <v>266</v>
      </c>
      <c r="N4" s="3"/>
      <c r="O4" s="6"/>
      <c r="P4" s="3" t="str">
        <f>'Model names'!C2</f>
        <v>BFW</v>
      </c>
      <c r="Q4" s="15">
        <f>[15]Total_Reports!C714</f>
        <v>0</v>
      </c>
      <c r="R4" s="15">
        <f ca="1">[15]Total_Reports!D714</f>
        <v>-478.98037166666666</v>
      </c>
      <c r="S4" s="15">
        <f ca="1">[15]Total_Reports!E714</f>
        <v>-478.99999999999994</v>
      </c>
      <c r="T4" s="15">
        <f ca="1">[15]Total_Reports!F714</f>
        <v>-478.99999999999994</v>
      </c>
      <c r="U4" s="15">
        <f ca="1">[15]Total_Reports!G714</f>
        <v>-478.99999999999989</v>
      </c>
      <c r="V4" s="15">
        <f ca="1">[15]Total_Reports!H714</f>
        <v>-478.99999999999989</v>
      </c>
      <c r="W4" s="15">
        <f ca="1">[15]Total_Reports!I714</f>
        <v>-478.99999999999989</v>
      </c>
      <c r="X4" s="15">
        <f ca="1">[15]Total_Reports!J714</f>
        <v>-478.99999999999994</v>
      </c>
      <c r="Y4" s="15">
        <f ca="1">[15]Total_Reports!K714</f>
        <v>-478.99999999999994</v>
      </c>
      <c r="Z4" s="15">
        <f ca="1">[15]Total_Reports!L714</f>
        <v>-479</v>
      </c>
      <c r="AA4" s="15"/>
      <c r="AB4" s="7"/>
      <c r="AC4" s="8"/>
      <c r="AG4" s="5"/>
      <c r="AH4" s="5"/>
    </row>
    <row r="5" spans="1:34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16</v>
      </c>
      <c r="D5" s="3" t="s">
        <v>257</v>
      </c>
      <c r="E5" s="3" t="s">
        <v>258</v>
      </c>
      <c r="F5" s="3" t="s">
        <v>259</v>
      </c>
      <c r="G5" s="3" t="s">
        <v>260</v>
      </c>
      <c r="H5" s="3" t="s">
        <v>261</v>
      </c>
      <c r="I5" s="3" t="s">
        <v>262</v>
      </c>
      <c r="J5" s="3" t="s">
        <v>263</v>
      </c>
      <c r="K5" s="3" t="s">
        <v>264</v>
      </c>
      <c r="L5" s="3" t="s">
        <v>265</v>
      </c>
      <c r="M5" s="3" t="s">
        <v>266</v>
      </c>
      <c r="N5" s="3"/>
      <c r="O5" s="6"/>
      <c r="P5" s="18" t="str">
        <f>'Model names'!C3</f>
        <v>CA</v>
      </c>
      <c r="Q5" s="15">
        <f>[17]Total_Reports!C714</f>
        <v>0</v>
      </c>
      <c r="R5" s="15">
        <f>[17]Total_Reports!D714</f>
        <v>-192.31905979139526</v>
      </c>
      <c r="S5" s="15">
        <f>[17]Total_Reports!E714</f>
        <v>-236.38854089290453</v>
      </c>
      <c r="T5" s="15">
        <f>[17]Total_Reports!F714</f>
        <v>-551.85476689041798</v>
      </c>
      <c r="U5" s="15">
        <f>[17]Total_Reports!G714</f>
        <v>-513.8229723011209</v>
      </c>
      <c r="V5" s="15">
        <f>[17]Total_Reports!H714</f>
        <v>1003.0833990844417</v>
      </c>
      <c r="W5" s="15">
        <f>[17]Total_Reports!I714</f>
        <v>-47.397979393370861</v>
      </c>
      <c r="X5" s="15">
        <f>[17]Total_Reports!J714</f>
        <v>-32.622386740122693</v>
      </c>
      <c r="Y5" s="15">
        <f>[17]Total_Reports!K714</f>
        <v>-20.562959501493879</v>
      </c>
      <c r="Z5" s="15">
        <f>[17]Total_Reports!L714</f>
        <v>-17.118225838900798</v>
      </c>
      <c r="AA5" s="15"/>
      <c r="AB5" s="7"/>
      <c r="AC5" s="8"/>
      <c r="AG5" s="5"/>
      <c r="AH5" s="5"/>
    </row>
    <row r="6" spans="1:34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16</v>
      </c>
      <c r="D6" s="3" t="s">
        <v>257</v>
      </c>
      <c r="E6" s="3" t="s">
        <v>258</v>
      </c>
      <c r="F6" s="3" t="s">
        <v>259</v>
      </c>
      <c r="G6" s="3" t="s">
        <v>260</v>
      </c>
      <c r="H6" s="3" t="s">
        <v>261</v>
      </c>
      <c r="I6" s="3" t="s">
        <v>262</v>
      </c>
      <c r="J6" s="3" t="s">
        <v>263</v>
      </c>
      <c r="K6" s="3" t="s">
        <v>264</v>
      </c>
      <c r="L6" s="3" t="s">
        <v>265</v>
      </c>
      <c r="M6" s="3" t="s">
        <v>266</v>
      </c>
      <c r="N6" s="3"/>
      <c r="O6" s="6"/>
      <c r="P6" s="3" t="str">
        <f>'Model names'!C4</f>
        <v>ETS</v>
      </c>
      <c r="Q6" s="15">
        <f>[19]Total_Reports!C714</f>
        <v>0</v>
      </c>
      <c r="R6" s="15">
        <f>[19]Total_Reports!D714</f>
        <v>-6.8212102632969618E-13</v>
      </c>
      <c r="S6" s="15">
        <f>[19]Total_Reports!E714</f>
        <v>1.0800249583553523E-12</v>
      </c>
      <c r="T6" s="15">
        <f>[19]Total_Reports!F714</f>
        <v>-6.8212102632969618E-13</v>
      </c>
      <c r="U6" s="15">
        <f>[19]Total_Reports!G714</f>
        <v>-1.5916157281026244E-12</v>
      </c>
      <c r="V6" s="15">
        <f>[19]Total_Reports!H714</f>
        <v>0</v>
      </c>
      <c r="W6" s="15">
        <f>[19]Total_Reports!I714</f>
        <v>0</v>
      </c>
      <c r="X6" s="15">
        <f>[19]Total_Reports!J714</f>
        <v>0</v>
      </c>
      <c r="Y6" s="15">
        <f>[19]Total_Reports!K714</f>
        <v>0</v>
      </c>
      <c r="Z6" s="15">
        <f>[19]Total_Reports!L714</f>
        <v>0</v>
      </c>
      <c r="AA6" s="15"/>
      <c r="AB6" s="7"/>
      <c r="AC6" s="8"/>
      <c r="AG6" s="5"/>
      <c r="AH6" s="5"/>
    </row>
    <row r="7" spans="1:34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16</v>
      </c>
      <c r="D7" s="3" t="s">
        <v>257</v>
      </c>
      <c r="E7" s="3" t="s">
        <v>258</v>
      </c>
      <c r="F7" s="3" t="s">
        <v>259</v>
      </c>
      <c r="G7" s="3" t="s">
        <v>260</v>
      </c>
      <c r="H7" s="3" t="s">
        <v>261</v>
      </c>
      <c r="I7" s="3" t="s">
        <v>262</v>
      </c>
      <c r="J7" s="3" t="s">
        <v>263</v>
      </c>
      <c r="K7" s="3" t="s">
        <v>264</v>
      </c>
      <c r="L7" s="3" t="s">
        <v>265</v>
      </c>
      <c r="M7" s="3" t="s">
        <v>266</v>
      </c>
      <c r="N7" s="3"/>
      <c r="O7" s="6"/>
      <c r="P7" s="18" t="str">
        <f>'Model names'!C5</f>
        <v>HI</v>
      </c>
      <c r="Q7" s="15">
        <f>[21]Total_Reports!C714</f>
        <v>0</v>
      </c>
      <c r="R7" s="15">
        <f>[21]Total_Reports!D714</f>
        <v>-1.5023537969227618E-12</v>
      </c>
      <c r="S7" s="15">
        <f>[21]Total_Reports!E714</f>
        <v>-4.0927261579781771E-12</v>
      </c>
      <c r="T7" s="15">
        <f>[21]Total_Reports!F714</f>
        <v>-3.5242919693700969E-12</v>
      </c>
      <c r="U7" s="15">
        <f>[21]Total_Reports!G714</f>
        <v>-1.7621459846850485E-12</v>
      </c>
      <c r="V7" s="15">
        <f>[21]Total_Reports!H714</f>
        <v>-2.6147972675971687E-12</v>
      </c>
      <c r="W7" s="15">
        <f>[21]Total_Reports!I714</f>
        <v>-2.4584778657299466E-12</v>
      </c>
      <c r="X7" s="15">
        <f>[21]Total_Reports!J714</f>
        <v>-1.9326762412674725E-12</v>
      </c>
      <c r="Y7" s="15">
        <f>[21]Total_Reports!K714</f>
        <v>1.1368683772161603E-12</v>
      </c>
      <c r="Z7" s="15">
        <f>[21]Total_Reports!L714</f>
        <v>-9.0949470177292824E-13</v>
      </c>
      <c r="AA7" s="15"/>
      <c r="AB7" s="7"/>
      <c r="AC7" s="8"/>
      <c r="AG7" s="5"/>
      <c r="AH7" s="5"/>
    </row>
    <row r="8" spans="1:34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16</v>
      </c>
      <c r="D8" s="3" t="s">
        <v>257</v>
      </c>
      <c r="E8" s="3" t="s">
        <v>258</v>
      </c>
      <c r="F8" s="3" t="s">
        <v>259</v>
      </c>
      <c r="G8" s="3" t="s">
        <v>260</v>
      </c>
      <c r="H8" s="3" t="s">
        <v>261</v>
      </c>
      <c r="I8" s="3" t="s">
        <v>262</v>
      </c>
      <c r="J8" s="3" t="s">
        <v>263</v>
      </c>
      <c r="K8" s="3" t="s">
        <v>264</v>
      </c>
      <c r="L8" s="3" t="s">
        <v>265</v>
      </c>
      <c r="M8" s="3" t="s">
        <v>266</v>
      </c>
      <c r="N8" s="3"/>
      <c r="O8" s="6"/>
      <c r="P8" s="18" t="str">
        <f>'Model names'!C6</f>
        <v>IA</v>
      </c>
      <c r="Q8" s="15">
        <f>[23]Total_Reports!C714</f>
        <v>0</v>
      </c>
      <c r="R8" s="15">
        <f>[23]Total_Reports!D714</f>
        <v>-1.0459189070388675E-11</v>
      </c>
      <c r="S8" s="15">
        <f>[23]Total_Reports!E714</f>
        <v>-1.0345502232667059E-11</v>
      </c>
      <c r="T8" s="15">
        <f>[23]Total_Reports!F714</f>
        <v>-3.865352482534945E-12</v>
      </c>
      <c r="U8" s="15">
        <f>[23]Total_Reports!G714</f>
        <v>-1.0913936421275139E-11</v>
      </c>
      <c r="V8" s="15">
        <f>[23]Total_Reports!H714</f>
        <v>3.808509063674137E-12</v>
      </c>
      <c r="W8" s="15">
        <f>[23]Total_Reports!I714</f>
        <v>1.7053025658242404E-13</v>
      </c>
      <c r="X8" s="15">
        <f>[23]Total_Reports!J714</f>
        <v>-1.2505552149377763E-12</v>
      </c>
      <c r="Y8" s="15">
        <f>[23]Total_Reports!K714</f>
        <v>6.8212102632969618E-12</v>
      </c>
      <c r="Z8" s="15">
        <f>[23]Total_Reports!L714</f>
        <v>-3.2969182939268649E-12</v>
      </c>
      <c r="AA8" s="15"/>
      <c r="AB8" s="7"/>
      <c r="AC8" s="8"/>
      <c r="AG8" s="5"/>
      <c r="AH8" s="5"/>
    </row>
    <row r="9" spans="1:34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16</v>
      </c>
      <c r="D9" s="3" t="s">
        <v>257</v>
      </c>
      <c r="E9" s="3" t="s">
        <v>258</v>
      </c>
      <c r="F9" s="3" t="s">
        <v>259</v>
      </c>
      <c r="G9" s="3" t="s">
        <v>260</v>
      </c>
      <c r="H9" s="3" t="s">
        <v>261</v>
      </c>
      <c r="I9" s="3" t="s">
        <v>262</v>
      </c>
      <c r="J9" s="3" t="s">
        <v>263</v>
      </c>
      <c r="K9" s="3" t="s">
        <v>264</v>
      </c>
      <c r="L9" s="3" t="s">
        <v>265</v>
      </c>
      <c r="M9" s="3" t="s">
        <v>266</v>
      </c>
      <c r="N9" s="3"/>
      <c r="O9" s="6"/>
      <c r="P9" s="3" t="str">
        <f>'Model names'!C7</f>
        <v>IL</v>
      </c>
      <c r="Q9" s="15">
        <f>[25]Total_Reports!C714</f>
        <v>0</v>
      </c>
      <c r="R9" s="15">
        <f>[25]Total_Reports!D714</f>
        <v>-21012.705063527374</v>
      </c>
      <c r="S9" s="15">
        <f>[25]Total_Reports!E714</f>
        <v>-21263.381131653074</v>
      </c>
      <c r="T9" s="15">
        <f>[25]Total_Reports!F714</f>
        <v>-23954.807494037603</v>
      </c>
      <c r="U9" s="15">
        <f>[25]Total_Reports!G714</f>
        <v>-19928.716766525711</v>
      </c>
      <c r="V9" s="15">
        <f>[25]Total_Reports!H714</f>
        <v>-22341.498345171312</v>
      </c>
      <c r="W9" s="15">
        <f>[25]Total_Reports!I714</f>
        <v>-22564.913328623046</v>
      </c>
      <c r="X9" s="15">
        <f>[25]Total_Reports!J714</f>
        <v>-25889.809706417986</v>
      </c>
      <c r="Y9" s="15">
        <f>[25]Total_Reports!K714</f>
        <v>-21141.303303463683</v>
      </c>
      <c r="Z9" s="15">
        <f>[25]Total_Reports!L714</f>
        <v>-23709.022129124231</v>
      </c>
      <c r="AA9" s="15"/>
      <c r="AB9" s="7"/>
      <c r="AC9" s="8"/>
      <c r="AG9" s="5"/>
      <c r="AH9" s="5"/>
    </row>
    <row r="10" spans="1:34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16</v>
      </c>
      <c r="D10" s="3" t="s">
        <v>257</v>
      </c>
      <c r="E10" s="3" t="s">
        <v>258</v>
      </c>
      <c r="F10" s="3" t="s">
        <v>259</v>
      </c>
      <c r="G10" s="3" t="s">
        <v>260</v>
      </c>
      <c r="H10" s="3" t="s">
        <v>261</v>
      </c>
      <c r="I10" s="3" t="s">
        <v>262</v>
      </c>
      <c r="J10" s="3" t="s">
        <v>263</v>
      </c>
      <c r="K10" s="3" t="s">
        <v>264</v>
      </c>
      <c r="L10" s="3" t="s">
        <v>265</v>
      </c>
      <c r="M10" s="3" t="s">
        <v>266</v>
      </c>
      <c r="N10" s="3"/>
      <c r="O10" s="6"/>
      <c r="P10" s="3" t="str">
        <f>'Model names'!C8</f>
        <v>IN</v>
      </c>
      <c r="Q10" s="15">
        <f>[27]Total_Reports!C714</f>
        <v>0</v>
      </c>
      <c r="R10" s="15">
        <f>[27]Total_Reports!D714</f>
        <v>-2839.0486306514522</v>
      </c>
      <c r="S10" s="15">
        <f>[27]Total_Reports!E714</f>
        <v>2582.5209566014569</v>
      </c>
      <c r="T10" s="15">
        <f>[27]Total_Reports!F714</f>
        <v>-1.546140993013978E-11</v>
      </c>
      <c r="U10" s="15">
        <f>[27]Total_Reports!G714</f>
        <v>-5.0022208597511053E-11</v>
      </c>
      <c r="V10" s="15">
        <f>[27]Total_Reports!H714</f>
        <v>1.0913936421275139E-11</v>
      </c>
      <c r="W10" s="15">
        <f>[27]Total_Reports!I714</f>
        <v>-3766.0149182541672</v>
      </c>
      <c r="X10" s="15">
        <f>[27]Total_Reports!J714</f>
        <v>3425.5672859364013</v>
      </c>
      <c r="Y10" s="15">
        <f>[27]Total_Reports!K714</f>
        <v>-5.0931703299283981E-11</v>
      </c>
      <c r="Z10" s="15">
        <f>[27]Total_Reports!L714</f>
        <v>-3.5470293369144201E-11</v>
      </c>
      <c r="AA10" s="15"/>
      <c r="AB10" s="7"/>
      <c r="AC10" s="8"/>
      <c r="AG10" s="5"/>
      <c r="AH10" s="5"/>
    </row>
    <row r="11" spans="1:34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16</v>
      </c>
      <c r="D11" s="3" t="s">
        <v>257</v>
      </c>
      <c r="E11" s="3" t="s">
        <v>258</v>
      </c>
      <c r="F11" s="3" t="s">
        <v>259</v>
      </c>
      <c r="G11" s="3" t="s">
        <v>260</v>
      </c>
      <c r="H11" s="3" t="s">
        <v>261</v>
      </c>
      <c r="I11" s="3" t="s">
        <v>262</v>
      </c>
      <c r="J11" s="3" t="s">
        <v>263</v>
      </c>
      <c r="K11" s="3" t="s">
        <v>264</v>
      </c>
      <c r="L11" s="3" t="s">
        <v>265</v>
      </c>
      <c r="M11" s="3" t="s">
        <v>266</v>
      </c>
      <c r="N11" s="3"/>
      <c r="O11" s="6"/>
      <c r="P11" s="3" t="str">
        <f>'Model names'!C9</f>
        <v>KY</v>
      </c>
      <c r="Q11" s="15">
        <f>[29]Total_Reports!C714</f>
        <v>0</v>
      </c>
      <c r="R11" s="15">
        <f>[29]Total_Reports!D714</f>
        <v>-313.28661136188634</v>
      </c>
      <c r="S11" s="15">
        <f>[29]Total_Reports!E714</f>
        <v>285.75724429455403</v>
      </c>
      <c r="T11" s="15">
        <f>[29]Total_Reports!F714</f>
        <v>-4.5133674575481564E-11</v>
      </c>
      <c r="U11" s="15">
        <f>[29]Total_Reports!G714</f>
        <v>2.4783730623312294E-11</v>
      </c>
      <c r="V11" s="15">
        <f>[29]Total_Reports!H714</f>
        <v>1.5006662579253316E-11</v>
      </c>
      <c r="W11" s="15">
        <f>[29]Total_Reports!I714</f>
        <v>-1.8189894035458565E-12</v>
      </c>
      <c r="X11" s="15">
        <f>[29]Total_Reports!J714</f>
        <v>-6.8212102632969618E-12</v>
      </c>
      <c r="Y11" s="15">
        <f>[29]Total_Reports!K714</f>
        <v>3.1832314562052488E-12</v>
      </c>
      <c r="Z11" s="15">
        <f>[29]Total_Reports!L714</f>
        <v>4.0017766878008842E-11</v>
      </c>
      <c r="AA11" s="15"/>
      <c r="AB11" s="7"/>
      <c r="AC11" s="8"/>
      <c r="AG11" s="5"/>
      <c r="AH11" s="5"/>
    </row>
    <row r="12" spans="1:34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16</v>
      </c>
      <c r="D12" s="3" t="s">
        <v>257</v>
      </c>
      <c r="E12" s="3" t="s">
        <v>258</v>
      </c>
      <c r="F12" s="3" t="s">
        <v>259</v>
      </c>
      <c r="G12" s="3" t="s">
        <v>260</v>
      </c>
      <c r="H12" s="3" t="s">
        <v>261</v>
      </c>
      <c r="I12" s="3" t="s">
        <v>262</v>
      </c>
      <c r="J12" s="3" t="s">
        <v>263</v>
      </c>
      <c r="K12" s="3" t="s">
        <v>264</v>
      </c>
      <c r="L12" s="3" t="s">
        <v>265</v>
      </c>
      <c r="M12" s="3" t="s">
        <v>266</v>
      </c>
      <c r="N12" s="3"/>
      <c r="O12" s="6"/>
      <c r="P12" s="3" t="str">
        <f>'Model names'!C10</f>
        <v>Liberty</v>
      </c>
      <c r="Q12" s="15">
        <f>[31]Total_Reports!C714</f>
        <v>0</v>
      </c>
      <c r="R12" s="15">
        <f>[31]Total_Reports!D714</f>
        <v>-8958.9514819004762</v>
      </c>
      <c r="S12" s="15">
        <f>[31]Total_Reports!E714</f>
        <v>-9270.9268374603325</v>
      </c>
      <c r="T12" s="15">
        <f>[31]Total_Reports!F714</f>
        <v>-9545.6685370107134</v>
      </c>
      <c r="U12" s="15">
        <f>[31]Total_Reports!G714</f>
        <v>-9844.6300284873269</v>
      </c>
      <c r="V12" s="15">
        <f>[31]Total_Reports!H714</f>
        <v>-10145.737186780885</v>
      </c>
      <c r="W12" s="15">
        <f>[31]Total_Reports!I714</f>
        <v>-10455.614837857678</v>
      </c>
      <c r="X12" s="15">
        <f>[31]Total_Reports!J714</f>
        <v>-10775.513847892096</v>
      </c>
      <c r="Y12" s="15">
        <f>[31]Total_Reports!K714</f>
        <v>-11105.775769936048</v>
      </c>
      <c r="Z12" s="15">
        <f>[31]Total_Reports!L714</f>
        <v>-11446.754315774386</v>
      </c>
      <c r="AA12" s="15"/>
      <c r="AB12" s="7"/>
      <c r="AC12" s="8"/>
      <c r="AG12" s="5"/>
      <c r="AH12" s="5"/>
    </row>
    <row r="13" spans="1:34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16</v>
      </c>
      <c r="D13" s="3" t="s">
        <v>257</v>
      </c>
      <c r="E13" s="3" t="s">
        <v>258</v>
      </c>
      <c r="F13" s="3" t="s">
        <v>259</v>
      </c>
      <c r="G13" s="3" t="s">
        <v>260</v>
      </c>
      <c r="H13" s="3" t="s">
        <v>261</v>
      </c>
      <c r="I13" s="3" t="s">
        <v>262</v>
      </c>
      <c r="J13" s="3" t="s">
        <v>263</v>
      </c>
      <c r="K13" s="3" t="s">
        <v>264</v>
      </c>
      <c r="L13" s="3" t="s">
        <v>265</v>
      </c>
      <c r="M13" s="3" t="s">
        <v>266</v>
      </c>
      <c r="N13" s="3"/>
      <c r="O13" s="6"/>
      <c r="P13" s="3" t="str">
        <f>'Model names'!C11</f>
        <v>LW</v>
      </c>
      <c r="Q13" s="15">
        <f>[33]Total_Reports!C714</f>
        <v>0</v>
      </c>
      <c r="R13" s="15">
        <f>[33]Total_Reports!D714</f>
        <v>0</v>
      </c>
      <c r="S13" s="15">
        <f>[33]Total_Reports!E714</f>
        <v>0</v>
      </c>
      <c r="T13" s="15">
        <f>[33]Total_Reports!F714</f>
        <v>-4.5474735088646412E-12</v>
      </c>
      <c r="U13" s="15">
        <f>[33]Total_Reports!G714</f>
        <v>-1.0913936421275139E-11</v>
      </c>
      <c r="V13" s="15">
        <f>[33]Total_Reports!H714</f>
        <v>0</v>
      </c>
      <c r="W13" s="15">
        <f>[33]Total_Reports!I714</f>
        <v>0</v>
      </c>
      <c r="X13" s="15">
        <f>[33]Total_Reports!J714</f>
        <v>0</v>
      </c>
      <c r="Y13" s="15">
        <f>[33]Total_Reports!K714</f>
        <v>8.6401996668428183E-12</v>
      </c>
      <c r="Z13" s="15">
        <f>[33]Total_Reports!L714</f>
        <v>1.0004441719502211E-11</v>
      </c>
      <c r="AA13" s="15"/>
      <c r="AB13" s="7"/>
      <c r="AC13" s="8"/>
      <c r="AG13" s="5"/>
      <c r="AH13" s="5"/>
    </row>
    <row r="14" spans="1:34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tr">
        <f t="shared" ref="C14:C30" si="0">IF(B14=0,"",C13)</f>
        <v>Total_Reports</v>
      </c>
      <c r="D14" s="3" t="str">
        <f t="shared" ref="D14:D20" si="1">IF(C14=0,"",D13)</f>
        <v>C714</v>
      </c>
      <c r="E14" s="3" t="str">
        <f t="shared" ref="E14:E20" si="2">IF(D14=0,"",E13)</f>
        <v>D714</v>
      </c>
      <c r="F14" s="3" t="str">
        <f t="shared" ref="F14:F20" si="3">IF(E14=0,"",F13)</f>
        <v>E714</v>
      </c>
      <c r="G14" s="3" t="str">
        <f t="shared" ref="G14:G20" si="4">IF(F14=0,"",G13)</f>
        <v>F714</v>
      </c>
      <c r="H14" s="3" t="str">
        <f t="shared" ref="H14:H20" si="5">IF(G14=0,"",H13)</f>
        <v>G714</v>
      </c>
      <c r="I14" s="3" t="str">
        <f t="shared" ref="I14:I20" si="6">IF(H14=0,"",I13)</f>
        <v>H714</v>
      </c>
      <c r="J14" s="3" t="str">
        <f t="shared" ref="J14:J20" si="7">IF(I14=0,"",J13)</f>
        <v>I714</v>
      </c>
      <c r="K14" s="3" t="str">
        <f t="shared" ref="K14:K20" si="8">IF(J14=0,"",K13)</f>
        <v>J714</v>
      </c>
      <c r="L14" s="3" t="str">
        <f t="shared" ref="L14:L20" si="9">IF(K14=0,"",L13)</f>
        <v>K714</v>
      </c>
      <c r="M14" s="3" t="str">
        <f t="shared" ref="M14:M20" si="10">IF(L14=0,"",M13)</f>
        <v>L714</v>
      </c>
      <c r="N14" s="3"/>
      <c r="O14" s="6"/>
      <c r="P14" s="3" t="str">
        <f>'Model names'!C12</f>
        <v>MD</v>
      </c>
      <c r="Q14" s="15">
        <f>[35]Total_Reports!C714</f>
        <v>0</v>
      </c>
      <c r="R14" s="15">
        <f>[35]Total_Reports!D714</f>
        <v>-1.9872992140790302E-14</v>
      </c>
      <c r="S14" s="15">
        <f>[35]Total_Reports!E714</f>
        <v>-9.8054897534893826E-13</v>
      </c>
      <c r="T14" s="15">
        <f>[35]Total_Reports!F714</f>
        <v>-3.694822225952521E-13</v>
      </c>
      <c r="U14" s="15">
        <f>[35]Total_Reports!G714</f>
        <v>7.3896444519050419E-13</v>
      </c>
      <c r="V14" s="15">
        <f>[35]Total_Reports!H714</f>
        <v>5.8264504332328215E-13</v>
      </c>
      <c r="W14" s="15">
        <f>[35]Total_Reports!I714</f>
        <v>-2.5579538487363607E-13</v>
      </c>
      <c r="X14" s="15">
        <f>[35]Total_Reports!J714</f>
        <v>7.3896444519050419E-13</v>
      </c>
      <c r="Y14" s="15">
        <f>[35]Total_Reports!K714</f>
        <v>1.0658141036401503E-12</v>
      </c>
      <c r="Z14" s="15">
        <f>[35]Total_Reports!L714</f>
        <v>1.8474111129762605E-13</v>
      </c>
      <c r="AA14" s="15"/>
      <c r="AB14" s="7"/>
      <c r="AC14" s="8"/>
      <c r="AG14" s="5"/>
      <c r="AH14" s="5"/>
    </row>
    <row r="15" spans="1:34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tr">
        <f t="shared" si="0"/>
        <v>Total_Reports</v>
      </c>
      <c r="D15" s="3" t="str">
        <f t="shared" si="1"/>
        <v>C714</v>
      </c>
      <c r="E15" s="3" t="str">
        <f t="shared" si="2"/>
        <v>D714</v>
      </c>
      <c r="F15" s="3" t="str">
        <f t="shared" si="3"/>
        <v>E714</v>
      </c>
      <c r="G15" s="3" t="str">
        <f t="shared" si="4"/>
        <v>F714</v>
      </c>
      <c r="H15" s="3" t="str">
        <f t="shared" si="5"/>
        <v>G714</v>
      </c>
      <c r="I15" s="3" t="str">
        <f t="shared" si="6"/>
        <v>H714</v>
      </c>
      <c r="J15" s="3" t="str">
        <f t="shared" si="7"/>
        <v>I714</v>
      </c>
      <c r="K15" s="3" t="str">
        <f t="shared" si="8"/>
        <v>J714</v>
      </c>
      <c r="L15" s="3" t="str">
        <f t="shared" si="9"/>
        <v>K714</v>
      </c>
      <c r="M15" s="3" t="str">
        <f t="shared" si="10"/>
        <v>L714</v>
      </c>
      <c r="N15" s="3"/>
      <c r="O15" s="6"/>
      <c r="P15" s="3" t="str">
        <f>'Model names'!C13</f>
        <v>MI</v>
      </c>
      <c r="Q15" s="15">
        <f>[37]Total_Reports!C714</f>
        <v>0</v>
      </c>
      <c r="R15" s="15">
        <f>[37]Total_Reports!D714</f>
        <v>-11.379166747723264</v>
      </c>
      <c r="S15" s="15">
        <f>[37]Total_Reports!E714</f>
        <v>10.474574963005518</v>
      </c>
      <c r="T15" s="15">
        <f>[37]Total_Reports!F714</f>
        <v>-7.8177659115365925</v>
      </c>
      <c r="U15" s="15">
        <f>[37]Total_Reports!G714</f>
        <v>7.1962713331098307</v>
      </c>
      <c r="V15" s="15">
        <f>[37]Total_Reports!H714</f>
        <v>-9.198516979138379</v>
      </c>
      <c r="W15" s="15">
        <f>[37]Total_Reports!I714</f>
        <v>8.4672348421583514</v>
      </c>
      <c r="X15" s="15">
        <f>[37]Total_Reports!J714</f>
        <v>-14.552329427394278</v>
      </c>
      <c r="Y15" s="15">
        <f>[37]Total_Reports!K714</f>
        <v>13.395386063403825</v>
      </c>
      <c r="Z15" s="15">
        <f>[37]Total_Reports!L714</f>
        <v>-11.39499473011694</v>
      </c>
      <c r="AA15" s="15">
        <f>[29]Total_Reports!M714</f>
        <v>0</v>
      </c>
      <c r="AB15" s="7">
        <f>[29]Total_Reports!N714</f>
        <v>0</v>
      </c>
      <c r="AC15" s="8"/>
      <c r="AG15" s="5"/>
      <c r="AH15" s="5"/>
    </row>
    <row r="16" spans="1:34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tr">
        <f t="shared" si="0"/>
        <v>Total_Reports</v>
      </c>
      <c r="D16" s="3" t="str">
        <f t="shared" si="1"/>
        <v>C714</v>
      </c>
      <c r="E16" s="3" t="str">
        <f t="shared" si="2"/>
        <v>D714</v>
      </c>
      <c r="F16" s="3" t="str">
        <f t="shared" si="3"/>
        <v>E714</v>
      </c>
      <c r="G16" s="3" t="str">
        <f t="shared" si="4"/>
        <v>F714</v>
      </c>
      <c r="H16" s="3" t="str">
        <f t="shared" si="5"/>
        <v>G714</v>
      </c>
      <c r="I16" s="3" t="str">
        <f t="shared" si="6"/>
        <v>H714</v>
      </c>
      <c r="J16" s="3" t="str">
        <f t="shared" si="7"/>
        <v>I714</v>
      </c>
      <c r="K16" s="3" t="str">
        <f t="shared" si="8"/>
        <v>J714</v>
      </c>
      <c r="L16" s="3" t="str">
        <f t="shared" si="9"/>
        <v>K714</v>
      </c>
      <c r="M16" s="3" t="str">
        <f t="shared" si="10"/>
        <v>L714</v>
      </c>
      <c r="N16" s="3"/>
      <c r="O16" s="6"/>
      <c r="P16" s="3" t="str">
        <f>'Model names'!C14</f>
        <v>MO</v>
      </c>
      <c r="Q16" s="8">
        <f>[39]Total_Reports!C714</f>
        <v>0</v>
      </c>
      <c r="R16" s="8">
        <f>[39]Total_Reports!D714</f>
        <v>-1.1112888387287967E-11</v>
      </c>
      <c r="S16" s="8">
        <f>[39]Total_Reports!E714</f>
        <v>-1.0277290130034089E-10</v>
      </c>
      <c r="T16" s="8">
        <f>[39]Total_Reports!F714</f>
        <v>-1.0822986951097846E-10</v>
      </c>
      <c r="U16" s="8">
        <f>[39]Total_Reports!G714</f>
        <v>-2.3646862246096134E-11</v>
      </c>
      <c r="V16" s="8">
        <f>[39]Total_Reports!H714</f>
        <v>5.7298166211694479E-11</v>
      </c>
      <c r="W16" s="8">
        <f>[39]Total_Reports!I714</f>
        <v>-8.1854523159563541E-11</v>
      </c>
      <c r="X16" s="8">
        <f>[39]Total_Reports!J714</f>
        <v>-9.822542779147625E-11</v>
      </c>
      <c r="Y16" s="8">
        <f>[39]Total_Reports!K714</f>
        <v>1.6189005691558123E-10</v>
      </c>
      <c r="Z16" s="8">
        <f>[39]Total_Reports!L714</f>
        <v>-5.4569682106375694E-12</v>
      </c>
      <c r="AA16" s="8"/>
      <c r="AB16" s="7"/>
      <c r="AC16" s="8"/>
      <c r="AG16" s="5"/>
      <c r="AH16" s="5"/>
    </row>
    <row r="17" spans="1:34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tr">
        <f t="shared" si="0"/>
        <v>Total_Reports</v>
      </c>
      <c r="D17" s="3" t="str">
        <f t="shared" si="1"/>
        <v>C714</v>
      </c>
      <c r="E17" s="3" t="str">
        <f t="shared" si="2"/>
        <v>D714</v>
      </c>
      <c r="F17" s="3" t="str">
        <f t="shared" si="3"/>
        <v>E714</v>
      </c>
      <c r="G17" s="3" t="str">
        <f t="shared" si="4"/>
        <v>F714</v>
      </c>
      <c r="H17" s="3" t="str">
        <f t="shared" si="5"/>
        <v>G714</v>
      </c>
      <c r="I17" s="3" t="str">
        <f t="shared" si="6"/>
        <v>H714</v>
      </c>
      <c r="J17" s="3" t="str">
        <f t="shared" si="7"/>
        <v>I714</v>
      </c>
      <c r="K17" s="3" t="str">
        <f t="shared" si="8"/>
        <v>J714</v>
      </c>
      <c r="L17" s="3" t="str">
        <f t="shared" si="9"/>
        <v>K714</v>
      </c>
      <c r="M17" s="3" t="str">
        <f t="shared" si="10"/>
        <v>L714</v>
      </c>
      <c r="N17" s="3"/>
      <c r="O17" s="6"/>
      <c r="P17" s="3" t="str">
        <f>'Model names'!C15</f>
        <v>NJ</v>
      </c>
      <c r="Q17" s="8">
        <f>[41]Total_Reports!C714</f>
        <v>0</v>
      </c>
      <c r="R17" s="8">
        <f>[41]Total_Reports!D714</f>
        <v>-6.4119376474991441E-11</v>
      </c>
      <c r="S17" s="8">
        <f>[41]Total_Reports!E714</f>
        <v>2.4556356947869062E-11</v>
      </c>
      <c r="T17" s="8">
        <f>[41]Total_Reports!F714</f>
        <v>-1.0186340659856796E-10</v>
      </c>
      <c r="U17" s="8">
        <f>[41]Total_Reports!G714</f>
        <v>-1.9554136088117957E-11</v>
      </c>
      <c r="V17" s="8">
        <f>[41]Total_Reports!H714</f>
        <v>1.2914824765175581E-10</v>
      </c>
      <c r="W17" s="8">
        <f>[41]Total_Reports!I714</f>
        <v>1.4551915228366852E-10</v>
      </c>
      <c r="X17" s="8">
        <f>[41]Total_Reports!J714</f>
        <v>-5.0931703299283981E-11</v>
      </c>
      <c r="Y17" s="8">
        <f>[41]Total_Reports!K714</f>
        <v>-9.276845958083868E-11</v>
      </c>
      <c r="Z17" s="8">
        <f>[41]Total_Reports!L714</f>
        <v>-1.1186784831807017E-10</v>
      </c>
      <c r="AA17" s="8"/>
      <c r="AB17" s="7"/>
      <c r="AC17" s="8"/>
      <c r="AG17" s="5"/>
      <c r="AH17" s="5"/>
    </row>
    <row r="18" spans="1:34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tr">
        <f t="shared" si="0"/>
        <v>Total_Reports</v>
      </c>
      <c r="D18" s="3" t="str">
        <f t="shared" si="1"/>
        <v>C714</v>
      </c>
      <c r="E18" s="3" t="str">
        <f t="shared" si="2"/>
        <v>D714</v>
      </c>
      <c r="F18" s="3" t="str">
        <f t="shared" si="3"/>
        <v>E714</v>
      </c>
      <c r="G18" s="3" t="str">
        <f t="shared" si="4"/>
        <v>F714</v>
      </c>
      <c r="H18" s="3" t="str">
        <f t="shared" si="5"/>
        <v>G714</v>
      </c>
      <c r="I18" s="3" t="str">
        <f t="shared" si="6"/>
        <v>H714</v>
      </c>
      <c r="J18" s="3" t="str">
        <f t="shared" si="7"/>
        <v>I714</v>
      </c>
      <c r="K18" s="3" t="str">
        <f t="shared" si="8"/>
        <v>J714</v>
      </c>
      <c r="L18" s="3" t="str">
        <f t="shared" si="9"/>
        <v>K714</v>
      </c>
      <c r="M18" s="3" t="str">
        <f t="shared" si="10"/>
        <v>L714</v>
      </c>
      <c r="N18" s="3"/>
      <c r="O18" s="6"/>
      <c r="P18" s="3" t="str">
        <f>'Model names'!C16</f>
        <v>NY</v>
      </c>
      <c r="Q18" s="8">
        <f>[43]Total_Reports!C714</f>
        <v>0</v>
      </c>
      <c r="R18" s="8">
        <f>[43]Total_Reports!D714</f>
        <v>-3.9470648971473565E-11</v>
      </c>
      <c r="S18" s="8">
        <f>[43]Total_Reports!E714</f>
        <v>-1.7379875316692051E-11</v>
      </c>
      <c r="T18" s="8">
        <f>[43]Total_Reports!F714</f>
        <v>-293.88739611254601</v>
      </c>
      <c r="U18" s="8">
        <f>[43]Total_Reports!G714</f>
        <v>267.46357058169122</v>
      </c>
      <c r="V18" s="8">
        <f>[43]Total_Reports!H714</f>
        <v>-3.4560798667371273E-11</v>
      </c>
      <c r="W18" s="8">
        <f>[43]Total_Reports!I714</f>
        <v>-308.63853259221878</v>
      </c>
      <c r="X18" s="8">
        <f>[43]Total_Reports!J714</f>
        <v>280.89885253413559</v>
      </c>
      <c r="Y18" s="8">
        <f>[43]Total_Reports!K714</f>
        <v>1.8644641386345029E-11</v>
      </c>
      <c r="Z18" s="8">
        <f>[43]Total_Reports!L714</f>
        <v>-2.4556356947869062E-11</v>
      </c>
      <c r="AA18" s="8"/>
      <c r="AB18" s="7"/>
      <c r="AC18" s="8"/>
      <c r="AG18" s="5"/>
      <c r="AH18" s="5"/>
    </row>
    <row r="19" spans="1:34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tr">
        <f t="shared" si="0"/>
        <v>Total_Reports</v>
      </c>
      <c r="D19" s="3" t="str">
        <f t="shared" si="1"/>
        <v>C714</v>
      </c>
      <c r="E19" s="3" t="str">
        <f t="shared" si="2"/>
        <v>D714</v>
      </c>
      <c r="F19" s="3" t="str">
        <f t="shared" si="3"/>
        <v>E714</v>
      </c>
      <c r="G19" s="3" t="str">
        <f t="shared" si="4"/>
        <v>F714</v>
      </c>
      <c r="H19" s="3" t="str">
        <f t="shared" si="5"/>
        <v>G714</v>
      </c>
      <c r="I19" s="3" t="str">
        <f t="shared" si="6"/>
        <v>H714</v>
      </c>
      <c r="J19" s="3" t="str">
        <f t="shared" si="7"/>
        <v>I714</v>
      </c>
      <c r="K19" s="3" t="str">
        <f t="shared" si="8"/>
        <v>J714</v>
      </c>
      <c r="L19" s="3" t="str">
        <f t="shared" si="9"/>
        <v>K714</v>
      </c>
      <c r="M19" s="3" t="str">
        <f t="shared" si="10"/>
        <v>L714</v>
      </c>
      <c r="N19" s="3"/>
      <c r="O19" s="6"/>
      <c r="P19" s="3" t="str">
        <f>'Model names'!C17</f>
        <v>PA</v>
      </c>
      <c r="Q19" s="8">
        <f>[45]Total_Reports!C714</f>
        <v>0</v>
      </c>
      <c r="R19" s="8">
        <f>[45]Total_Reports!D714</f>
        <v>-1.8530954548623413E-10</v>
      </c>
      <c r="S19" s="8">
        <f>[45]Total_Reports!E714</f>
        <v>-6.5483618527650833E-11</v>
      </c>
      <c r="T19" s="8">
        <f>[45]Total_Reports!F714</f>
        <v>-5940.7254160498032</v>
      </c>
      <c r="U19" s="8">
        <f>[45]Total_Reports!G714</f>
        <v>5500.7762639043794</v>
      </c>
      <c r="V19" s="8">
        <f>[45]Total_Reports!H714</f>
        <v>6.730260793119669E-11</v>
      </c>
      <c r="W19" s="8">
        <f>[45]Total_Reports!I714</f>
        <v>-5113.357726297354</v>
      </c>
      <c r="X19" s="8">
        <f>[45]Total_Reports!J714</f>
        <v>4734.7404824387431</v>
      </c>
      <c r="Y19" s="8">
        <f>[45]Total_Reports!K714</f>
        <v>-4.7293724492192268E-11</v>
      </c>
      <c r="Z19" s="8">
        <f>[45]Total_Reports!L714</f>
        <v>-5186.2305742072094</v>
      </c>
      <c r="AA19" s="8"/>
      <c r="AB19" s="7"/>
      <c r="AG19" s="5"/>
      <c r="AH19" s="5"/>
    </row>
    <row r="20" spans="1:34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tr">
        <f t="shared" si="0"/>
        <v>Total_Reports</v>
      </c>
      <c r="D20" s="3" t="str">
        <f t="shared" si="1"/>
        <v>C714</v>
      </c>
      <c r="E20" s="3" t="str">
        <f t="shared" si="2"/>
        <v>D714</v>
      </c>
      <c r="F20" s="3" t="str">
        <f t="shared" si="3"/>
        <v>E714</v>
      </c>
      <c r="G20" s="3" t="str">
        <f t="shared" si="4"/>
        <v>F714</v>
      </c>
      <c r="H20" s="3" t="str">
        <f t="shared" si="5"/>
        <v>G714</v>
      </c>
      <c r="I20" s="3" t="str">
        <f t="shared" si="6"/>
        <v>H714</v>
      </c>
      <c r="J20" s="3" t="str">
        <f t="shared" si="7"/>
        <v>I714</v>
      </c>
      <c r="K20" s="3" t="str">
        <f t="shared" si="8"/>
        <v>J714</v>
      </c>
      <c r="L20" s="3" t="str">
        <f t="shared" si="9"/>
        <v>K714</v>
      </c>
      <c r="M20" s="3" t="str">
        <f t="shared" si="10"/>
        <v>L714</v>
      </c>
      <c r="N20" s="3"/>
      <c r="O20" s="6"/>
      <c r="P20" s="3" t="str">
        <f>'Model names'!C18</f>
        <v>TN</v>
      </c>
      <c r="Q20" s="8">
        <f>[47]Total_Reports!C714</f>
        <v>0</v>
      </c>
      <c r="R20" s="8">
        <f>[47]Total_Reports!D714</f>
        <v>-4.2845726966334041E-12</v>
      </c>
      <c r="S20" s="8">
        <f>[47]Total_Reports!E714</f>
        <v>-6.2527760746888816E-13</v>
      </c>
      <c r="T20" s="8">
        <f>[47]Total_Reports!F714</f>
        <v>-6.1390892369672656E-12</v>
      </c>
      <c r="U20" s="8">
        <f>[47]Total_Reports!G714</f>
        <v>-4.0927261579781771E-12</v>
      </c>
      <c r="V20" s="8">
        <f>[47]Total_Reports!H714</f>
        <v>1.3869794202037156E-11</v>
      </c>
      <c r="W20" s="8">
        <f>[47]Total_Reports!I714</f>
        <v>-8.1854523159563541E-12</v>
      </c>
      <c r="X20" s="8">
        <f>[47]Total_Reports!J714</f>
        <v>-3.2741809263825417E-11</v>
      </c>
      <c r="Y20" s="8">
        <f>[47]Total_Reports!K714</f>
        <v>-1.9099388737231493E-11</v>
      </c>
      <c r="Z20" s="8">
        <f>[47]Total_Reports!L714</f>
        <v>4.0927261579781771E-11</v>
      </c>
      <c r="AA20" s="8"/>
      <c r="AB20" s="7"/>
      <c r="AC20" s="8"/>
      <c r="AG20" s="5"/>
      <c r="AH20" s="5"/>
    </row>
    <row r="21" spans="1:34" hidden="1" outlineLevel="1" x14ac:dyDescent="0.3">
      <c r="A21" s="2" t="str">
        <f>'Model names'!$B$23</f>
        <v>G:\AW BUSINESS PLAN\2018-2022 BUSINESS PLAN\Outer Year Model\State Outer Year Models\2017.07.28 Submission</v>
      </c>
      <c r="B21" s="3" t="str">
        <f>'Model names'!B19</f>
        <v>AM_WATER_STATE_MODEL_10Yr_2018-2027_VA</v>
      </c>
      <c r="C21" s="3" t="str">
        <f t="shared" si="0"/>
        <v>Total_Reports</v>
      </c>
      <c r="D21" s="3" t="str">
        <f t="shared" ref="D21:O29" si="11">IF(C21=0,"",D20)</f>
        <v>C714</v>
      </c>
      <c r="E21" s="3" t="str">
        <f t="shared" si="11"/>
        <v>D714</v>
      </c>
      <c r="F21" s="3" t="str">
        <f t="shared" si="11"/>
        <v>E714</v>
      </c>
      <c r="G21" s="3" t="str">
        <f t="shared" si="11"/>
        <v>F714</v>
      </c>
      <c r="H21" s="3" t="str">
        <f t="shared" si="11"/>
        <v>G714</v>
      </c>
      <c r="I21" s="3" t="str">
        <f t="shared" si="11"/>
        <v>H714</v>
      </c>
      <c r="J21" s="3" t="str">
        <f t="shared" si="11"/>
        <v>I714</v>
      </c>
      <c r="K21" s="3" t="str">
        <f t="shared" si="11"/>
        <v>J714</v>
      </c>
      <c r="L21" s="3" t="str">
        <f t="shared" si="11"/>
        <v>K714</v>
      </c>
      <c r="M21" s="3" t="str">
        <f t="shared" si="11"/>
        <v>L714</v>
      </c>
      <c r="N21" s="3">
        <f t="shared" si="11"/>
        <v>0</v>
      </c>
      <c r="O21" s="6" t="str">
        <f t="shared" si="11"/>
        <v/>
      </c>
      <c r="P21" s="3" t="str">
        <f>'Model names'!C19</f>
        <v>VA</v>
      </c>
      <c r="Q21" s="8">
        <f>[49]Total_Reports!C714</f>
        <v>0</v>
      </c>
      <c r="R21" s="8">
        <f>[49]Total_Reports!D714</f>
        <v>-286.69653294583571</v>
      </c>
      <c r="S21" s="8">
        <f>[49]Total_Reports!E714</f>
        <v>268.59089636797592</v>
      </c>
      <c r="T21" s="8">
        <f>[49]Total_Reports!F714</f>
        <v>2.7284841053187847E-12</v>
      </c>
      <c r="U21" s="8">
        <f>[49]Total_Reports!G714</f>
        <v>-449.33373537224327</v>
      </c>
      <c r="V21" s="8">
        <f>[49]Total_Reports!H714</f>
        <v>415.72210348544854</v>
      </c>
      <c r="W21" s="8">
        <f>[49]Total_Reports!I714</f>
        <v>-3.0468072509393096E-11</v>
      </c>
      <c r="X21" s="8">
        <f>[49]Total_Reports!J714</f>
        <v>-504.10596841742893</v>
      </c>
      <c r="Y21" s="8">
        <f>[49]Total_Reports!K714</f>
        <v>465.67526295246466</v>
      </c>
      <c r="Z21" s="8">
        <f>[49]Total_Reports!L714</f>
        <v>-1.0231815394945443E-11</v>
      </c>
      <c r="AA21" s="8"/>
      <c r="AB21" s="7">
        <f>[57]Total_Reports!L312</f>
        <v>0</v>
      </c>
      <c r="AC21" s="8"/>
    </row>
    <row r="22" spans="1:34" hidden="1" outlineLevel="1" x14ac:dyDescent="0.3">
      <c r="A22" s="2" t="str">
        <f>'Model names'!$B$23</f>
        <v>G:\AW BUSINESS PLAN\2018-2022 BUSINESS PLAN\Outer Year Model\State Outer Year Models\2017.07.28 Submission</v>
      </c>
      <c r="B22" s="3" t="str">
        <f>'Model names'!B20</f>
        <v>AM_WATER_STATE_MODEL_10Yr_2018-2027_WV</v>
      </c>
      <c r="C22" s="3" t="str">
        <f t="shared" si="0"/>
        <v>Total_Reports</v>
      </c>
      <c r="D22" s="3" t="str">
        <f t="shared" si="11"/>
        <v>C714</v>
      </c>
      <c r="E22" s="3" t="str">
        <f t="shared" si="11"/>
        <v>D714</v>
      </c>
      <c r="F22" s="3" t="str">
        <f t="shared" si="11"/>
        <v>E714</v>
      </c>
      <c r="G22" s="3" t="str">
        <f t="shared" si="11"/>
        <v>F714</v>
      </c>
      <c r="H22" s="3" t="str">
        <f t="shared" si="11"/>
        <v>G714</v>
      </c>
      <c r="I22" s="3" t="str">
        <f t="shared" si="11"/>
        <v>H714</v>
      </c>
      <c r="J22" s="3" t="str">
        <f t="shared" si="11"/>
        <v>I714</v>
      </c>
      <c r="K22" s="3" t="str">
        <f t="shared" si="11"/>
        <v>J714</v>
      </c>
      <c r="L22" s="3" t="str">
        <f t="shared" si="11"/>
        <v>K714</v>
      </c>
      <c r="M22" s="3" t="str">
        <f t="shared" si="11"/>
        <v>L714</v>
      </c>
      <c r="N22" s="3">
        <f t="shared" si="11"/>
        <v>0</v>
      </c>
      <c r="O22" s="6" t="str">
        <f t="shared" si="11"/>
        <v/>
      </c>
      <c r="P22" s="3" t="str">
        <f>'Model names'!C20</f>
        <v>WV</v>
      </c>
      <c r="Q22" s="8">
        <f>[51]Total_Reports!C714</f>
        <v>0</v>
      </c>
      <c r="R22" s="8">
        <f>[51]Total_Reports!D714</f>
        <v>-2.4783730623312294E-11</v>
      </c>
      <c r="S22" s="8">
        <f>[51]Total_Reports!E714</f>
        <v>3.4560798667371273E-11</v>
      </c>
      <c r="T22" s="8">
        <f>[51]Total_Reports!F714</f>
        <v>2.6375346351414919E-11</v>
      </c>
      <c r="U22" s="8">
        <f>[51]Total_Reports!G714</f>
        <v>4.638422979041934E-11</v>
      </c>
      <c r="V22" s="8">
        <f>[51]Total_Reports!H714</f>
        <v>1.5006662579253316E-11</v>
      </c>
      <c r="W22" s="8">
        <f>[51]Total_Reports!I714</f>
        <v>3.1832314562052488E-12</v>
      </c>
      <c r="X22" s="8">
        <f>[51]Total_Reports!J714</f>
        <v>-2.3646862246096134E-11</v>
      </c>
      <c r="Y22" s="8">
        <f>[51]Total_Reports!K714</f>
        <v>5.0022208597511053E-11</v>
      </c>
      <c r="Z22" s="8">
        <f>[51]Total_Reports!L714</f>
        <v>5.1386450650170445E-11</v>
      </c>
      <c r="AA22" s="8"/>
      <c r="AB22" s="7">
        <f>[58]Total_Reports!L312</f>
        <v>68.581437573916674</v>
      </c>
      <c r="AC22" s="8"/>
    </row>
    <row r="23" spans="1:34" hidden="1" outlineLevel="1" x14ac:dyDescent="0.3">
      <c r="A23" s="2" t="str">
        <f t="shared" ref="A23:A33" si="12">IF(B23=0,"",A22)</f>
        <v/>
      </c>
      <c r="B23" s="3">
        <f>'Model names'!B21</f>
        <v>0</v>
      </c>
      <c r="C23" s="3" t="str">
        <f t="shared" si="0"/>
        <v/>
      </c>
      <c r="D23" s="3" t="str">
        <f t="shared" si="11"/>
        <v>C714</v>
      </c>
      <c r="E23" s="3" t="str">
        <f t="shared" si="11"/>
        <v>D714</v>
      </c>
      <c r="F23" s="3" t="str">
        <f t="shared" si="11"/>
        <v>E714</v>
      </c>
      <c r="G23" s="3" t="str">
        <f t="shared" si="11"/>
        <v>F714</v>
      </c>
      <c r="H23" s="3" t="str">
        <f t="shared" si="11"/>
        <v>G714</v>
      </c>
      <c r="I23" s="3" t="str">
        <f t="shared" si="11"/>
        <v>H714</v>
      </c>
      <c r="J23" s="3" t="str">
        <f t="shared" si="11"/>
        <v>I714</v>
      </c>
      <c r="K23" s="3" t="str">
        <f t="shared" si="11"/>
        <v>J714</v>
      </c>
      <c r="L23" s="3" t="str">
        <f t="shared" si="11"/>
        <v>K714</v>
      </c>
      <c r="M23" s="3" t="str">
        <f t="shared" si="11"/>
        <v>L714</v>
      </c>
      <c r="N23" s="3">
        <f t="shared" si="11"/>
        <v>0</v>
      </c>
      <c r="O23" s="6" t="str">
        <f t="shared" si="11"/>
        <v/>
      </c>
      <c r="P23" s="18">
        <f>'Model names'!C21</f>
        <v>0</v>
      </c>
      <c r="Q23" s="15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8"/>
      <c r="AC23" s="8"/>
    </row>
    <row r="24" spans="1:34" hidden="1" outlineLevel="1" x14ac:dyDescent="0.3">
      <c r="A24" s="2" t="e">
        <f t="shared" si="12"/>
        <v>#REF!</v>
      </c>
      <c r="B24" s="3" t="e">
        <f>'Model names'!#REF!</f>
        <v>#REF!</v>
      </c>
      <c r="C24" s="3" t="e">
        <f t="shared" si="0"/>
        <v>#REF!</v>
      </c>
      <c r="D24" s="3" t="e">
        <f t="shared" si="11"/>
        <v>#REF!</v>
      </c>
      <c r="E24" s="3" t="e">
        <f t="shared" si="11"/>
        <v>#REF!</v>
      </c>
      <c r="F24" s="3" t="e">
        <f t="shared" si="11"/>
        <v>#REF!</v>
      </c>
      <c r="G24" s="3" t="e">
        <f t="shared" si="11"/>
        <v>#REF!</v>
      </c>
      <c r="H24" s="3" t="e">
        <f t="shared" si="11"/>
        <v>#REF!</v>
      </c>
      <c r="I24" s="3" t="e">
        <f t="shared" si="11"/>
        <v>#REF!</v>
      </c>
      <c r="J24" s="3" t="e">
        <f t="shared" si="11"/>
        <v>#REF!</v>
      </c>
      <c r="K24" s="3" t="e">
        <f t="shared" si="11"/>
        <v>#REF!</v>
      </c>
      <c r="L24" s="3" t="e">
        <f t="shared" si="11"/>
        <v>#REF!</v>
      </c>
      <c r="M24" s="3" t="e">
        <f t="shared" si="11"/>
        <v>#REF!</v>
      </c>
      <c r="N24" s="3" t="e">
        <f t="shared" si="11"/>
        <v>#REF!</v>
      </c>
      <c r="O24" s="6" t="e">
        <f t="shared" si="11"/>
        <v>#REF!</v>
      </c>
      <c r="P24" s="18" t="e">
        <f>'Model names'!#REF!</f>
        <v>#REF!</v>
      </c>
      <c r="Q24" s="15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8"/>
      <c r="AC24" s="8"/>
    </row>
    <row r="25" spans="1:34" hidden="1" outlineLevel="1" x14ac:dyDescent="0.3">
      <c r="A25" s="2" t="e">
        <f t="shared" si="12"/>
        <v>#REF!</v>
      </c>
      <c r="B25" s="3" t="e">
        <f>'Model names'!#REF!</f>
        <v>#REF!</v>
      </c>
      <c r="C25" s="3" t="e">
        <f t="shared" si="0"/>
        <v>#REF!</v>
      </c>
      <c r="D25" s="3" t="e">
        <f t="shared" si="11"/>
        <v>#REF!</v>
      </c>
      <c r="E25" s="3" t="e">
        <f t="shared" si="11"/>
        <v>#REF!</v>
      </c>
      <c r="F25" s="3" t="e">
        <f t="shared" si="11"/>
        <v>#REF!</v>
      </c>
      <c r="G25" s="3" t="e">
        <f t="shared" si="11"/>
        <v>#REF!</v>
      </c>
      <c r="H25" s="3" t="e">
        <f t="shared" si="11"/>
        <v>#REF!</v>
      </c>
      <c r="I25" s="3" t="e">
        <f t="shared" si="11"/>
        <v>#REF!</v>
      </c>
      <c r="J25" s="3" t="e">
        <f t="shared" si="11"/>
        <v>#REF!</v>
      </c>
      <c r="K25" s="3" t="e">
        <f t="shared" si="11"/>
        <v>#REF!</v>
      </c>
      <c r="L25" s="3" t="e">
        <f t="shared" si="11"/>
        <v>#REF!</v>
      </c>
      <c r="M25" s="3" t="e">
        <f t="shared" si="11"/>
        <v>#REF!</v>
      </c>
      <c r="N25" s="3" t="e">
        <f t="shared" si="11"/>
        <v>#REF!</v>
      </c>
      <c r="O25" s="6" t="e">
        <f t="shared" si="11"/>
        <v>#REF!</v>
      </c>
      <c r="P25" s="18" t="e">
        <f>'Model names'!#REF!</f>
        <v>#REF!</v>
      </c>
      <c r="Q25" s="15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8"/>
      <c r="AC25" s="8"/>
    </row>
    <row r="26" spans="1:34" hidden="1" outlineLevel="1" x14ac:dyDescent="0.3">
      <c r="A26" s="2" t="e">
        <f t="shared" si="12"/>
        <v>#REF!</v>
      </c>
      <c r="B26" s="3" t="e">
        <f>'Model names'!#REF!</f>
        <v>#REF!</v>
      </c>
      <c r="C26" s="3" t="e">
        <f t="shared" si="0"/>
        <v>#REF!</v>
      </c>
      <c r="D26" s="3" t="e">
        <f t="shared" si="11"/>
        <v>#REF!</v>
      </c>
      <c r="E26" s="3" t="e">
        <f t="shared" si="11"/>
        <v>#REF!</v>
      </c>
      <c r="F26" s="3" t="e">
        <f t="shared" si="11"/>
        <v>#REF!</v>
      </c>
      <c r="G26" s="3" t="e">
        <f t="shared" si="11"/>
        <v>#REF!</v>
      </c>
      <c r="H26" s="3" t="e">
        <f t="shared" si="11"/>
        <v>#REF!</v>
      </c>
      <c r="I26" s="3" t="e">
        <f t="shared" si="11"/>
        <v>#REF!</v>
      </c>
      <c r="J26" s="3" t="e">
        <f t="shared" si="11"/>
        <v>#REF!</v>
      </c>
      <c r="K26" s="3" t="e">
        <f t="shared" si="11"/>
        <v>#REF!</v>
      </c>
      <c r="L26" s="3" t="e">
        <f t="shared" si="11"/>
        <v>#REF!</v>
      </c>
      <c r="M26" s="3" t="e">
        <f t="shared" si="11"/>
        <v>#REF!</v>
      </c>
      <c r="N26" s="3" t="e">
        <f t="shared" si="11"/>
        <v>#REF!</v>
      </c>
      <c r="O26" s="6" t="e">
        <f t="shared" si="11"/>
        <v>#REF!</v>
      </c>
      <c r="P26" s="18" t="e">
        <f>'Model names'!#REF!</f>
        <v>#REF!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4" hidden="1" outlineLevel="1" x14ac:dyDescent="0.3">
      <c r="A27" s="2" t="e">
        <f t="shared" si="12"/>
        <v>#REF!</v>
      </c>
      <c r="B27" s="3" t="e">
        <f>'Model names'!#REF!</f>
        <v>#REF!</v>
      </c>
      <c r="C27" s="3" t="e">
        <f t="shared" si="0"/>
        <v>#REF!</v>
      </c>
      <c r="D27" s="3" t="e">
        <f t="shared" si="11"/>
        <v>#REF!</v>
      </c>
      <c r="E27" s="3" t="e">
        <f t="shared" si="11"/>
        <v>#REF!</v>
      </c>
      <c r="F27" s="3" t="e">
        <f t="shared" si="11"/>
        <v>#REF!</v>
      </c>
      <c r="G27" s="3" t="e">
        <f t="shared" si="11"/>
        <v>#REF!</v>
      </c>
      <c r="H27" s="3" t="e">
        <f t="shared" si="11"/>
        <v>#REF!</v>
      </c>
      <c r="I27" s="3" t="e">
        <f t="shared" si="11"/>
        <v>#REF!</v>
      </c>
      <c r="J27" s="3" t="e">
        <f t="shared" si="11"/>
        <v>#REF!</v>
      </c>
      <c r="K27" s="3" t="e">
        <f t="shared" si="11"/>
        <v>#REF!</v>
      </c>
      <c r="L27" s="3" t="e">
        <f t="shared" si="11"/>
        <v>#REF!</v>
      </c>
      <c r="M27" s="3" t="e">
        <f t="shared" si="11"/>
        <v>#REF!</v>
      </c>
      <c r="N27" s="3" t="e">
        <f t="shared" si="11"/>
        <v>#REF!</v>
      </c>
      <c r="O27" s="6" t="e">
        <f t="shared" si="11"/>
        <v>#REF!</v>
      </c>
      <c r="P27" s="18" t="e">
        <f>'Model names'!#REF!</f>
        <v>#REF!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4" hidden="1" outlineLevel="1" x14ac:dyDescent="0.3">
      <c r="A28" s="2" t="e">
        <f t="shared" si="12"/>
        <v>#REF!</v>
      </c>
      <c r="B28" s="3" t="e">
        <f>'Model names'!#REF!</f>
        <v>#REF!</v>
      </c>
      <c r="C28" s="3" t="e">
        <f t="shared" si="0"/>
        <v>#REF!</v>
      </c>
      <c r="D28" s="3" t="e">
        <f t="shared" si="11"/>
        <v>#REF!</v>
      </c>
      <c r="E28" s="3" t="e">
        <f t="shared" si="11"/>
        <v>#REF!</v>
      </c>
      <c r="F28" s="3" t="e">
        <f t="shared" si="11"/>
        <v>#REF!</v>
      </c>
      <c r="G28" s="3" t="e">
        <f t="shared" si="11"/>
        <v>#REF!</v>
      </c>
      <c r="H28" s="3" t="e">
        <f t="shared" si="11"/>
        <v>#REF!</v>
      </c>
      <c r="I28" s="3" t="e">
        <f t="shared" si="11"/>
        <v>#REF!</v>
      </c>
      <c r="J28" s="3" t="e">
        <f t="shared" si="11"/>
        <v>#REF!</v>
      </c>
      <c r="K28" s="3" t="e">
        <f t="shared" si="11"/>
        <v>#REF!</v>
      </c>
      <c r="L28" s="3" t="e">
        <f t="shared" si="11"/>
        <v>#REF!</v>
      </c>
      <c r="M28" s="3" t="e">
        <f t="shared" si="11"/>
        <v>#REF!</v>
      </c>
      <c r="N28" s="3" t="e">
        <f t="shared" si="11"/>
        <v>#REF!</v>
      </c>
      <c r="O28" s="6" t="e">
        <f t="shared" si="11"/>
        <v>#REF!</v>
      </c>
      <c r="P28" s="18" t="e">
        <f>'Model names'!#REF!</f>
        <v>#REF!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4" hidden="1" outlineLevel="1" x14ac:dyDescent="0.3">
      <c r="A29" s="2" t="e">
        <f t="shared" si="12"/>
        <v>#REF!</v>
      </c>
      <c r="B29" s="3" t="e">
        <f>'Model names'!#REF!</f>
        <v>#REF!</v>
      </c>
      <c r="C29" s="3" t="e">
        <f t="shared" si="0"/>
        <v>#REF!</v>
      </c>
      <c r="D29" s="3" t="e">
        <f t="shared" si="11"/>
        <v>#REF!</v>
      </c>
      <c r="E29" s="3" t="e">
        <f t="shared" si="11"/>
        <v>#REF!</v>
      </c>
      <c r="F29" s="3" t="e">
        <f t="shared" si="11"/>
        <v>#REF!</v>
      </c>
      <c r="G29" s="3" t="e">
        <f t="shared" si="11"/>
        <v>#REF!</v>
      </c>
      <c r="H29" s="3" t="e">
        <f t="shared" si="11"/>
        <v>#REF!</v>
      </c>
      <c r="I29" s="3" t="e">
        <f t="shared" si="11"/>
        <v>#REF!</v>
      </c>
      <c r="J29" s="3" t="e">
        <f t="shared" si="11"/>
        <v>#REF!</v>
      </c>
      <c r="K29" s="3" t="e">
        <f t="shared" si="11"/>
        <v>#REF!</v>
      </c>
      <c r="L29" s="3" t="e">
        <f t="shared" si="11"/>
        <v>#REF!</v>
      </c>
      <c r="M29" s="3" t="e">
        <f t="shared" si="11"/>
        <v>#REF!</v>
      </c>
      <c r="N29" s="3" t="e">
        <f t="shared" si="11"/>
        <v>#REF!</v>
      </c>
      <c r="O29" s="6" t="e">
        <f t="shared" si="11"/>
        <v>#REF!</v>
      </c>
      <c r="P29" s="18" t="e">
        <f>'Model names'!#REF!</f>
        <v>#REF!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4" hidden="1" outlineLevel="1" x14ac:dyDescent="0.3">
      <c r="A30" s="2" t="e">
        <f t="shared" si="12"/>
        <v>#REF!</v>
      </c>
      <c r="B30" s="3" t="e">
        <f>'Model names'!#REF!</f>
        <v>#REF!</v>
      </c>
      <c r="C30" s="3" t="e">
        <f t="shared" si="0"/>
        <v>#REF!</v>
      </c>
      <c r="D30" s="3" t="e">
        <f t="shared" ref="D30:O30" si="13">IF(C30=0,"",D29)</f>
        <v>#REF!</v>
      </c>
      <c r="E30" s="3" t="e">
        <f t="shared" si="13"/>
        <v>#REF!</v>
      </c>
      <c r="F30" s="3" t="e">
        <f t="shared" si="13"/>
        <v>#REF!</v>
      </c>
      <c r="G30" s="3" t="e">
        <f t="shared" si="13"/>
        <v>#REF!</v>
      </c>
      <c r="H30" s="3" t="e">
        <f t="shared" si="13"/>
        <v>#REF!</v>
      </c>
      <c r="I30" s="3" t="e">
        <f t="shared" si="13"/>
        <v>#REF!</v>
      </c>
      <c r="J30" s="3" t="e">
        <f t="shared" si="13"/>
        <v>#REF!</v>
      </c>
      <c r="K30" s="3" t="e">
        <f t="shared" si="13"/>
        <v>#REF!</v>
      </c>
      <c r="L30" s="3" t="e">
        <f t="shared" si="13"/>
        <v>#REF!</v>
      </c>
      <c r="M30" s="3" t="e">
        <f t="shared" si="13"/>
        <v>#REF!</v>
      </c>
      <c r="N30" s="3" t="e">
        <f t="shared" si="13"/>
        <v>#REF!</v>
      </c>
      <c r="O30" s="6" t="e">
        <f t="shared" si="13"/>
        <v>#REF!</v>
      </c>
      <c r="P30" s="18" t="e">
        <f>'Model names'!#REF!</f>
        <v>#REF!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4" hidden="1" outlineLevel="1" x14ac:dyDescent="0.3">
      <c r="A31" s="2" t="e">
        <f t="shared" si="12"/>
        <v>#REF!</v>
      </c>
      <c r="B31" s="3" t="e">
        <f>'Model names'!#REF!</f>
        <v>#REF!</v>
      </c>
      <c r="C31" s="3" t="e">
        <f t="shared" ref="C31:O33" si="14">IF(B31=0,"",C30)</f>
        <v>#REF!</v>
      </c>
      <c r="D31" s="3" t="e">
        <f t="shared" si="14"/>
        <v>#REF!</v>
      </c>
      <c r="E31" s="3" t="e">
        <f t="shared" si="14"/>
        <v>#REF!</v>
      </c>
      <c r="F31" s="3" t="e">
        <f t="shared" si="14"/>
        <v>#REF!</v>
      </c>
      <c r="G31" s="3" t="e">
        <f t="shared" si="14"/>
        <v>#REF!</v>
      </c>
      <c r="H31" s="3" t="e">
        <f t="shared" si="14"/>
        <v>#REF!</v>
      </c>
      <c r="I31" s="3" t="e">
        <f t="shared" si="14"/>
        <v>#REF!</v>
      </c>
      <c r="J31" s="3" t="e">
        <f t="shared" si="14"/>
        <v>#REF!</v>
      </c>
      <c r="K31" s="3" t="e">
        <f t="shared" si="14"/>
        <v>#REF!</v>
      </c>
      <c r="L31" s="3" t="e">
        <f t="shared" si="14"/>
        <v>#REF!</v>
      </c>
      <c r="M31" s="3" t="e">
        <f t="shared" si="14"/>
        <v>#REF!</v>
      </c>
      <c r="N31" s="3" t="e">
        <f t="shared" si="14"/>
        <v>#REF!</v>
      </c>
      <c r="O31" s="6" t="e">
        <f t="shared" si="14"/>
        <v>#REF!</v>
      </c>
      <c r="P31" s="18" t="e">
        <f>'Model names'!#REF!</f>
        <v>#REF!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4" hidden="1" outlineLevel="1" x14ac:dyDescent="0.3">
      <c r="A32" s="2" t="e">
        <f t="shared" si="12"/>
        <v>#REF!</v>
      </c>
      <c r="B32" s="3" t="e">
        <f>'Model names'!#REF!</f>
        <v>#REF!</v>
      </c>
      <c r="C32" s="3" t="e">
        <f t="shared" si="14"/>
        <v>#REF!</v>
      </c>
      <c r="D32" s="3" t="e">
        <f t="shared" si="14"/>
        <v>#REF!</v>
      </c>
      <c r="E32" s="3" t="e">
        <f t="shared" si="14"/>
        <v>#REF!</v>
      </c>
      <c r="F32" s="3" t="e">
        <f t="shared" si="14"/>
        <v>#REF!</v>
      </c>
      <c r="G32" s="3" t="e">
        <f t="shared" si="14"/>
        <v>#REF!</v>
      </c>
      <c r="H32" s="3" t="e">
        <f t="shared" si="14"/>
        <v>#REF!</v>
      </c>
      <c r="I32" s="3" t="e">
        <f t="shared" si="14"/>
        <v>#REF!</v>
      </c>
      <c r="J32" s="3" t="e">
        <f t="shared" si="14"/>
        <v>#REF!</v>
      </c>
      <c r="K32" s="3" t="e">
        <f t="shared" si="14"/>
        <v>#REF!</v>
      </c>
      <c r="L32" s="3" t="e">
        <f t="shared" si="14"/>
        <v>#REF!</v>
      </c>
      <c r="M32" s="3" t="e">
        <f t="shared" si="14"/>
        <v>#REF!</v>
      </c>
      <c r="N32" s="3" t="e">
        <f t="shared" si="14"/>
        <v>#REF!</v>
      </c>
      <c r="O32" s="6" t="e">
        <f t="shared" si="14"/>
        <v>#REF!</v>
      </c>
      <c r="P32" s="18" t="e">
        <f>'Model names'!#REF!</f>
        <v>#REF!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hidden="1" outlineLevel="1" x14ac:dyDescent="0.3">
      <c r="A33" s="2" t="e">
        <f t="shared" si="12"/>
        <v>#REF!</v>
      </c>
      <c r="B33" s="3" t="e">
        <f>'Model names'!#REF!</f>
        <v>#REF!</v>
      </c>
      <c r="C33" s="3" t="e">
        <f t="shared" si="14"/>
        <v>#REF!</v>
      </c>
      <c r="D33" s="3" t="e">
        <f t="shared" si="14"/>
        <v>#REF!</v>
      </c>
      <c r="E33" s="3" t="e">
        <f t="shared" si="14"/>
        <v>#REF!</v>
      </c>
      <c r="F33" s="3" t="e">
        <f t="shared" si="14"/>
        <v>#REF!</v>
      </c>
      <c r="G33" s="3" t="e">
        <f t="shared" si="14"/>
        <v>#REF!</v>
      </c>
      <c r="H33" s="3" t="e">
        <f t="shared" si="14"/>
        <v>#REF!</v>
      </c>
      <c r="I33" s="3" t="e">
        <f t="shared" si="14"/>
        <v>#REF!</v>
      </c>
      <c r="J33" s="3" t="e">
        <f t="shared" si="14"/>
        <v>#REF!</v>
      </c>
      <c r="K33" s="3" t="e">
        <f t="shared" si="14"/>
        <v>#REF!</v>
      </c>
      <c r="L33" s="3" t="e">
        <f t="shared" si="14"/>
        <v>#REF!</v>
      </c>
      <c r="M33" s="3" t="e">
        <f t="shared" si="14"/>
        <v>#REF!</v>
      </c>
      <c r="N33" s="3" t="e">
        <f t="shared" si="14"/>
        <v>#REF!</v>
      </c>
      <c r="O33" s="6" t="e">
        <f t="shared" si="14"/>
        <v>#REF!</v>
      </c>
      <c r="P33" s="18" t="e">
        <f>'Model names'!#REF!</f>
        <v>#REF!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collapsed="1" x14ac:dyDescent="0.3">
      <c r="Q34" s="26">
        <f>SUM(Q4:Q20)</f>
        <v>0</v>
      </c>
      <c r="R34" s="27">
        <f t="shared" ref="R34:AA34" ca="1" si="15">SUM(R4:R20)</f>
        <v>-33806.670385647289</v>
      </c>
      <c r="S34" s="27">
        <f t="shared" ca="1" si="15"/>
        <v>-28370.943734147466</v>
      </c>
      <c r="T34" s="27">
        <f t="shared" ca="1" si="15"/>
        <v>-40773.76137601291</v>
      </c>
      <c r="U34" s="27">
        <f t="shared" ca="1" si="15"/>
        <v>-24990.733661495076</v>
      </c>
      <c r="V34" s="27">
        <f t="shared" ca="1" si="15"/>
        <v>-31972.35064984663</v>
      </c>
      <c r="W34" s="27">
        <f t="shared" ca="1" si="15"/>
        <v>-42726.470088175622</v>
      </c>
      <c r="X34" s="27">
        <f t="shared" ca="1" si="15"/>
        <v>-28750.291649568517</v>
      </c>
      <c r="Y34" s="27">
        <f t="shared" ca="1" si="15"/>
        <v>-32733.246646837837</v>
      </c>
      <c r="Z34" s="27">
        <f t="shared" ca="1" si="15"/>
        <v>-40849.520239674923</v>
      </c>
      <c r="AA34" s="28">
        <f t="shared" si="15"/>
        <v>0</v>
      </c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11" priority="3" operator="equal">
      <formula>"On"</formula>
    </cfRule>
  </conditionalFormatting>
  <conditionalFormatting sqref="V21:AA23">
    <cfRule type="cellIs" dxfId="10" priority="2" operator="equal">
      <formula>"On"</formula>
    </cfRule>
  </conditionalFormatting>
  <conditionalFormatting sqref="R21:R23">
    <cfRule type="cellIs" dxfId="9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9025" r:id="rId3" name="CommandButton21">
          <controlPr autoLine="0" r:id="rId4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29025" r:id="rId3" name="CommandButton2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rgb="FF0070C0"/>
  </sheetPr>
  <dimension ref="A1:AC40"/>
  <sheetViews>
    <sheetView topLeftCell="B1" zoomScale="70" zoomScaleNormal="70" workbookViewId="0">
      <selection activeCell="U42" sqref="U42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7" width="5.33203125" customWidth="1" outlineLevel="1"/>
    <col min="8" max="8" width="5" customWidth="1" outlineLevel="1"/>
    <col min="9" max="10" width="5.33203125" customWidth="1" outlineLevel="1"/>
    <col min="11" max="11" width="4.5546875" customWidth="1" outlineLevel="1"/>
    <col min="12" max="12" width="4.88671875" customWidth="1" outlineLevel="1"/>
    <col min="13" max="13" width="5.33203125" customWidth="1" outlineLevel="1"/>
    <col min="14" max="14" width="5" customWidth="1" outlineLevel="1"/>
    <col min="15" max="15" width="5.33203125" customWidth="1" outlineLevel="1"/>
    <col min="16" max="16" width="9.44140625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style="96" customWidth="1" outlineLevel="1"/>
    <col min="29" max="29" width="3.6640625" customWidth="1"/>
  </cols>
  <sheetData>
    <row r="1" spans="1:29" ht="35.4" customHeight="1" x14ac:dyDescent="0.3"/>
    <row r="2" spans="1:29" x14ac:dyDescent="0.3">
      <c r="A2">
        <f>COUNTIF(A4:A33,"&gt;""")</f>
        <v>19</v>
      </c>
      <c r="B2">
        <f>P2</f>
        <v>10</v>
      </c>
      <c r="P2" s="1">
        <v>10</v>
      </c>
      <c r="Q2" s="2"/>
      <c r="R2" s="2"/>
    </row>
    <row r="3" spans="1:29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Q3" s="2">
        <f>'Model names'!J1</f>
        <v>2018</v>
      </c>
      <c r="R3" s="2">
        <f>'Model names'!K1</f>
        <v>2019</v>
      </c>
      <c r="S3" s="2">
        <f>'Model names'!L1</f>
        <v>2020</v>
      </c>
      <c r="T3" s="2">
        <f>'Model names'!M1</f>
        <v>2021</v>
      </c>
      <c r="U3" s="2">
        <f>'Model names'!N1</f>
        <v>2022</v>
      </c>
      <c r="V3" s="2">
        <f>'Model names'!O1</f>
        <v>2023</v>
      </c>
      <c r="W3" s="2">
        <f>'Model names'!P1</f>
        <v>2024</v>
      </c>
      <c r="X3" s="2">
        <f>'Model names'!Q1</f>
        <v>2025</v>
      </c>
      <c r="Y3" s="2">
        <f>'Model names'!R1</f>
        <v>2026</v>
      </c>
      <c r="Z3" s="2">
        <f>'Model names'!S1</f>
        <v>2027</v>
      </c>
      <c r="AA3" s="2"/>
    </row>
    <row r="4" spans="1:29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60</v>
      </c>
      <c r="D4" s="3" t="s">
        <v>286</v>
      </c>
      <c r="E4" s="3" t="s">
        <v>285</v>
      </c>
      <c r="F4" s="3" t="s">
        <v>284</v>
      </c>
      <c r="G4" s="3" t="s">
        <v>283</v>
      </c>
      <c r="H4" s="3" t="s">
        <v>282</v>
      </c>
      <c r="I4" s="3" t="s">
        <v>281</v>
      </c>
      <c r="J4" s="3" t="s">
        <v>280</v>
      </c>
      <c r="K4" s="3" t="s">
        <v>279</v>
      </c>
      <c r="L4" s="3" t="s">
        <v>278</v>
      </c>
      <c r="M4" s="3" t="s">
        <v>277</v>
      </c>
      <c r="N4" s="3"/>
      <c r="O4" s="3"/>
      <c r="P4" s="3" t="str">
        <f>'Model names'!C2</f>
        <v>BFW</v>
      </c>
      <c r="Q4" s="15" t="s">
        <v>453</v>
      </c>
      <c r="R4" s="15" t="s">
        <v>454</v>
      </c>
      <c r="S4" s="15" t="s">
        <v>455</v>
      </c>
      <c r="T4" s="15" t="s">
        <v>456</v>
      </c>
      <c r="U4" s="15" t="s">
        <v>457</v>
      </c>
      <c r="V4" s="15" t="s">
        <v>458</v>
      </c>
      <c r="W4" s="15" t="s">
        <v>459</v>
      </c>
      <c r="X4" s="15" t="s">
        <v>460</v>
      </c>
      <c r="Y4" s="15" t="s">
        <v>461</v>
      </c>
      <c r="Z4" s="15" t="s">
        <v>462</v>
      </c>
      <c r="AA4" s="15"/>
      <c r="AB4" s="30"/>
      <c r="AC4" s="8"/>
    </row>
    <row r="5" spans="1:29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60</v>
      </c>
      <c r="D5" s="3" t="s">
        <v>286</v>
      </c>
      <c r="E5" s="3" t="s">
        <v>285</v>
      </c>
      <c r="F5" s="3" t="s">
        <v>284</v>
      </c>
      <c r="G5" s="3" t="s">
        <v>283</v>
      </c>
      <c r="H5" s="3" t="s">
        <v>282</v>
      </c>
      <c r="I5" s="3" t="s">
        <v>281</v>
      </c>
      <c r="J5" s="3" t="s">
        <v>280</v>
      </c>
      <c r="K5" s="3" t="s">
        <v>279</v>
      </c>
      <c r="L5" s="3" t="s">
        <v>278</v>
      </c>
      <c r="M5" s="3" t="s">
        <v>277</v>
      </c>
      <c r="N5" s="3"/>
      <c r="O5" s="3"/>
      <c r="P5" s="3" t="str">
        <f>'Model names'!C3</f>
        <v>CA</v>
      </c>
      <c r="Q5" s="15" t="s">
        <v>463</v>
      </c>
      <c r="R5" s="15" t="s">
        <v>464</v>
      </c>
      <c r="S5" s="15" t="s">
        <v>465</v>
      </c>
      <c r="T5" s="15" t="s">
        <v>466</v>
      </c>
      <c r="U5" s="15" t="s">
        <v>467</v>
      </c>
      <c r="V5" s="15" t="s">
        <v>468</v>
      </c>
      <c r="W5" s="15" t="s">
        <v>469</v>
      </c>
      <c r="X5" s="15" t="s">
        <v>470</v>
      </c>
      <c r="Y5" s="15" t="s">
        <v>471</v>
      </c>
      <c r="Z5" s="15" t="s">
        <v>472</v>
      </c>
      <c r="AA5" s="15"/>
      <c r="AB5" s="30"/>
      <c r="AC5" s="8"/>
    </row>
    <row r="6" spans="1:29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60</v>
      </c>
      <c r="D6" s="3" t="s">
        <v>286</v>
      </c>
      <c r="E6" s="3" t="s">
        <v>285</v>
      </c>
      <c r="F6" s="3" t="s">
        <v>284</v>
      </c>
      <c r="G6" s="3" t="s">
        <v>283</v>
      </c>
      <c r="H6" s="3" t="s">
        <v>282</v>
      </c>
      <c r="I6" s="3" t="s">
        <v>281</v>
      </c>
      <c r="J6" s="3" t="s">
        <v>280</v>
      </c>
      <c r="K6" s="3" t="s">
        <v>279</v>
      </c>
      <c r="L6" s="3" t="s">
        <v>278</v>
      </c>
      <c r="M6" s="3" t="s">
        <v>277</v>
      </c>
      <c r="N6" s="3"/>
      <c r="O6" s="3"/>
      <c r="P6" s="3" t="str">
        <f>'Model names'!C4</f>
        <v>ETS</v>
      </c>
      <c r="Q6" s="15" t="s">
        <v>645</v>
      </c>
      <c r="R6" s="15" t="s">
        <v>646</v>
      </c>
      <c r="S6" s="15" t="s">
        <v>647</v>
      </c>
      <c r="T6" s="15" t="s">
        <v>648</v>
      </c>
      <c r="U6" s="15" t="s">
        <v>649</v>
      </c>
      <c r="V6" s="15" t="s">
        <v>650</v>
      </c>
      <c r="W6" s="15" t="s">
        <v>651</v>
      </c>
      <c r="X6" s="15" t="s">
        <v>652</v>
      </c>
      <c r="Y6" s="15" t="s">
        <v>653</v>
      </c>
      <c r="Z6" s="15" t="s">
        <v>654</v>
      </c>
      <c r="AA6" s="15"/>
      <c r="AB6" s="30"/>
      <c r="AC6" s="8"/>
    </row>
    <row r="7" spans="1:29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60</v>
      </c>
      <c r="D7" s="3" t="s">
        <v>286</v>
      </c>
      <c r="E7" s="3" t="s">
        <v>285</v>
      </c>
      <c r="F7" s="3" t="s">
        <v>284</v>
      </c>
      <c r="G7" s="3" t="s">
        <v>283</v>
      </c>
      <c r="H7" s="3" t="s">
        <v>282</v>
      </c>
      <c r="I7" s="3" t="s">
        <v>281</v>
      </c>
      <c r="J7" s="3" t="s">
        <v>280</v>
      </c>
      <c r="K7" s="3" t="s">
        <v>279</v>
      </c>
      <c r="L7" s="3" t="s">
        <v>278</v>
      </c>
      <c r="M7" s="3" t="s">
        <v>277</v>
      </c>
      <c r="N7" s="3"/>
      <c r="O7" s="3"/>
      <c r="P7" s="3" t="str">
        <f>'Model names'!C5</f>
        <v>HI</v>
      </c>
      <c r="Q7" s="15" t="s">
        <v>473</v>
      </c>
      <c r="R7" s="15" t="s">
        <v>474</v>
      </c>
      <c r="S7" s="15" t="s">
        <v>475</v>
      </c>
      <c r="T7" s="15" t="s">
        <v>476</v>
      </c>
      <c r="U7" s="15" t="s">
        <v>477</v>
      </c>
      <c r="V7" s="15" t="s">
        <v>478</v>
      </c>
      <c r="W7" s="15" t="s">
        <v>479</v>
      </c>
      <c r="X7" s="15" t="s">
        <v>480</v>
      </c>
      <c r="Y7" s="15" t="s">
        <v>481</v>
      </c>
      <c r="Z7" s="15" t="s">
        <v>482</v>
      </c>
      <c r="AA7" s="15"/>
      <c r="AB7" s="30"/>
      <c r="AC7" s="8"/>
    </row>
    <row r="8" spans="1:29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60</v>
      </c>
      <c r="D8" s="3" t="s">
        <v>286</v>
      </c>
      <c r="E8" s="3" t="s">
        <v>285</v>
      </c>
      <c r="F8" s="3" t="s">
        <v>284</v>
      </c>
      <c r="G8" s="3" t="s">
        <v>283</v>
      </c>
      <c r="H8" s="3" t="s">
        <v>282</v>
      </c>
      <c r="I8" s="3" t="s">
        <v>281</v>
      </c>
      <c r="J8" s="3" t="s">
        <v>280</v>
      </c>
      <c r="K8" s="3" t="s">
        <v>279</v>
      </c>
      <c r="L8" s="3" t="s">
        <v>278</v>
      </c>
      <c r="M8" s="3" t="s">
        <v>277</v>
      </c>
      <c r="N8" s="3"/>
      <c r="O8" s="3"/>
      <c r="P8" s="3" t="str">
        <f>'Model names'!C6</f>
        <v>IA</v>
      </c>
      <c r="Q8" s="15" t="s">
        <v>483</v>
      </c>
      <c r="R8" s="15" t="s">
        <v>484</v>
      </c>
      <c r="S8" s="15" t="s">
        <v>485</v>
      </c>
      <c r="T8" s="15" t="s">
        <v>486</v>
      </c>
      <c r="U8" s="15" t="s">
        <v>487</v>
      </c>
      <c r="V8" s="15" t="s">
        <v>488</v>
      </c>
      <c r="W8" s="15" t="s">
        <v>489</v>
      </c>
      <c r="X8" s="15" t="s">
        <v>490</v>
      </c>
      <c r="Y8" s="15" t="s">
        <v>491</v>
      </c>
      <c r="Z8" s="15" t="s">
        <v>492</v>
      </c>
      <c r="AA8" s="15"/>
      <c r="AB8" s="30"/>
      <c r="AC8" s="8"/>
    </row>
    <row r="9" spans="1:29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60</v>
      </c>
      <c r="D9" s="3" t="s">
        <v>286</v>
      </c>
      <c r="E9" s="3" t="s">
        <v>285</v>
      </c>
      <c r="F9" s="3" t="s">
        <v>284</v>
      </c>
      <c r="G9" s="3" t="s">
        <v>283</v>
      </c>
      <c r="H9" s="3" t="s">
        <v>282</v>
      </c>
      <c r="I9" s="3" t="s">
        <v>281</v>
      </c>
      <c r="J9" s="3" t="s">
        <v>280</v>
      </c>
      <c r="K9" s="3" t="s">
        <v>279</v>
      </c>
      <c r="L9" s="3" t="s">
        <v>278</v>
      </c>
      <c r="M9" s="3" t="s">
        <v>277</v>
      </c>
      <c r="N9" s="3"/>
      <c r="O9" s="3"/>
      <c r="P9" s="3" t="str">
        <f>'Model names'!C7</f>
        <v>IL</v>
      </c>
      <c r="Q9" s="15" t="s">
        <v>493</v>
      </c>
      <c r="R9" s="15" t="s">
        <v>494</v>
      </c>
      <c r="S9" s="15" t="s">
        <v>495</v>
      </c>
      <c r="T9" s="15" t="s">
        <v>496</v>
      </c>
      <c r="U9" s="15" t="s">
        <v>497</v>
      </c>
      <c r="V9" s="15" t="s">
        <v>498</v>
      </c>
      <c r="W9" s="15" t="s">
        <v>499</v>
      </c>
      <c r="X9" s="15" t="s">
        <v>500</v>
      </c>
      <c r="Y9" s="15" t="s">
        <v>501</v>
      </c>
      <c r="Z9" s="15" t="s">
        <v>502</v>
      </c>
      <c r="AA9" s="15"/>
      <c r="AB9" s="30"/>
      <c r="AC9" s="8"/>
    </row>
    <row r="10" spans="1:29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60</v>
      </c>
      <c r="D10" s="3" t="s">
        <v>286</v>
      </c>
      <c r="E10" s="3" t="s">
        <v>285</v>
      </c>
      <c r="F10" s="3" t="s">
        <v>284</v>
      </c>
      <c r="G10" s="3" t="s">
        <v>283</v>
      </c>
      <c r="H10" s="3" t="s">
        <v>282</v>
      </c>
      <c r="I10" s="3" t="s">
        <v>281</v>
      </c>
      <c r="J10" s="3" t="s">
        <v>280</v>
      </c>
      <c r="K10" s="3" t="s">
        <v>279</v>
      </c>
      <c r="L10" s="3" t="s">
        <v>278</v>
      </c>
      <c r="M10" s="3" t="s">
        <v>277</v>
      </c>
      <c r="N10" s="3"/>
      <c r="O10" s="3"/>
      <c r="P10" s="3" t="str">
        <f>'Model names'!C8</f>
        <v>IN</v>
      </c>
      <c r="Q10" s="15" t="s">
        <v>503</v>
      </c>
      <c r="R10" s="15" t="s">
        <v>504</v>
      </c>
      <c r="S10" s="15" t="s">
        <v>505</v>
      </c>
      <c r="T10" s="15" t="s">
        <v>506</v>
      </c>
      <c r="U10" s="15" t="s">
        <v>507</v>
      </c>
      <c r="V10" s="15" t="s">
        <v>508</v>
      </c>
      <c r="W10" s="15" t="s">
        <v>509</v>
      </c>
      <c r="X10" s="15" t="s">
        <v>510</v>
      </c>
      <c r="Y10" s="15" t="s">
        <v>511</v>
      </c>
      <c r="Z10" s="15" t="s">
        <v>512</v>
      </c>
      <c r="AA10" s="15"/>
      <c r="AB10" s="30"/>
      <c r="AC10" s="8"/>
    </row>
    <row r="11" spans="1:29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60</v>
      </c>
      <c r="D11" s="3" t="s">
        <v>286</v>
      </c>
      <c r="E11" s="3" t="s">
        <v>285</v>
      </c>
      <c r="F11" s="3" t="s">
        <v>284</v>
      </c>
      <c r="G11" s="3" t="s">
        <v>283</v>
      </c>
      <c r="H11" s="3" t="s">
        <v>282</v>
      </c>
      <c r="I11" s="3" t="s">
        <v>281</v>
      </c>
      <c r="J11" s="3" t="s">
        <v>280</v>
      </c>
      <c r="K11" s="3" t="s">
        <v>279</v>
      </c>
      <c r="L11" s="3" t="s">
        <v>278</v>
      </c>
      <c r="M11" s="3" t="s">
        <v>277</v>
      </c>
      <c r="N11" s="3"/>
      <c r="O11" s="3"/>
      <c r="P11" s="3" t="str">
        <f>'Model names'!C9</f>
        <v>KY</v>
      </c>
      <c r="Q11" s="15" t="s">
        <v>513</v>
      </c>
      <c r="R11" s="15" t="s">
        <v>514</v>
      </c>
      <c r="S11" s="15" t="s">
        <v>515</v>
      </c>
      <c r="T11" s="15" t="s">
        <v>516</v>
      </c>
      <c r="U11" s="15" t="s">
        <v>517</v>
      </c>
      <c r="V11" s="15" t="s">
        <v>518</v>
      </c>
      <c r="W11" s="15" t="s">
        <v>519</v>
      </c>
      <c r="X11" s="15" t="s">
        <v>520</v>
      </c>
      <c r="Y11" s="15" t="s">
        <v>521</v>
      </c>
      <c r="Z11" s="15" t="s">
        <v>522</v>
      </c>
      <c r="AA11" s="15"/>
      <c r="AB11" s="30"/>
      <c r="AC11" s="8"/>
    </row>
    <row r="12" spans="1:29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60</v>
      </c>
      <c r="D12" s="3" t="s">
        <v>286</v>
      </c>
      <c r="E12" s="3" t="s">
        <v>285</v>
      </c>
      <c r="F12" s="3" t="s">
        <v>284</v>
      </c>
      <c r="G12" s="3" t="s">
        <v>283</v>
      </c>
      <c r="H12" s="3" t="s">
        <v>282</v>
      </c>
      <c r="I12" s="3" t="s">
        <v>281</v>
      </c>
      <c r="J12" s="3" t="s">
        <v>280</v>
      </c>
      <c r="K12" s="3" t="s">
        <v>279</v>
      </c>
      <c r="L12" s="3" t="s">
        <v>278</v>
      </c>
      <c r="M12" s="3" t="s">
        <v>277</v>
      </c>
      <c r="N12" s="3"/>
      <c r="O12" s="3"/>
      <c r="P12" s="3" t="str">
        <f>'Model names'!C10</f>
        <v>Liberty</v>
      </c>
      <c r="Q12" s="15" t="s">
        <v>655</v>
      </c>
      <c r="R12" s="15" t="s">
        <v>656</v>
      </c>
      <c r="S12" s="15" t="s">
        <v>657</v>
      </c>
      <c r="T12" s="15" t="s">
        <v>658</v>
      </c>
      <c r="U12" s="15" t="s">
        <v>659</v>
      </c>
      <c r="V12" s="15" t="s">
        <v>660</v>
      </c>
      <c r="W12" s="15" t="s">
        <v>661</v>
      </c>
      <c r="X12" s="15" t="s">
        <v>662</v>
      </c>
      <c r="Y12" s="15" t="s">
        <v>663</v>
      </c>
      <c r="Z12" s="15" t="s">
        <v>664</v>
      </c>
      <c r="AA12" s="15"/>
      <c r="AB12" s="30"/>
      <c r="AC12" s="8"/>
    </row>
    <row r="13" spans="1:29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60</v>
      </c>
      <c r="D13" s="3" t="s">
        <v>286</v>
      </c>
      <c r="E13" s="3" t="s">
        <v>285</v>
      </c>
      <c r="F13" s="3" t="s">
        <v>284</v>
      </c>
      <c r="G13" s="3" t="s">
        <v>283</v>
      </c>
      <c r="H13" s="3" t="s">
        <v>282</v>
      </c>
      <c r="I13" s="3" t="s">
        <v>281</v>
      </c>
      <c r="J13" s="3" t="s">
        <v>280</v>
      </c>
      <c r="K13" s="3" t="s">
        <v>279</v>
      </c>
      <c r="L13" s="3" t="s">
        <v>278</v>
      </c>
      <c r="M13" s="3" t="s">
        <v>277</v>
      </c>
      <c r="N13" s="3"/>
      <c r="O13" s="3"/>
      <c r="P13" s="3" t="str">
        <f>'Model names'!C11</f>
        <v>LW</v>
      </c>
      <c r="Q13" s="15" t="s">
        <v>523</v>
      </c>
      <c r="R13" s="15" t="s">
        <v>524</v>
      </c>
      <c r="S13" s="15" t="s">
        <v>525</v>
      </c>
      <c r="T13" s="15" t="s">
        <v>526</v>
      </c>
      <c r="U13" s="15" t="s">
        <v>527</v>
      </c>
      <c r="V13" s="15" t="s">
        <v>528</v>
      </c>
      <c r="W13" s="15" t="s">
        <v>529</v>
      </c>
      <c r="X13" s="15" t="s">
        <v>530</v>
      </c>
      <c r="Y13" s="15" t="s">
        <v>531</v>
      </c>
      <c r="Z13" s="15" t="s">
        <v>532</v>
      </c>
      <c r="AA13" s="15"/>
      <c r="AB13" s="30"/>
      <c r="AC13" s="8"/>
    </row>
    <row r="14" spans="1:29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60</v>
      </c>
      <c r="D14" s="3" t="s">
        <v>286</v>
      </c>
      <c r="E14" s="3" t="s">
        <v>285</v>
      </c>
      <c r="F14" s="3" t="s">
        <v>284</v>
      </c>
      <c r="G14" s="3" t="s">
        <v>283</v>
      </c>
      <c r="H14" s="3" t="s">
        <v>282</v>
      </c>
      <c r="I14" s="3" t="s">
        <v>281</v>
      </c>
      <c r="J14" s="3" t="s">
        <v>280</v>
      </c>
      <c r="K14" s="3" t="s">
        <v>279</v>
      </c>
      <c r="L14" s="3" t="s">
        <v>278</v>
      </c>
      <c r="M14" s="3" t="s">
        <v>277</v>
      </c>
      <c r="N14" s="3"/>
      <c r="O14" s="3"/>
      <c r="P14" s="3" t="str">
        <f>'Model names'!C12</f>
        <v>MD</v>
      </c>
      <c r="Q14" s="15" t="s">
        <v>533</v>
      </c>
      <c r="R14" s="15" t="s">
        <v>534</v>
      </c>
      <c r="S14" s="15" t="s">
        <v>535</v>
      </c>
      <c r="T14" s="15" t="s">
        <v>536</v>
      </c>
      <c r="U14" s="15" t="s">
        <v>537</v>
      </c>
      <c r="V14" s="15" t="s">
        <v>538</v>
      </c>
      <c r="W14" s="15" t="s">
        <v>539</v>
      </c>
      <c r="X14" s="15" t="s">
        <v>540</v>
      </c>
      <c r="Y14" s="15" t="s">
        <v>541</v>
      </c>
      <c r="Z14" s="15" t="s">
        <v>542</v>
      </c>
      <c r="AA14" s="15"/>
      <c r="AB14" s="30"/>
      <c r="AC14" s="8"/>
    </row>
    <row r="15" spans="1:29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60</v>
      </c>
      <c r="D15" s="3" t="s">
        <v>286</v>
      </c>
      <c r="E15" s="3" t="s">
        <v>285</v>
      </c>
      <c r="F15" s="3" t="s">
        <v>284</v>
      </c>
      <c r="G15" s="3" t="s">
        <v>283</v>
      </c>
      <c r="H15" s="3" t="s">
        <v>282</v>
      </c>
      <c r="I15" s="3" t="s">
        <v>281</v>
      </c>
      <c r="J15" s="3" t="s">
        <v>280</v>
      </c>
      <c r="K15" s="3" t="s">
        <v>279</v>
      </c>
      <c r="L15" s="3" t="s">
        <v>278</v>
      </c>
      <c r="M15" s="3" t="s">
        <v>277</v>
      </c>
      <c r="N15" s="3"/>
      <c r="O15" s="3"/>
      <c r="P15" s="3" t="str">
        <f>'Model names'!C13</f>
        <v>MI</v>
      </c>
      <c r="Q15" s="15" t="s">
        <v>543</v>
      </c>
      <c r="R15" s="15" t="s">
        <v>544</v>
      </c>
      <c r="S15" s="15" t="s">
        <v>545</v>
      </c>
      <c r="T15" s="15" t="s">
        <v>546</v>
      </c>
      <c r="U15" s="15" t="s">
        <v>547</v>
      </c>
      <c r="V15" s="15" t="s">
        <v>548</v>
      </c>
      <c r="W15" s="15" t="s">
        <v>549</v>
      </c>
      <c r="X15" s="15" t="s">
        <v>550</v>
      </c>
      <c r="Y15" s="15" t="s">
        <v>551</v>
      </c>
      <c r="Z15" s="15" t="s">
        <v>552</v>
      </c>
      <c r="AA15" s="15"/>
      <c r="AB15" s="30"/>
      <c r="AC15" s="8"/>
    </row>
    <row r="16" spans="1:29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60</v>
      </c>
      <c r="D16" s="3" t="s">
        <v>286</v>
      </c>
      <c r="E16" s="3" t="s">
        <v>285</v>
      </c>
      <c r="F16" s="3" t="s">
        <v>284</v>
      </c>
      <c r="G16" s="3" t="s">
        <v>283</v>
      </c>
      <c r="H16" s="3" t="s">
        <v>282</v>
      </c>
      <c r="I16" s="3" t="s">
        <v>281</v>
      </c>
      <c r="J16" s="3" t="s">
        <v>280</v>
      </c>
      <c r="K16" s="3" t="s">
        <v>279</v>
      </c>
      <c r="L16" s="3" t="s">
        <v>278</v>
      </c>
      <c r="M16" s="3" t="s">
        <v>277</v>
      </c>
      <c r="N16" s="3"/>
      <c r="O16" s="3"/>
      <c r="P16" s="3" t="str">
        <f>'Model names'!C14</f>
        <v>MO</v>
      </c>
      <c r="Q16" s="15" t="s">
        <v>553</v>
      </c>
      <c r="R16" s="15" t="s">
        <v>554</v>
      </c>
      <c r="S16" s="15" t="s">
        <v>555</v>
      </c>
      <c r="T16" s="15" t="s">
        <v>556</v>
      </c>
      <c r="U16" s="15" t="s">
        <v>557</v>
      </c>
      <c r="V16" s="15" t="s">
        <v>558</v>
      </c>
      <c r="W16" s="15" t="s">
        <v>559</v>
      </c>
      <c r="X16" s="15" t="s">
        <v>560</v>
      </c>
      <c r="Y16" s="15" t="s">
        <v>561</v>
      </c>
      <c r="Z16" s="15" t="s">
        <v>562</v>
      </c>
      <c r="AA16" s="15"/>
      <c r="AB16" s="30"/>
      <c r="AC16" s="8"/>
    </row>
    <row r="17" spans="1:29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60</v>
      </c>
      <c r="D17" s="3" t="s">
        <v>286</v>
      </c>
      <c r="E17" s="3" t="s">
        <v>285</v>
      </c>
      <c r="F17" s="3" t="s">
        <v>284</v>
      </c>
      <c r="G17" s="3" t="s">
        <v>283</v>
      </c>
      <c r="H17" s="3" t="s">
        <v>282</v>
      </c>
      <c r="I17" s="3" t="s">
        <v>281</v>
      </c>
      <c r="J17" s="3" t="s">
        <v>280</v>
      </c>
      <c r="K17" s="3" t="s">
        <v>279</v>
      </c>
      <c r="L17" s="3" t="s">
        <v>278</v>
      </c>
      <c r="M17" s="3" t="s">
        <v>277</v>
      </c>
      <c r="N17" s="3"/>
      <c r="O17" s="3"/>
      <c r="P17" s="3" t="str">
        <f>'Model names'!C15</f>
        <v>NJ</v>
      </c>
      <c r="Q17" s="15" t="s">
        <v>665</v>
      </c>
      <c r="R17" s="15" t="s">
        <v>666</v>
      </c>
      <c r="S17" s="15" t="s">
        <v>667</v>
      </c>
      <c r="T17" s="15" t="s">
        <v>668</v>
      </c>
      <c r="U17" s="15" t="s">
        <v>669</v>
      </c>
      <c r="V17" s="15" t="s">
        <v>670</v>
      </c>
      <c r="W17" s="15" t="s">
        <v>671</v>
      </c>
      <c r="X17" s="15" t="s">
        <v>672</v>
      </c>
      <c r="Y17" s="15" t="s">
        <v>673</v>
      </c>
      <c r="Z17" s="15" t="s">
        <v>674</v>
      </c>
      <c r="AA17" s="15"/>
      <c r="AB17" s="30"/>
      <c r="AC17" s="8"/>
    </row>
    <row r="18" spans="1:29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60</v>
      </c>
      <c r="D18" s="3" t="s">
        <v>286</v>
      </c>
      <c r="E18" s="3" t="s">
        <v>285</v>
      </c>
      <c r="F18" s="3" t="s">
        <v>284</v>
      </c>
      <c r="G18" s="3" t="s">
        <v>283</v>
      </c>
      <c r="H18" s="3" t="s">
        <v>282</v>
      </c>
      <c r="I18" s="3" t="s">
        <v>281</v>
      </c>
      <c r="J18" s="3" t="s">
        <v>280</v>
      </c>
      <c r="K18" s="3" t="s">
        <v>279</v>
      </c>
      <c r="L18" s="3" t="s">
        <v>278</v>
      </c>
      <c r="M18" s="3" t="s">
        <v>277</v>
      </c>
      <c r="N18" s="3"/>
      <c r="O18" s="3"/>
      <c r="P18" s="3" t="str">
        <f>'Model names'!C16</f>
        <v>NY</v>
      </c>
      <c r="Q18" s="15" t="s">
        <v>563</v>
      </c>
      <c r="R18" s="15" t="s">
        <v>564</v>
      </c>
      <c r="S18" s="15" t="s">
        <v>565</v>
      </c>
      <c r="T18" s="15" t="s">
        <v>566</v>
      </c>
      <c r="U18" s="15" t="s">
        <v>567</v>
      </c>
      <c r="V18" s="15" t="s">
        <v>568</v>
      </c>
      <c r="W18" s="15" t="s">
        <v>569</v>
      </c>
      <c r="X18" s="15" t="s">
        <v>570</v>
      </c>
      <c r="Y18" s="15" t="s">
        <v>571</v>
      </c>
      <c r="Z18" s="15" t="s">
        <v>572</v>
      </c>
      <c r="AA18" s="15"/>
      <c r="AB18" s="30"/>
      <c r="AC18" s="8"/>
    </row>
    <row r="19" spans="1:29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60</v>
      </c>
      <c r="D19" s="3" t="s">
        <v>286</v>
      </c>
      <c r="E19" s="3" t="s">
        <v>285</v>
      </c>
      <c r="F19" s="3" t="s">
        <v>284</v>
      </c>
      <c r="G19" s="3" t="s">
        <v>283</v>
      </c>
      <c r="H19" s="3" t="s">
        <v>282</v>
      </c>
      <c r="I19" s="3" t="s">
        <v>281</v>
      </c>
      <c r="J19" s="3" t="s">
        <v>280</v>
      </c>
      <c r="K19" s="3" t="s">
        <v>279</v>
      </c>
      <c r="L19" s="3" t="s">
        <v>278</v>
      </c>
      <c r="M19" s="3" t="s">
        <v>277</v>
      </c>
      <c r="N19" s="3"/>
      <c r="O19" s="3"/>
      <c r="P19" s="3" t="str">
        <f>'Model names'!C17</f>
        <v>PA</v>
      </c>
      <c r="Q19" s="15" t="s">
        <v>573</v>
      </c>
      <c r="R19" s="15" t="s">
        <v>574</v>
      </c>
      <c r="S19" s="15" t="s">
        <v>575</v>
      </c>
      <c r="T19" s="15" t="s">
        <v>576</v>
      </c>
      <c r="U19" s="15" t="s">
        <v>577</v>
      </c>
      <c r="V19" s="15" t="s">
        <v>578</v>
      </c>
      <c r="W19" s="15" t="s">
        <v>579</v>
      </c>
      <c r="X19" s="15" t="s">
        <v>580</v>
      </c>
      <c r="Y19" s="15" t="s">
        <v>581</v>
      </c>
      <c r="Z19" s="15" t="s">
        <v>582</v>
      </c>
      <c r="AA19" s="15"/>
      <c r="AB19" s="30"/>
    </row>
    <row r="20" spans="1:29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60</v>
      </c>
      <c r="D20" s="3" t="s">
        <v>286</v>
      </c>
      <c r="E20" s="3" t="s">
        <v>285</v>
      </c>
      <c r="F20" s="3" t="s">
        <v>284</v>
      </c>
      <c r="G20" s="3" t="s">
        <v>283</v>
      </c>
      <c r="H20" s="3" t="s">
        <v>282</v>
      </c>
      <c r="I20" s="3" t="s">
        <v>281</v>
      </c>
      <c r="J20" s="3" t="s">
        <v>280</v>
      </c>
      <c r="K20" s="3" t="s">
        <v>279</v>
      </c>
      <c r="L20" s="3" t="s">
        <v>278</v>
      </c>
      <c r="M20" s="3" t="s">
        <v>277</v>
      </c>
      <c r="N20" s="3"/>
      <c r="O20" s="3"/>
      <c r="P20" s="3" t="str">
        <f>'Model names'!C18</f>
        <v>TN</v>
      </c>
      <c r="Q20" s="15" t="s">
        <v>583</v>
      </c>
      <c r="R20" s="15" t="s">
        <v>584</v>
      </c>
      <c r="S20" s="15" t="s">
        <v>585</v>
      </c>
      <c r="T20" s="15" t="s">
        <v>586</v>
      </c>
      <c r="U20" s="15" t="s">
        <v>587</v>
      </c>
      <c r="V20" s="15" t="s">
        <v>588</v>
      </c>
      <c r="W20" s="15" t="s">
        <v>589</v>
      </c>
      <c r="X20" s="15" t="s">
        <v>590</v>
      </c>
      <c r="Y20" s="15" t="s">
        <v>591</v>
      </c>
      <c r="Z20" s="15" t="s">
        <v>592</v>
      </c>
      <c r="AA20" s="15"/>
      <c r="AB20" s="30"/>
      <c r="AC20" s="8"/>
    </row>
    <row r="21" spans="1:29" hidden="1" outlineLevel="1" x14ac:dyDescent="0.3">
      <c r="A21" s="2" t="str">
        <f>IF(B21=0,"",'[59]Model names'!$E$2)</f>
        <v>G:\AW BUSINESS PLAN\2017-2021 BUSINESS PLAN\Out Year Model\2016.08.29 Submission</v>
      </c>
      <c r="B21" s="3" t="str">
        <f>'[59]Model names'!B19</f>
        <v>AM_WATER_STATE_MODEL_10Yr_2017-2026_ETS</v>
      </c>
      <c r="C21" s="3" t="s">
        <v>16</v>
      </c>
      <c r="D21" s="3" t="s">
        <v>276</v>
      </c>
      <c r="E21" s="3" t="s">
        <v>275</v>
      </c>
      <c r="F21" s="3" t="s">
        <v>274</v>
      </c>
      <c r="G21" s="3" t="s">
        <v>273</v>
      </c>
      <c r="H21" s="3" t="s">
        <v>272</v>
      </c>
      <c r="I21" s="3" t="s">
        <v>271</v>
      </c>
      <c r="J21" s="3" t="s">
        <v>270</v>
      </c>
      <c r="K21" s="3" t="s">
        <v>269</v>
      </c>
      <c r="L21" s="3" t="s">
        <v>268</v>
      </c>
      <c r="M21" s="3" t="s">
        <v>267</v>
      </c>
      <c r="N21" s="3"/>
      <c r="O21" s="3"/>
      <c r="P21" s="3" t="str">
        <f>'Model names'!C19</f>
        <v>VA</v>
      </c>
      <c r="Q21" s="29" t="s">
        <v>593</v>
      </c>
      <c r="R21" s="29" t="s">
        <v>594</v>
      </c>
      <c r="S21" s="29" t="s">
        <v>595</v>
      </c>
      <c r="T21" s="29" t="s">
        <v>596</v>
      </c>
      <c r="U21" s="29" t="s">
        <v>597</v>
      </c>
      <c r="V21" s="29" t="s">
        <v>598</v>
      </c>
      <c r="W21" s="29" t="s">
        <v>599</v>
      </c>
      <c r="X21" s="29" t="s">
        <v>600</v>
      </c>
      <c r="Y21" s="29" t="s">
        <v>601</v>
      </c>
      <c r="Z21" s="29" t="s">
        <v>602</v>
      </c>
      <c r="AA21" s="8"/>
      <c r="AB21" s="8"/>
      <c r="AC21" s="8"/>
    </row>
    <row r="22" spans="1:29" hidden="1" outlineLevel="1" x14ac:dyDescent="0.3">
      <c r="A22" s="2" t="str">
        <f>IF(B22=0,"",'[59]Model names'!$E$2)</f>
        <v>G:\AW BUSINESS PLAN\2017-2021 BUSINESS PLAN\Out Year Model\2016.08.29 Submission</v>
      </c>
      <c r="B22" s="3" t="str">
        <f>'[59]Model names'!B20</f>
        <v>AM_WATER_STATE_MODEL_10Yr_2017-2026_LIB</v>
      </c>
      <c r="C22" s="3" t="s">
        <v>16</v>
      </c>
      <c r="D22" s="3" t="s">
        <v>276</v>
      </c>
      <c r="E22" s="3" t="s">
        <v>275</v>
      </c>
      <c r="F22" s="3" t="s">
        <v>274</v>
      </c>
      <c r="G22" s="3" t="s">
        <v>273</v>
      </c>
      <c r="H22" s="3" t="s">
        <v>272</v>
      </c>
      <c r="I22" s="3" t="s">
        <v>271</v>
      </c>
      <c r="J22" s="3" t="s">
        <v>270</v>
      </c>
      <c r="K22" s="3" t="s">
        <v>269</v>
      </c>
      <c r="L22" s="3" t="s">
        <v>268</v>
      </c>
      <c r="M22" s="3" t="s">
        <v>267</v>
      </c>
      <c r="N22" s="3"/>
      <c r="O22" s="3"/>
      <c r="P22" s="3" t="str">
        <f>'Model names'!C20</f>
        <v>WV</v>
      </c>
      <c r="Q22" s="29" t="s">
        <v>603</v>
      </c>
      <c r="R22" s="29" t="s">
        <v>604</v>
      </c>
      <c r="S22" s="29" t="s">
        <v>605</v>
      </c>
      <c r="T22" s="29" t="s">
        <v>606</v>
      </c>
      <c r="U22" s="29" t="s">
        <v>607</v>
      </c>
      <c r="V22" s="29" t="s">
        <v>608</v>
      </c>
      <c r="W22" s="29" t="s">
        <v>609</v>
      </c>
      <c r="X22" s="29" t="s">
        <v>610</v>
      </c>
      <c r="Y22" s="29" t="s">
        <v>611</v>
      </c>
      <c r="Z22" s="29" t="s">
        <v>612</v>
      </c>
      <c r="AA22" s="8"/>
      <c r="AB22" s="8"/>
      <c r="AC22" s="8"/>
    </row>
    <row r="23" spans="1:29" hidden="1" outlineLevel="1" x14ac:dyDescent="0.3">
      <c r="A23" s="2" t="str">
        <f>IF(B23=0,"",'[59]Model names'!$E$2)</f>
        <v/>
      </c>
      <c r="B23" s="3"/>
      <c r="C23" s="3" t="str">
        <f t="shared" ref="C23:C33" si="0">IF(B23=0,"",C22)</f>
        <v/>
      </c>
      <c r="D23" s="3" t="s">
        <v>276</v>
      </c>
      <c r="E23" s="3" t="s">
        <v>275</v>
      </c>
      <c r="F23" s="3" t="s">
        <v>274</v>
      </c>
      <c r="G23" s="3" t="s">
        <v>273</v>
      </c>
      <c r="H23" s="3" t="s">
        <v>272</v>
      </c>
      <c r="I23" s="3" t="s">
        <v>271</v>
      </c>
      <c r="J23" s="3" t="s">
        <v>270</v>
      </c>
      <c r="K23" s="3" t="s">
        <v>269</v>
      </c>
      <c r="L23" s="3" t="s">
        <v>268</v>
      </c>
      <c r="M23" s="3" t="s">
        <v>267</v>
      </c>
      <c r="N23" s="3"/>
      <c r="O23" s="3"/>
      <c r="P23" s="3">
        <f>'Model names'!C21</f>
        <v>0</v>
      </c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17"/>
      <c r="AB23" s="8"/>
      <c r="AC23" s="8"/>
    </row>
    <row r="24" spans="1:29" hidden="1" outlineLevel="1" x14ac:dyDescent="0.3">
      <c r="A24" s="2" t="str">
        <f>IF(B24=0,"",'[59]Model names'!$E$2)</f>
        <v/>
      </c>
      <c r="B24" s="3"/>
      <c r="C24" s="3" t="str">
        <f t="shared" si="0"/>
        <v/>
      </c>
      <c r="D24" s="3" t="s">
        <v>276</v>
      </c>
      <c r="E24" s="3" t="s">
        <v>275</v>
      </c>
      <c r="F24" s="3" t="s">
        <v>274</v>
      </c>
      <c r="G24" s="3" t="s">
        <v>273</v>
      </c>
      <c r="H24" s="3" t="s">
        <v>272</v>
      </c>
      <c r="I24" s="3" t="s">
        <v>271</v>
      </c>
      <c r="J24" s="3" t="s">
        <v>270</v>
      </c>
      <c r="K24" s="3" t="s">
        <v>269</v>
      </c>
      <c r="L24" s="3" t="s">
        <v>268</v>
      </c>
      <c r="M24" s="3" t="s">
        <v>267</v>
      </c>
      <c r="N24" s="3"/>
      <c r="O24" s="3"/>
      <c r="P24" s="3" t="e">
        <f>'Model names'!#REF!</f>
        <v>#REF!</v>
      </c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17"/>
      <c r="AB24" s="8"/>
      <c r="AC24" s="8"/>
    </row>
    <row r="25" spans="1:29" hidden="1" outlineLevel="1" x14ac:dyDescent="0.3">
      <c r="A25" s="2" t="str">
        <f>IF(B25=0,"",'[59]Model names'!$E$2)</f>
        <v/>
      </c>
      <c r="B25" s="3"/>
      <c r="C25" s="3" t="str">
        <f t="shared" si="0"/>
        <v/>
      </c>
      <c r="D25" s="3" t="s">
        <v>276</v>
      </c>
      <c r="E25" s="3" t="s">
        <v>275</v>
      </c>
      <c r="F25" s="3" t="s">
        <v>274</v>
      </c>
      <c r="G25" s="3" t="s">
        <v>273</v>
      </c>
      <c r="H25" s="3" t="s">
        <v>272</v>
      </c>
      <c r="I25" s="3" t="s">
        <v>271</v>
      </c>
      <c r="J25" s="3" t="s">
        <v>270</v>
      </c>
      <c r="K25" s="3" t="s">
        <v>269</v>
      </c>
      <c r="L25" s="3" t="s">
        <v>268</v>
      </c>
      <c r="M25" s="3" t="s">
        <v>267</v>
      </c>
      <c r="N25" s="3"/>
      <c r="O25" s="3"/>
      <c r="P25" s="3" t="e">
        <f>'Model names'!#REF!</f>
        <v>#REF!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17"/>
      <c r="AB25" s="8"/>
      <c r="AC25" s="8"/>
    </row>
    <row r="26" spans="1:29" hidden="1" outlineLevel="1" x14ac:dyDescent="0.3">
      <c r="A26" s="2" t="str">
        <f>IF(B26=0,"",'[59]Model names'!$E$2)</f>
        <v/>
      </c>
      <c r="B26" s="3"/>
      <c r="C26" s="3" t="str">
        <f t="shared" si="0"/>
        <v/>
      </c>
      <c r="D26" s="3" t="s">
        <v>276</v>
      </c>
      <c r="E26" s="3" t="s">
        <v>275</v>
      </c>
      <c r="F26" s="3" t="s">
        <v>274</v>
      </c>
      <c r="G26" s="3" t="s">
        <v>273</v>
      </c>
      <c r="H26" s="3" t="s">
        <v>272</v>
      </c>
      <c r="I26" s="3" t="s">
        <v>271</v>
      </c>
      <c r="J26" s="3" t="s">
        <v>270</v>
      </c>
      <c r="K26" s="3" t="s">
        <v>269</v>
      </c>
      <c r="L26" s="3" t="s">
        <v>268</v>
      </c>
      <c r="M26" s="3" t="s">
        <v>267</v>
      </c>
      <c r="N26" s="3"/>
      <c r="O26" s="3"/>
      <c r="P26" s="3" t="e">
        <f>'Model names'!#REF!</f>
        <v>#REF!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8"/>
      <c r="AB26" s="8"/>
      <c r="AC26" s="8"/>
    </row>
    <row r="27" spans="1:29" hidden="1" outlineLevel="1" x14ac:dyDescent="0.3">
      <c r="A27" s="2" t="str">
        <f>IF(B27=0,"",'[59]Model names'!$E$2)</f>
        <v/>
      </c>
      <c r="B27" s="3"/>
      <c r="C27" s="3" t="str">
        <f t="shared" si="0"/>
        <v/>
      </c>
      <c r="D27" s="3" t="s">
        <v>276</v>
      </c>
      <c r="E27" s="3" t="s">
        <v>275</v>
      </c>
      <c r="F27" s="3" t="s">
        <v>274</v>
      </c>
      <c r="G27" s="3" t="s">
        <v>273</v>
      </c>
      <c r="H27" s="3" t="s">
        <v>272</v>
      </c>
      <c r="I27" s="3" t="s">
        <v>271</v>
      </c>
      <c r="J27" s="3" t="s">
        <v>270</v>
      </c>
      <c r="K27" s="3" t="s">
        <v>269</v>
      </c>
      <c r="L27" s="3" t="s">
        <v>268</v>
      </c>
      <c r="M27" s="3" t="s">
        <v>267</v>
      </c>
      <c r="N27" s="3"/>
      <c r="O27" s="3"/>
      <c r="P27" s="3" t="e">
        <f>'Model names'!#REF!</f>
        <v>#REF!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8"/>
      <c r="AB27" s="8"/>
      <c r="AC27" s="8"/>
    </row>
    <row r="28" spans="1:29" hidden="1" outlineLevel="1" x14ac:dyDescent="0.3">
      <c r="A28" s="2" t="str">
        <f>IF(B28=0,"",'[59]Model names'!$E$2)</f>
        <v/>
      </c>
      <c r="B28" s="3"/>
      <c r="C28" s="3" t="str">
        <f t="shared" si="0"/>
        <v/>
      </c>
      <c r="D28" s="3" t="s">
        <v>276</v>
      </c>
      <c r="E28" s="3" t="s">
        <v>275</v>
      </c>
      <c r="F28" s="3" t="s">
        <v>274</v>
      </c>
      <c r="G28" s="3" t="s">
        <v>273</v>
      </c>
      <c r="H28" s="3" t="s">
        <v>272</v>
      </c>
      <c r="I28" s="3" t="s">
        <v>271</v>
      </c>
      <c r="J28" s="3" t="s">
        <v>270</v>
      </c>
      <c r="K28" s="3" t="s">
        <v>269</v>
      </c>
      <c r="L28" s="3" t="s">
        <v>268</v>
      </c>
      <c r="M28" s="3" t="s">
        <v>267</v>
      </c>
      <c r="N28" s="3"/>
      <c r="O28" s="3"/>
      <c r="P28" s="3" t="e">
        <f>'Model names'!#REF!</f>
        <v>#REF!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8"/>
      <c r="AB28" s="8"/>
      <c r="AC28" s="8"/>
    </row>
    <row r="29" spans="1:29" hidden="1" outlineLevel="1" x14ac:dyDescent="0.3">
      <c r="A29" s="2" t="str">
        <f>IF(B29=0,"",'[59]Model names'!$E$2)</f>
        <v/>
      </c>
      <c r="B29" s="3"/>
      <c r="C29" s="3" t="str">
        <f t="shared" si="0"/>
        <v/>
      </c>
      <c r="D29" s="3" t="s">
        <v>276</v>
      </c>
      <c r="E29" s="3" t="s">
        <v>275</v>
      </c>
      <c r="F29" s="3" t="s">
        <v>274</v>
      </c>
      <c r="G29" s="3" t="s">
        <v>273</v>
      </c>
      <c r="H29" s="3" t="s">
        <v>272</v>
      </c>
      <c r="I29" s="3" t="s">
        <v>271</v>
      </c>
      <c r="J29" s="3" t="s">
        <v>270</v>
      </c>
      <c r="K29" s="3" t="s">
        <v>269</v>
      </c>
      <c r="L29" s="3" t="s">
        <v>268</v>
      </c>
      <c r="M29" s="3" t="s">
        <v>267</v>
      </c>
      <c r="N29" s="3"/>
      <c r="O29" s="3"/>
      <c r="P29" s="3" t="e">
        <f>'Model names'!#REF!</f>
        <v>#REF!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8"/>
      <c r="AB29" s="8"/>
      <c r="AC29" s="8"/>
    </row>
    <row r="30" spans="1:29" hidden="1" outlineLevel="1" x14ac:dyDescent="0.3">
      <c r="A30" s="2" t="str">
        <f>IF(B30=0,"",'[59]Model names'!$E$2)</f>
        <v/>
      </c>
      <c r="B30" s="3"/>
      <c r="C30" s="3" t="str">
        <f t="shared" si="0"/>
        <v/>
      </c>
      <c r="D30" s="3" t="s">
        <v>276</v>
      </c>
      <c r="E30" s="3" t="s">
        <v>275</v>
      </c>
      <c r="F30" s="3" t="s">
        <v>274</v>
      </c>
      <c r="G30" s="3" t="s">
        <v>273</v>
      </c>
      <c r="H30" s="3" t="s">
        <v>272</v>
      </c>
      <c r="I30" s="3" t="s">
        <v>271</v>
      </c>
      <c r="J30" s="3" t="s">
        <v>270</v>
      </c>
      <c r="K30" s="3" t="s">
        <v>269</v>
      </c>
      <c r="L30" s="3" t="s">
        <v>268</v>
      </c>
      <c r="M30" s="3" t="s">
        <v>267</v>
      </c>
      <c r="N30" s="3"/>
      <c r="O30" s="3"/>
      <c r="P30" s="3" t="e">
        <f>'Model names'!#REF!</f>
        <v>#REF!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8"/>
      <c r="AB30" s="8"/>
      <c r="AC30" s="8"/>
    </row>
    <row r="31" spans="1:29" hidden="1" outlineLevel="1" x14ac:dyDescent="0.3">
      <c r="A31" s="2" t="str">
        <f>IF(B31=0,"",'[59]Model names'!$E$2)</f>
        <v/>
      </c>
      <c r="B31" s="3"/>
      <c r="C31" s="3" t="str">
        <f t="shared" si="0"/>
        <v/>
      </c>
      <c r="D31" s="3" t="s">
        <v>276</v>
      </c>
      <c r="E31" s="3" t="s">
        <v>275</v>
      </c>
      <c r="F31" s="3" t="s">
        <v>274</v>
      </c>
      <c r="G31" s="3" t="s">
        <v>273</v>
      </c>
      <c r="H31" s="3" t="s">
        <v>272</v>
      </c>
      <c r="I31" s="3" t="s">
        <v>271</v>
      </c>
      <c r="J31" s="3" t="s">
        <v>270</v>
      </c>
      <c r="K31" s="3" t="s">
        <v>269</v>
      </c>
      <c r="L31" s="3" t="s">
        <v>268</v>
      </c>
      <c r="M31" s="3" t="s">
        <v>267</v>
      </c>
      <c r="N31" s="3"/>
      <c r="O31" s="3"/>
      <c r="P31" s="3" t="e">
        <f>'Model names'!#REF!</f>
        <v>#REF!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8"/>
      <c r="AB31" s="8"/>
      <c r="AC31" s="8"/>
    </row>
    <row r="32" spans="1:29" hidden="1" outlineLevel="1" x14ac:dyDescent="0.3">
      <c r="A32" s="2" t="str">
        <f>IF(B32=0,"",'[59]Model names'!$E$2)</f>
        <v/>
      </c>
      <c r="B32" s="3"/>
      <c r="C32" s="3" t="str">
        <f t="shared" si="0"/>
        <v/>
      </c>
      <c r="D32" s="3" t="s">
        <v>276</v>
      </c>
      <c r="E32" s="3" t="s">
        <v>275</v>
      </c>
      <c r="F32" s="3" t="s">
        <v>274</v>
      </c>
      <c r="G32" s="3" t="s">
        <v>273</v>
      </c>
      <c r="H32" s="3" t="s">
        <v>272</v>
      </c>
      <c r="I32" s="3" t="s">
        <v>271</v>
      </c>
      <c r="J32" s="3" t="s">
        <v>270</v>
      </c>
      <c r="K32" s="3" t="s">
        <v>269</v>
      </c>
      <c r="L32" s="3" t="s">
        <v>268</v>
      </c>
      <c r="M32" s="3" t="s">
        <v>267</v>
      </c>
      <c r="N32" s="3"/>
      <c r="O32" s="3"/>
      <c r="P32" s="3" t="e">
        <f>'Model names'!#REF!</f>
        <v>#REF!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8"/>
      <c r="AB32" s="8"/>
      <c r="AC32" s="8"/>
    </row>
    <row r="33" spans="1:29" hidden="1" outlineLevel="1" x14ac:dyDescent="0.3">
      <c r="A33" s="2" t="str">
        <f>IF(B33=0,"",'[59]Model names'!$E$2)</f>
        <v/>
      </c>
      <c r="B33" s="3"/>
      <c r="C33" s="3" t="str">
        <f t="shared" si="0"/>
        <v/>
      </c>
      <c r="D33" s="3" t="s">
        <v>276</v>
      </c>
      <c r="E33" s="3" t="s">
        <v>275</v>
      </c>
      <c r="F33" s="3" t="s">
        <v>274</v>
      </c>
      <c r="G33" s="3" t="s">
        <v>273</v>
      </c>
      <c r="H33" s="3" t="s">
        <v>272</v>
      </c>
      <c r="I33" s="3" t="s">
        <v>271</v>
      </c>
      <c r="J33" s="3" t="s">
        <v>270</v>
      </c>
      <c r="K33" s="3" t="s">
        <v>269</v>
      </c>
      <c r="L33" s="3" t="s">
        <v>268</v>
      </c>
      <c r="M33" s="3" t="s">
        <v>267</v>
      </c>
      <c r="N33" s="3"/>
      <c r="O33" s="3"/>
      <c r="P33" s="3">
        <f>'Model names'!C31</f>
        <v>0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8"/>
      <c r="AB33" s="8"/>
      <c r="AC33" s="8"/>
    </row>
    <row r="34" spans="1:29" collapsed="1" x14ac:dyDescent="0.3">
      <c r="Q34" s="97"/>
      <c r="R34" s="97"/>
      <c r="S34" s="97"/>
      <c r="T34" s="97"/>
      <c r="U34" s="97"/>
      <c r="V34" s="97"/>
      <c r="W34" s="97"/>
      <c r="X34" s="97"/>
      <c r="Y34" s="97"/>
      <c r="Z34" s="97"/>
      <c r="AB34" s="8"/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8" priority="3" operator="equal">
      <formula>"On"</formula>
    </cfRule>
  </conditionalFormatting>
  <conditionalFormatting sqref="V21:AA23">
    <cfRule type="cellIs" dxfId="7" priority="2" operator="equal">
      <formula>"On"</formula>
    </cfRule>
  </conditionalFormatting>
  <conditionalFormatting sqref="R21:R23">
    <cfRule type="cellIs" dxfId="6" priority="1" operator="equal">
      <formula>"On"</formula>
    </cfRule>
  </conditionalFormatting>
  <dataValidations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0049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30049" r:id="rId4" name="CommandButton2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rgb="FF0070C0"/>
  </sheetPr>
  <dimension ref="A1:AC40"/>
  <sheetViews>
    <sheetView topLeftCell="B1" zoomScale="70" zoomScaleNormal="70" workbookViewId="0">
      <selection activeCell="Q42" sqref="Q42"/>
    </sheetView>
  </sheetViews>
  <sheetFormatPr defaultRowHeight="14.4" outlineLevelRow="1" outlineLevelCol="1" x14ac:dyDescent="0.3"/>
  <cols>
    <col min="1" max="1" width="108" customWidth="1" outlineLevel="1"/>
    <col min="2" max="2" width="49.109375" customWidth="1" outlineLevel="1"/>
    <col min="3" max="3" width="14.44140625" customWidth="1" outlineLevel="1"/>
    <col min="4" max="4" width="5.5546875" bestFit="1" customWidth="1" outlineLevel="1"/>
    <col min="5" max="9" width="5.6640625" bestFit="1" customWidth="1" outlineLevel="1"/>
    <col min="10" max="11" width="5.5546875" bestFit="1" customWidth="1" outlineLevel="1"/>
    <col min="12" max="12" width="6.109375" bestFit="1" customWidth="1" outlineLevel="1"/>
    <col min="13" max="13" width="6.6640625" bestFit="1" customWidth="1" outlineLevel="1"/>
    <col min="14" max="14" width="5" customWidth="1" outlineLevel="1"/>
    <col min="15" max="15" width="5.33203125" customWidth="1" outlineLevel="1"/>
    <col min="16" max="16" width="9.44140625" customWidth="1"/>
    <col min="17" max="17" width="14.33203125" customWidth="1"/>
    <col min="18" max="21" width="10" customWidth="1"/>
    <col min="22" max="22" width="10" customWidth="1" outlineLevel="1"/>
    <col min="23" max="23" width="11" customWidth="1" outlineLevel="1"/>
    <col min="24" max="27" width="10" customWidth="1" outlineLevel="1"/>
    <col min="28" max="28" width="13.33203125" style="96" customWidth="1" outlineLevel="1"/>
    <col min="29" max="29" width="3.6640625" customWidth="1"/>
  </cols>
  <sheetData>
    <row r="1" spans="1:29" ht="35.4" customHeight="1" x14ac:dyDescent="0.3"/>
    <row r="2" spans="1:29" x14ac:dyDescent="0.3">
      <c r="A2">
        <f>COUNTIF(A4:A33,"&gt;""")</f>
        <v>19</v>
      </c>
      <c r="B2">
        <f>P2</f>
        <v>10</v>
      </c>
      <c r="P2" s="1">
        <v>10</v>
      </c>
      <c r="Q2" s="2"/>
      <c r="R2" s="2"/>
    </row>
    <row r="3" spans="1:29" x14ac:dyDescent="0.3">
      <c r="A3" t="s">
        <v>1</v>
      </c>
      <c r="B3" t="s">
        <v>0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Q3" s="2">
        <f>'Model names'!K1</f>
        <v>2019</v>
      </c>
      <c r="R3" s="2">
        <f>'Model names'!L1</f>
        <v>2020</v>
      </c>
      <c r="S3" s="2">
        <f>'Model names'!M1</f>
        <v>2021</v>
      </c>
      <c r="T3" s="2">
        <f>'Model names'!N1</f>
        <v>2022</v>
      </c>
      <c r="U3" s="2">
        <f>'Model names'!O1</f>
        <v>2023</v>
      </c>
      <c r="V3" s="2">
        <f>'Model names'!P1</f>
        <v>2024</v>
      </c>
      <c r="W3" s="2">
        <f>'Model names'!Q1</f>
        <v>2025</v>
      </c>
      <c r="X3" s="2">
        <f>'Model names'!R1</f>
        <v>2026</v>
      </c>
      <c r="Y3" s="2">
        <f>'Model names'!S1</f>
        <v>2027</v>
      </c>
      <c r="Z3" s="2">
        <f>'Model names'!T1</f>
        <v>2028</v>
      </c>
      <c r="AA3" s="2"/>
    </row>
    <row r="4" spans="1:29" x14ac:dyDescent="0.3">
      <c r="A4" s="2" t="str">
        <f>'Model names'!$B$23</f>
        <v>G:\AW BUSINESS PLAN\2018-2022 BUSINESS PLAN\Outer Year Model\State Outer Year Models\2017.07.28 Submission</v>
      </c>
      <c r="B4" s="3" t="str">
        <f>'Model names'!B2</f>
        <v>AM_WATER_STATE_MODEL_10Yr_2018-2027_BFW</v>
      </c>
      <c r="C4" s="3" t="s">
        <v>106</v>
      </c>
      <c r="D4" s="3" t="s">
        <v>107</v>
      </c>
      <c r="E4" s="3" t="s">
        <v>108</v>
      </c>
      <c r="F4" s="3" t="s">
        <v>109</v>
      </c>
      <c r="G4" s="3" t="s">
        <v>110</v>
      </c>
      <c r="H4" s="3" t="s">
        <v>111</v>
      </c>
      <c r="I4" s="3" t="s">
        <v>112</v>
      </c>
      <c r="J4" s="3" t="s">
        <v>113</v>
      </c>
      <c r="K4" s="3" t="s">
        <v>114</v>
      </c>
      <c r="L4" s="3" t="s">
        <v>115</v>
      </c>
      <c r="M4" s="3" t="s">
        <v>115</v>
      </c>
      <c r="N4" s="3"/>
      <c r="O4" s="3"/>
      <c r="P4" s="3" t="str">
        <f>'Model names'!C2</f>
        <v>BFW</v>
      </c>
      <c r="Q4" s="15" t="s">
        <v>327</v>
      </c>
      <c r="R4" s="15" t="s">
        <v>328</v>
      </c>
      <c r="S4" s="15" t="s">
        <v>329</v>
      </c>
      <c r="T4" s="15" t="s">
        <v>330</v>
      </c>
      <c r="U4" s="15" t="s">
        <v>331</v>
      </c>
      <c r="V4" s="15" t="s">
        <v>332</v>
      </c>
      <c r="W4" s="15" t="s">
        <v>333</v>
      </c>
      <c r="X4" s="15" t="s">
        <v>334</v>
      </c>
      <c r="Y4" s="15" t="s">
        <v>335</v>
      </c>
      <c r="Z4" s="15" t="s">
        <v>335</v>
      </c>
      <c r="AA4" s="15"/>
      <c r="AB4" s="30"/>
      <c r="AC4" s="8"/>
    </row>
    <row r="5" spans="1:29" x14ac:dyDescent="0.3">
      <c r="A5" s="2" t="str">
        <f>'Model names'!$B$23</f>
        <v>G:\AW BUSINESS PLAN\2018-2022 BUSINESS PLAN\Outer Year Model\State Outer Year Models\2017.07.28 Submission</v>
      </c>
      <c r="B5" s="3" t="str">
        <f>'Model names'!B3</f>
        <v>AM_WATER_STATE_MODEL_10Yr_2018-2027_CA</v>
      </c>
      <c r="C5" s="3" t="s">
        <v>106</v>
      </c>
      <c r="D5" s="3" t="s">
        <v>107</v>
      </c>
      <c r="E5" s="3" t="s">
        <v>108</v>
      </c>
      <c r="F5" s="3" t="s">
        <v>109</v>
      </c>
      <c r="G5" s="3" t="s">
        <v>110</v>
      </c>
      <c r="H5" s="3" t="s">
        <v>111</v>
      </c>
      <c r="I5" s="3" t="s">
        <v>112</v>
      </c>
      <c r="J5" s="3" t="s">
        <v>113</v>
      </c>
      <c r="K5" s="3" t="s">
        <v>114</v>
      </c>
      <c r="L5" s="3" t="s">
        <v>115</v>
      </c>
      <c r="M5" s="3" t="s">
        <v>115</v>
      </c>
      <c r="N5" s="3"/>
      <c r="O5" s="3"/>
      <c r="P5" s="3" t="str">
        <f>'Model names'!C3</f>
        <v>CA</v>
      </c>
      <c r="Q5" s="15" t="s">
        <v>336</v>
      </c>
      <c r="R5" s="15" t="s">
        <v>337</v>
      </c>
      <c r="S5" s="15" t="s">
        <v>338</v>
      </c>
      <c r="T5" s="15" t="s">
        <v>339</v>
      </c>
      <c r="U5" s="15" t="s">
        <v>340</v>
      </c>
      <c r="V5" s="15" t="s">
        <v>341</v>
      </c>
      <c r="W5" s="15" t="s">
        <v>342</v>
      </c>
      <c r="X5" s="15" t="s">
        <v>343</v>
      </c>
      <c r="Y5" s="15" t="s">
        <v>344</v>
      </c>
      <c r="Z5" s="15" t="s">
        <v>344</v>
      </c>
      <c r="AA5" s="15"/>
      <c r="AB5" s="30"/>
      <c r="AC5" s="8"/>
    </row>
    <row r="6" spans="1:29" x14ac:dyDescent="0.3">
      <c r="A6" s="2" t="str">
        <f>'Model names'!$B$23</f>
        <v>G:\AW BUSINESS PLAN\2018-2022 BUSINESS PLAN\Outer Year Model\State Outer Year Models\2017.07.28 Submission</v>
      </c>
      <c r="B6" s="3" t="str">
        <f>'Model names'!B4</f>
        <v>AM_WATER_STATE_MODEL_10Yr_2018-2027_ETS</v>
      </c>
      <c r="C6" s="3" t="s">
        <v>106</v>
      </c>
      <c r="D6" s="3" t="s">
        <v>107</v>
      </c>
      <c r="E6" s="3" t="s">
        <v>108</v>
      </c>
      <c r="F6" s="3" t="s">
        <v>109</v>
      </c>
      <c r="G6" s="3" t="s">
        <v>110</v>
      </c>
      <c r="H6" s="3" t="s">
        <v>111</v>
      </c>
      <c r="I6" s="3" t="s">
        <v>112</v>
      </c>
      <c r="J6" s="3" t="s">
        <v>113</v>
      </c>
      <c r="K6" s="3" t="s">
        <v>114</v>
      </c>
      <c r="L6" s="3" t="s">
        <v>115</v>
      </c>
      <c r="M6" s="3" t="s">
        <v>115</v>
      </c>
      <c r="N6" s="3"/>
      <c r="O6" s="3"/>
      <c r="P6" s="3" t="str">
        <f>'Model names'!C4</f>
        <v>ETS</v>
      </c>
      <c r="Q6" s="15" t="s">
        <v>618</v>
      </c>
      <c r="R6" s="15" t="s">
        <v>619</v>
      </c>
      <c r="S6" s="15" t="s">
        <v>620</v>
      </c>
      <c r="T6" s="15" t="s">
        <v>621</v>
      </c>
      <c r="U6" s="15" t="s">
        <v>622</v>
      </c>
      <c r="V6" s="15" t="s">
        <v>623</v>
      </c>
      <c r="W6" s="15" t="s">
        <v>624</v>
      </c>
      <c r="X6" s="15" t="s">
        <v>625</v>
      </c>
      <c r="Y6" s="15" t="s">
        <v>626</v>
      </c>
      <c r="Z6" s="15" t="s">
        <v>626</v>
      </c>
      <c r="AA6" s="15"/>
      <c r="AB6" s="30"/>
      <c r="AC6" s="8"/>
    </row>
    <row r="7" spans="1:29" x14ac:dyDescent="0.3">
      <c r="A7" s="2" t="str">
        <f>'Model names'!$B$23</f>
        <v>G:\AW BUSINESS PLAN\2018-2022 BUSINESS PLAN\Outer Year Model\State Outer Year Models\2017.07.28 Submission</v>
      </c>
      <c r="B7" s="3" t="str">
        <f>'Model names'!B5</f>
        <v>AM_WATER_STATE_MODEL_10Yr_2018-2027_HI</v>
      </c>
      <c r="C7" s="3" t="s">
        <v>106</v>
      </c>
      <c r="D7" s="3" t="s">
        <v>107</v>
      </c>
      <c r="E7" s="3" t="s">
        <v>108</v>
      </c>
      <c r="F7" s="3" t="s">
        <v>109</v>
      </c>
      <c r="G7" s="3" t="s">
        <v>110</v>
      </c>
      <c r="H7" s="3" t="s">
        <v>111</v>
      </c>
      <c r="I7" s="3" t="s">
        <v>112</v>
      </c>
      <c r="J7" s="3" t="s">
        <v>113</v>
      </c>
      <c r="K7" s="3" t="s">
        <v>114</v>
      </c>
      <c r="L7" s="3" t="s">
        <v>115</v>
      </c>
      <c r="M7" s="3" t="s">
        <v>115</v>
      </c>
      <c r="N7" s="3"/>
      <c r="O7" s="3"/>
      <c r="P7" s="3" t="str">
        <f>'Model names'!C5</f>
        <v>HI</v>
      </c>
      <c r="Q7" s="15" t="s">
        <v>345</v>
      </c>
      <c r="R7" s="15" t="s">
        <v>346</v>
      </c>
      <c r="S7" s="15" t="s">
        <v>347</v>
      </c>
      <c r="T7" s="15" t="s">
        <v>348</v>
      </c>
      <c r="U7" s="15" t="s">
        <v>349</v>
      </c>
      <c r="V7" s="15" t="s">
        <v>350</v>
      </c>
      <c r="W7" s="15" t="s">
        <v>351</v>
      </c>
      <c r="X7" s="15" t="s">
        <v>352</v>
      </c>
      <c r="Y7" s="15" t="s">
        <v>353</v>
      </c>
      <c r="Z7" s="15" t="s">
        <v>353</v>
      </c>
      <c r="AA7" s="15"/>
      <c r="AB7" s="30"/>
      <c r="AC7" s="8"/>
    </row>
    <row r="8" spans="1:29" x14ac:dyDescent="0.3">
      <c r="A8" s="2" t="str">
        <f>'Model names'!$B$23</f>
        <v>G:\AW BUSINESS PLAN\2018-2022 BUSINESS PLAN\Outer Year Model\State Outer Year Models\2017.07.28 Submission</v>
      </c>
      <c r="B8" s="3" t="str">
        <f>'Model names'!B6</f>
        <v>AM_WATER_STATE_MODEL_10Yr_2018-2027_IA</v>
      </c>
      <c r="C8" s="3" t="s">
        <v>106</v>
      </c>
      <c r="D8" s="3" t="s">
        <v>107</v>
      </c>
      <c r="E8" s="3" t="s">
        <v>108</v>
      </c>
      <c r="F8" s="3" t="s">
        <v>109</v>
      </c>
      <c r="G8" s="3" t="s">
        <v>110</v>
      </c>
      <c r="H8" s="3" t="s">
        <v>111</v>
      </c>
      <c r="I8" s="3" t="s">
        <v>112</v>
      </c>
      <c r="J8" s="3" t="s">
        <v>113</v>
      </c>
      <c r="K8" s="3" t="s">
        <v>114</v>
      </c>
      <c r="L8" s="3" t="s">
        <v>115</v>
      </c>
      <c r="M8" s="3" t="s">
        <v>115</v>
      </c>
      <c r="N8" s="3"/>
      <c r="O8" s="3"/>
      <c r="P8" s="3" t="str">
        <f>'Model names'!C6</f>
        <v>IA</v>
      </c>
      <c r="Q8" s="15" t="s">
        <v>354</v>
      </c>
      <c r="R8" s="15" t="s">
        <v>355</v>
      </c>
      <c r="S8" s="15" t="s">
        <v>356</v>
      </c>
      <c r="T8" s="15" t="s">
        <v>357</v>
      </c>
      <c r="U8" s="15" t="s">
        <v>358</v>
      </c>
      <c r="V8" s="15" t="s">
        <v>359</v>
      </c>
      <c r="W8" s="15" t="s">
        <v>360</v>
      </c>
      <c r="X8" s="15" t="s">
        <v>361</v>
      </c>
      <c r="Y8" s="15" t="s">
        <v>362</v>
      </c>
      <c r="Z8" s="15" t="s">
        <v>362</v>
      </c>
      <c r="AA8" s="15"/>
      <c r="AB8" s="30"/>
      <c r="AC8" s="8"/>
    </row>
    <row r="9" spans="1:29" x14ac:dyDescent="0.3">
      <c r="A9" s="2" t="str">
        <f>'Model names'!$B$23</f>
        <v>G:\AW BUSINESS PLAN\2018-2022 BUSINESS PLAN\Outer Year Model\State Outer Year Models\2017.07.28 Submission</v>
      </c>
      <c r="B9" s="3" t="str">
        <f>'Model names'!B7</f>
        <v>AM_WATER_STATE_MODEL_10Yr_2018-2027_IL</v>
      </c>
      <c r="C9" s="3" t="s">
        <v>106</v>
      </c>
      <c r="D9" s="3" t="s">
        <v>107</v>
      </c>
      <c r="E9" s="3" t="s">
        <v>108</v>
      </c>
      <c r="F9" s="3" t="s">
        <v>109</v>
      </c>
      <c r="G9" s="3" t="s">
        <v>110</v>
      </c>
      <c r="H9" s="3" t="s">
        <v>111</v>
      </c>
      <c r="I9" s="3" t="s">
        <v>112</v>
      </c>
      <c r="J9" s="3" t="s">
        <v>113</v>
      </c>
      <c r="K9" s="3" t="s">
        <v>114</v>
      </c>
      <c r="L9" s="3" t="s">
        <v>115</v>
      </c>
      <c r="M9" s="3" t="s">
        <v>115</v>
      </c>
      <c r="N9" s="3"/>
      <c r="O9" s="3"/>
      <c r="P9" s="3" t="str">
        <f>'Model names'!C7</f>
        <v>IL</v>
      </c>
      <c r="Q9" s="15" t="s">
        <v>363</v>
      </c>
      <c r="R9" s="15" t="s">
        <v>364</v>
      </c>
      <c r="S9" s="15" t="s">
        <v>365</v>
      </c>
      <c r="T9" s="15" t="s">
        <v>366</v>
      </c>
      <c r="U9" s="15" t="s">
        <v>367</v>
      </c>
      <c r="V9" s="15" t="s">
        <v>368</v>
      </c>
      <c r="W9" s="15" t="s">
        <v>369</v>
      </c>
      <c r="X9" s="15" t="s">
        <v>370</v>
      </c>
      <c r="Y9" s="15" t="s">
        <v>371</v>
      </c>
      <c r="Z9" s="15" t="s">
        <v>371</v>
      </c>
      <c r="AA9" s="15"/>
      <c r="AB9" s="30"/>
      <c r="AC9" s="8"/>
    </row>
    <row r="10" spans="1:29" x14ac:dyDescent="0.3">
      <c r="A10" s="2" t="str">
        <f>'Model names'!$B$23</f>
        <v>G:\AW BUSINESS PLAN\2018-2022 BUSINESS PLAN\Outer Year Model\State Outer Year Models\2017.07.28 Submission</v>
      </c>
      <c r="B10" s="3" t="str">
        <f>'Model names'!B8</f>
        <v>AM_WATER_STATE_MODEL_10Yr_2018-2027_IN</v>
      </c>
      <c r="C10" s="3" t="s">
        <v>106</v>
      </c>
      <c r="D10" s="3" t="s">
        <v>107</v>
      </c>
      <c r="E10" s="3" t="s">
        <v>108</v>
      </c>
      <c r="F10" s="3" t="s">
        <v>109</v>
      </c>
      <c r="G10" s="3" t="s">
        <v>110</v>
      </c>
      <c r="H10" s="3" t="s">
        <v>111</v>
      </c>
      <c r="I10" s="3" t="s">
        <v>112</v>
      </c>
      <c r="J10" s="3" t="s">
        <v>113</v>
      </c>
      <c r="K10" s="3" t="s">
        <v>114</v>
      </c>
      <c r="L10" s="3" t="s">
        <v>115</v>
      </c>
      <c r="M10" s="3" t="s">
        <v>115</v>
      </c>
      <c r="N10" s="3"/>
      <c r="O10" s="3"/>
      <c r="P10" s="3" t="str">
        <f>'Model names'!C8</f>
        <v>IN</v>
      </c>
      <c r="Q10" s="15" t="s">
        <v>372</v>
      </c>
      <c r="R10" s="15" t="s">
        <v>373</v>
      </c>
      <c r="S10" s="15" t="s">
        <v>374</v>
      </c>
      <c r="T10" s="15" t="s">
        <v>375</v>
      </c>
      <c r="U10" s="15" t="s">
        <v>376</v>
      </c>
      <c r="V10" s="15" t="s">
        <v>377</v>
      </c>
      <c r="W10" s="15" t="s">
        <v>378</v>
      </c>
      <c r="X10" s="15" t="s">
        <v>379</v>
      </c>
      <c r="Y10" s="15" t="s">
        <v>380</v>
      </c>
      <c r="Z10" s="15" t="s">
        <v>380</v>
      </c>
      <c r="AA10" s="15"/>
      <c r="AB10" s="30"/>
      <c r="AC10" s="8"/>
    </row>
    <row r="11" spans="1:29" x14ac:dyDescent="0.3">
      <c r="A11" s="2" t="str">
        <f>'Model names'!$B$23</f>
        <v>G:\AW BUSINESS PLAN\2018-2022 BUSINESS PLAN\Outer Year Model\State Outer Year Models\2017.07.28 Submission</v>
      </c>
      <c r="B11" s="3" t="str">
        <f>'Model names'!B9</f>
        <v>AM_WATER_STATE_MODEL_10Yr_2018-2027_KY</v>
      </c>
      <c r="C11" s="3" t="s">
        <v>106</v>
      </c>
      <c r="D11" s="3" t="s">
        <v>107</v>
      </c>
      <c r="E11" s="3" t="s">
        <v>108</v>
      </c>
      <c r="F11" s="3" t="s">
        <v>109</v>
      </c>
      <c r="G11" s="3" t="s">
        <v>110</v>
      </c>
      <c r="H11" s="3" t="s">
        <v>111</v>
      </c>
      <c r="I11" s="3" t="s">
        <v>112</v>
      </c>
      <c r="J11" s="3" t="s">
        <v>113</v>
      </c>
      <c r="K11" s="3" t="s">
        <v>114</v>
      </c>
      <c r="L11" s="3" t="s">
        <v>115</v>
      </c>
      <c r="M11" s="3" t="s">
        <v>115</v>
      </c>
      <c r="N11" s="3"/>
      <c r="O11" s="3"/>
      <c r="P11" s="3" t="str">
        <f>'Model names'!C9</f>
        <v>KY</v>
      </c>
      <c r="Q11" s="15" t="s">
        <v>381</v>
      </c>
      <c r="R11" s="15" t="s">
        <v>382</v>
      </c>
      <c r="S11" s="15" t="s">
        <v>383</v>
      </c>
      <c r="T11" s="15" t="s">
        <v>384</v>
      </c>
      <c r="U11" s="15" t="s">
        <v>385</v>
      </c>
      <c r="V11" s="15" t="s">
        <v>386</v>
      </c>
      <c r="W11" s="15" t="s">
        <v>387</v>
      </c>
      <c r="X11" s="15" t="s">
        <v>388</v>
      </c>
      <c r="Y11" s="15" t="s">
        <v>389</v>
      </c>
      <c r="Z11" s="15" t="s">
        <v>389</v>
      </c>
      <c r="AA11" s="15"/>
      <c r="AB11" s="30"/>
      <c r="AC11" s="8"/>
    </row>
    <row r="12" spans="1:29" x14ac:dyDescent="0.3">
      <c r="A12" s="2" t="str">
        <f>'Model names'!$B$23</f>
        <v>G:\AW BUSINESS PLAN\2018-2022 BUSINESS PLAN\Outer Year Model\State Outer Year Models\2017.07.28 Submission</v>
      </c>
      <c r="B12" s="3" t="str">
        <f>'Model names'!B10</f>
        <v>AM_WATER_STATE_MODEL_10Yr_2018-2027_Liberty</v>
      </c>
      <c r="C12" s="3" t="s">
        <v>106</v>
      </c>
      <c r="D12" s="3" t="s">
        <v>107</v>
      </c>
      <c r="E12" s="3" t="s">
        <v>108</v>
      </c>
      <c r="F12" s="3" t="s">
        <v>109</v>
      </c>
      <c r="G12" s="3" t="s">
        <v>110</v>
      </c>
      <c r="H12" s="3" t="s">
        <v>111</v>
      </c>
      <c r="I12" s="3" t="s">
        <v>112</v>
      </c>
      <c r="J12" s="3" t="s">
        <v>113</v>
      </c>
      <c r="K12" s="3" t="s">
        <v>114</v>
      </c>
      <c r="L12" s="3" t="s">
        <v>115</v>
      </c>
      <c r="M12" s="3" t="s">
        <v>115</v>
      </c>
      <c r="N12" s="3"/>
      <c r="O12" s="3"/>
      <c r="P12" s="3" t="str">
        <f>'Model names'!C10</f>
        <v>Liberty</v>
      </c>
      <c r="Q12" s="15" t="s">
        <v>627</v>
      </c>
      <c r="R12" s="15" t="s">
        <v>628</v>
      </c>
      <c r="S12" s="15" t="s">
        <v>629</v>
      </c>
      <c r="T12" s="15" t="s">
        <v>630</v>
      </c>
      <c r="U12" s="15" t="s">
        <v>631</v>
      </c>
      <c r="V12" s="15" t="s">
        <v>632</v>
      </c>
      <c r="W12" s="15" t="s">
        <v>633</v>
      </c>
      <c r="X12" s="15" t="s">
        <v>634</v>
      </c>
      <c r="Y12" s="15" t="s">
        <v>635</v>
      </c>
      <c r="Z12" s="15" t="s">
        <v>635</v>
      </c>
      <c r="AA12" s="15"/>
      <c r="AB12" s="30"/>
      <c r="AC12" s="8"/>
    </row>
    <row r="13" spans="1:29" x14ac:dyDescent="0.3">
      <c r="A13" s="2" t="str">
        <f>'Model names'!$B$23</f>
        <v>G:\AW BUSINESS PLAN\2018-2022 BUSINESS PLAN\Outer Year Model\State Outer Year Models\2017.07.28 Submission</v>
      </c>
      <c r="B13" s="3" t="str">
        <f>'Model names'!B11</f>
        <v>AM_WATER_STATE_MODEL_10Yr_2018-2027_LW</v>
      </c>
      <c r="C13" s="3" t="s">
        <v>106</v>
      </c>
      <c r="D13" s="3" t="s">
        <v>107</v>
      </c>
      <c r="E13" s="3" t="s">
        <v>108</v>
      </c>
      <c r="F13" s="3" t="s">
        <v>109</v>
      </c>
      <c r="G13" s="3" t="s">
        <v>110</v>
      </c>
      <c r="H13" s="3" t="s">
        <v>111</v>
      </c>
      <c r="I13" s="3" t="s">
        <v>112</v>
      </c>
      <c r="J13" s="3" t="s">
        <v>113</v>
      </c>
      <c r="K13" s="3" t="s">
        <v>114</v>
      </c>
      <c r="L13" s="3" t="s">
        <v>115</v>
      </c>
      <c r="M13" s="3" t="s">
        <v>115</v>
      </c>
      <c r="N13" s="3"/>
      <c r="O13" s="3"/>
      <c r="P13" s="3" t="str">
        <f>'Model names'!C11</f>
        <v>LW</v>
      </c>
      <c r="Q13" s="15" t="s">
        <v>390</v>
      </c>
      <c r="R13" s="15" t="s">
        <v>391</v>
      </c>
      <c r="S13" s="15" t="s">
        <v>392</v>
      </c>
      <c r="T13" s="15" t="s">
        <v>393</v>
      </c>
      <c r="U13" s="15" t="s">
        <v>394</v>
      </c>
      <c r="V13" s="15" t="s">
        <v>395</v>
      </c>
      <c r="W13" s="15" t="s">
        <v>396</v>
      </c>
      <c r="X13" s="15" t="s">
        <v>397</v>
      </c>
      <c r="Y13" s="15" t="s">
        <v>398</v>
      </c>
      <c r="Z13" s="15" t="s">
        <v>398</v>
      </c>
      <c r="AA13" s="15"/>
      <c r="AB13" s="30"/>
      <c r="AC13" s="8"/>
    </row>
    <row r="14" spans="1:29" x14ac:dyDescent="0.3">
      <c r="A14" s="2" t="str">
        <f>'Model names'!$B$23</f>
        <v>G:\AW BUSINESS PLAN\2018-2022 BUSINESS PLAN\Outer Year Model\State Outer Year Models\2017.07.28 Submission</v>
      </c>
      <c r="B14" s="3" t="str">
        <f>'Model names'!B12</f>
        <v>AM_WATER_STATE_MODEL_10Yr_2018-2027_MD</v>
      </c>
      <c r="C14" s="3" t="s">
        <v>106</v>
      </c>
      <c r="D14" s="3" t="s">
        <v>107</v>
      </c>
      <c r="E14" s="3" t="s">
        <v>108</v>
      </c>
      <c r="F14" s="3" t="s">
        <v>109</v>
      </c>
      <c r="G14" s="3" t="s">
        <v>110</v>
      </c>
      <c r="H14" s="3" t="s">
        <v>111</v>
      </c>
      <c r="I14" s="3" t="s">
        <v>112</v>
      </c>
      <c r="J14" s="3" t="s">
        <v>113</v>
      </c>
      <c r="K14" s="3" t="s">
        <v>114</v>
      </c>
      <c r="L14" s="3" t="s">
        <v>115</v>
      </c>
      <c r="M14" s="3" t="s">
        <v>115</v>
      </c>
      <c r="N14" s="3"/>
      <c r="O14" s="3"/>
      <c r="P14" s="3" t="str">
        <f>'Model names'!C12</f>
        <v>MD</v>
      </c>
      <c r="Q14" s="15" t="s">
        <v>399</v>
      </c>
      <c r="R14" s="15" t="s">
        <v>400</v>
      </c>
      <c r="S14" s="15" t="s">
        <v>401</v>
      </c>
      <c r="T14" s="15" t="s">
        <v>402</v>
      </c>
      <c r="U14" s="15" t="s">
        <v>403</v>
      </c>
      <c r="V14" s="15" t="s">
        <v>404</v>
      </c>
      <c r="W14" s="15" t="s">
        <v>405</v>
      </c>
      <c r="X14" s="15" t="s">
        <v>406</v>
      </c>
      <c r="Y14" s="15" t="s">
        <v>407</v>
      </c>
      <c r="Z14" s="15" t="s">
        <v>407</v>
      </c>
      <c r="AA14" s="15"/>
      <c r="AB14" s="30"/>
      <c r="AC14" s="8"/>
    </row>
    <row r="15" spans="1:29" x14ac:dyDescent="0.3">
      <c r="A15" s="2" t="str">
        <f>'Model names'!$B$23</f>
        <v>G:\AW BUSINESS PLAN\2018-2022 BUSINESS PLAN\Outer Year Model\State Outer Year Models\2017.07.28 Submission</v>
      </c>
      <c r="B15" s="3" t="str">
        <f>'Model names'!B13</f>
        <v>AM_WATER_STATE_MODEL_10Yr_2018-2027_MI</v>
      </c>
      <c r="C15" s="3" t="s">
        <v>106</v>
      </c>
      <c r="D15" s="3" t="s">
        <v>107</v>
      </c>
      <c r="E15" s="3" t="s">
        <v>108</v>
      </c>
      <c r="F15" s="3" t="s">
        <v>109</v>
      </c>
      <c r="G15" s="3" t="s">
        <v>110</v>
      </c>
      <c r="H15" s="3" t="s">
        <v>111</v>
      </c>
      <c r="I15" s="3" t="s">
        <v>112</v>
      </c>
      <c r="J15" s="3" t="s">
        <v>113</v>
      </c>
      <c r="K15" s="3" t="s">
        <v>114</v>
      </c>
      <c r="L15" s="3" t="s">
        <v>115</v>
      </c>
      <c r="M15" s="3" t="s">
        <v>115</v>
      </c>
      <c r="N15" s="3"/>
      <c r="O15" s="3"/>
      <c r="P15" s="3" t="str">
        <f>'Model names'!C13</f>
        <v>MI</v>
      </c>
      <c r="Q15" s="15" t="s">
        <v>408</v>
      </c>
      <c r="R15" s="15" t="s">
        <v>409</v>
      </c>
      <c r="S15" s="15" t="s">
        <v>410</v>
      </c>
      <c r="T15" s="15" t="s">
        <v>411</v>
      </c>
      <c r="U15" s="15" t="s">
        <v>412</v>
      </c>
      <c r="V15" s="15" t="s">
        <v>413</v>
      </c>
      <c r="W15" s="15" t="s">
        <v>414</v>
      </c>
      <c r="X15" s="15" t="s">
        <v>415</v>
      </c>
      <c r="Y15" s="15" t="s">
        <v>416</v>
      </c>
      <c r="Z15" s="15" t="s">
        <v>416</v>
      </c>
      <c r="AA15" s="15"/>
      <c r="AB15" s="30"/>
      <c r="AC15" s="8"/>
    </row>
    <row r="16" spans="1:29" x14ac:dyDescent="0.3">
      <c r="A16" s="2" t="str">
        <f>'Model names'!$B$23</f>
        <v>G:\AW BUSINESS PLAN\2018-2022 BUSINESS PLAN\Outer Year Model\State Outer Year Models\2017.07.28 Submission</v>
      </c>
      <c r="B16" s="3" t="str">
        <f>'Model names'!B14</f>
        <v>AM_WATER_STATE_MODEL_10Yr_2018-2027_MO</v>
      </c>
      <c r="C16" s="3" t="s">
        <v>106</v>
      </c>
      <c r="D16" s="3" t="s">
        <v>107</v>
      </c>
      <c r="E16" s="3" t="s">
        <v>108</v>
      </c>
      <c r="F16" s="3" t="s">
        <v>109</v>
      </c>
      <c r="G16" s="3" t="s">
        <v>110</v>
      </c>
      <c r="H16" s="3" t="s">
        <v>111</v>
      </c>
      <c r="I16" s="3" t="s">
        <v>112</v>
      </c>
      <c r="J16" s="3" t="s">
        <v>113</v>
      </c>
      <c r="K16" s="3" t="s">
        <v>114</v>
      </c>
      <c r="L16" s="3" t="s">
        <v>115</v>
      </c>
      <c r="M16" s="3" t="s">
        <v>115</v>
      </c>
      <c r="N16" s="3"/>
      <c r="O16" s="3"/>
      <c r="P16" s="3" t="str">
        <f>'Model names'!C14</f>
        <v>MO</v>
      </c>
      <c r="Q16" s="15" t="s">
        <v>417</v>
      </c>
      <c r="R16" s="15" t="s">
        <v>418</v>
      </c>
      <c r="S16" s="15" t="s">
        <v>419</v>
      </c>
      <c r="T16" s="15" t="s">
        <v>420</v>
      </c>
      <c r="U16" s="15" t="s">
        <v>421</v>
      </c>
      <c r="V16" s="15" t="s">
        <v>422</v>
      </c>
      <c r="W16" s="15" t="s">
        <v>423</v>
      </c>
      <c r="X16" s="15" t="s">
        <v>424</v>
      </c>
      <c r="Y16" s="15" t="s">
        <v>425</v>
      </c>
      <c r="Z16" s="15" t="s">
        <v>425</v>
      </c>
      <c r="AA16" s="15"/>
      <c r="AB16" s="30"/>
      <c r="AC16" s="8"/>
    </row>
    <row r="17" spans="1:29" x14ac:dyDescent="0.3">
      <c r="A17" s="2" t="str">
        <f>'Model names'!$B$23</f>
        <v>G:\AW BUSINESS PLAN\2018-2022 BUSINESS PLAN\Outer Year Model\State Outer Year Models\2017.07.28 Submission</v>
      </c>
      <c r="B17" s="3" t="str">
        <f>'Model names'!B15</f>
        <v>AM_WATER_STATE_MODEL_10Yr_2018-2027_NJ</v>
      </c>
      <c r="C17" s="3" t="s">
        <v>106</v>
      </c>
      <c r="D17" s="3" t="s">
        <v>107</v>
      </c>
      <c r="E17" s="3" t="s">
        <v>108</v>
      </c>
      <c r="F17" s="3" t="s">
        <v>109</v>
      </c>
      <c r="G17" s="3" t="s">
        <v>110</v>
      </c>
      <c r="H17" s="3" t="s">
        <v>111</v>
      </c>
      <c r="I17" s="3" t="s">
        <v>112</v>
      </c>
      <c r="J17" s="3" t="s">
        <v>113</v>
      </c>
      <c r="K17" s="3" t="s">
        <v>114</v>
      </c>
      <c r="L17" s="3" t="s">
        <v>115</v>
      </c>
      <c r="M17" s="3" t="s">
        <v>115</v>
      </c>
      <c r="N17" s="3"/>
      <c r="O17" s="3"/>
      <c r="P17" s="3" t="str">
        <f>'Model names'!C15</f>
        <v>NJ</v>
      </c>
      <c r="Q17" s="15" t="s">
        <v>636</v>
      </c>
      <c r="R17" s="15" t="s">
        <v>637</v>
      </c>
      <c r="S17" s="15" t="s">
        <v>638</v>
      </c>
      <c r="T17" s="15" t="s">
        <v>639</v>
      </c>
      <c r="U17" s="15" t="s">
        <v>640</v>
      </c>
      <c r="V17" s="15" t="s">
        <v>641</v>
      </c>
      <c r="W17" s="15" t="s">
        <v>642</v>
      </c>
      <c r="X17" s="15" t="s">
        <v>643</v>
      </c>
      <c r="Y17" s="15" t="s">
        <v>644</v>
      </c>
      <c r="Z17" s="15" t="s">
        <v>644</v>
      </c>
      <c r="AA17" s="15"/>
      <c r="AB17" s="30"/>
      <c r="AC17" s="8"/>
    </row>
    <row r="18" spans="1:29" x14ac:dyDescent="0.3">
      <c r="A18" s="2" t="str">
        <f>'Model names'!$B$23</f>
        <v>G:\AW BUSINESS PLAN\2018-2022 BUSINESS PLAN\Outer Year Model\State Outer Year Models\2017.07.28 Submission</v>
      </c>
      <c r="B18" s="3" t="str">
        <f>'Model names'!B16</f>
        <v>AM_WATER_STATE_MODEL_10Yr_2018-2027_NY</v>
      </c>
      <c r="C18" s="3" t="s">
        <v>106</v>
      </c>
      <c r="D18" s="3" t="s">
        <v>107</v>
      </c>
      <c r="E18" s="3" t="s">
        <v>108</v>
      </c>
      <c r="F18" s="3" t="s">
        <v>109</v>
      </c>
      <c r="G18" s="3" t="s">
        <v>110</v>
      </c>
      <c r="H18" s="3" t="s">
        <v>111</v>
      </c>
      <c r="I18" s="3" t="s">
        <v>112</v>
      </c>
      <c r="J18" s="3" t="s">
        <v>113</v>
      </c>
      <c r="K18" s="3" t="s">
        <v>114</v>
      </c>
      <c r="L18" s="3" t="s">
        <v>115</v>
      </c>
      <c r="M18" s="3" t="s">
        <v>115</v>
      </c>
      <c r="N18" s="3"/>
      <c r="O18" s="3"/>
      <c r="P18" s="3" t="str">
        <f>'Model names'!C16</f>
        <v>NY</v>
      </c>
      <c r="Q18" s="15" t="s">
        <v>426</v>
      </c>
      <c r="R18" s="15" t="s">
        <v>427</v>
      </c>
      <c r="S18" s="15" t="s">
        <v>428</v>
      </c>
      <c r="T18" s="15" t="s">
        <v>429</v>
      </c>
      <c r="U18" s="15" t="s">
        <v>430</v>
      </c>
      <c r="V18" s="15" t="s">
        <v>431</v>
      </c>
      <c r="W18" s="15" t="s">
        <v>432</v>
      </c>
      <c r="X18" s="15" t="s">
        <v>433</v>
      </c>
      <c r="Y18" s="15" t="s">
        <v>434</v>
      </c>
      <c r="Z18" s="15" t="s">
        <v>434</v>
      </c>
      <c r="AA18" s="15"/>
      <c r="AB18" s="30"/>
      <c r="AC18" s="8"/>
    </row>
    <row r="19" spans="1:29" x14ac:dyDescent="0.3">
      <c r="A19" s="2" t="str">
        <f>'Model names'!$B$23</f>
        <v>G:\AW BUSINESS PLAN\2018-2022 BUSINESS PLAN\Outer Year Model\State Outer Year Models\2017.07.28 Submission</v>
      </c>
      <c r="B19" s="3" t="str">
        <f>'Model names'!B17</f>
        <v>AM_WATER_STATE_MODEL_10Yr_2018-2027_PA</v>
      </c>
      <c r="C19" s="3" t="s">
        <v>106</v>
      </c>
      <c r="D19" s="3" t="s">
        <v>107</v>
      </c>
      <c r="E19" s="3" t="s">
        <v>108</v>
      </c>
      <c r="F19" s="3" t="s">
        <v>109</v>
      </c>
      <c r="G19" s="3" t="s">
        <v>110</v>
      </c>
      <c r="H19" s="3" t="s">
        <v>111</v>
      </c>
      <c r="I19" s="3" t="s">
        <v>112</v>
      </c>
      <c r="J19" s="3" t="s">
        <v>113</v>
      </c>
      <c r="K19" s="3" t="s">
        <v>114</v>
      </c>
      <c r="L19" s="3" t="s">
        <v>115</v>
      </c>
      <c r="M19" s="3" t="s">
        <v>115</v>
      </c>
      <c r="N19" s="3"/>
      <c r="O19" s="3"/>
      <c r="P19" s="3" t="str">
        <f>'Model names'!C17</f>
        <v>PA</v>
      </c>
      <c r="Q19" s="15" t="s">
        <v>435</v>
      </c>
      <c r="R19" s="15" t="s">
        <v>436</v>
      </c>
      <c r="S19" s="15" t="s">
        <v>437</v>
      </c>
      <c r="T19" s="15" t="s">
        <v>438</v>
      </c>
      <c r="U19" s="15" t="s">
        <v>439</v>
      </c>
      <c r="V19" s="15" t="s">
        <v>440</v>
      </c>
      <c r="W19" s="15" t="s">
        <v>441</v>
      </c>
      <c r="X19" s="15" t="s">
        <v>442</v>
      </c>
      <c r="Y19" s="15" t="s">
        <v>443</v>
      </c>
      <c r="Z19" s="15" t="s">
        <v>443</v>
      </c>
      <c r="AA19" s="15"/>
      <c r="AB19" s="30"/>
    </row>
    <row r="20" spans="1:29" x14ac:dyDescent="0.3">
      <c r="A20" s="2" t="str">
        <f>'Model names'!$B$23</f>
        <v>G:\AW BUSINESS PLAN\2018-2022 BUSINESS PLAN\Outer Year Model\State Outer Year Models\2017.07.28 Submission</v>
      </c>
      <c r="B20" s="3" t="str">
        <f>'Model names'!B18</f>
        <v>AM_WATER_STATE_MODEL_10Yr_2018-2027_TN</v>
      </c>
      <c r="C20" s="3" t="s">
        <v>106</v>
      </c>
      <c r="D20" s="3" t="s">
        <v>107</v>
      </c>
      <c r="E20" s="3" t="s">
        <v>108</v>
      </c>
      <c r="F20" s="3" t="s">
        <v>109</v>
      </c>
      <c r="G20" s="3" t="s">
        <v>110</v>
      </c>
      <c r="H20" s="3" t="s">
        <v>111</v>
      </c>
      <c r="I20" s="3" t="s">
        <v>112</v>
      </c>
      <c r="J20" s="3" t="s">
        <v>113</v>
      </c>
      <c r="K20" s="3" t="s">
        <v>114</v>
      </c>
      <c r="L20" s="3" t="s">
        <v>115</v>
      </c>
      <c r="M20" s="3" t="s">
        <v>115</v>
      </c>
      <c r="N20" s="3"/>
      <c r="O20" s="3"/>
      <c r="P20" s="3" t="str">
        <f>'Model names'!C18</f>
        <v>TN</v>
      </c>
      <c r="Q20" s="15" t="s">
        <v>444</v>
      </c>
      <c r="R20" s="15" t="s">
        <v>445</v>
      </c>
      <c r="S20" s="15" t="s">
        <v>446</v>
      </c>
      <c r="T20" s="15" t="s">
        <v>447</v>
      </c>
      <c r="U20" s="15" t="s">
        <v>448</v>
      </c>
      <c r="V20" s="15" t="s">
        <v>449</v>
      </c>
      <c r="W20" s="15" t="s">
        <v>450</v>
      </c>
      <c r="X20" s="15" t="s">
        <v>451</v>
      </c>
      <c r="Y20" s="15" t="s">
        <v>452</v>
      </c>
      <c r="Z20" s="15" t="s">
        <v>452</v>
      </c>
      <c r="AA20" s="15"/>
      <c r="AB20" s="30"/>
      <c r="AC20" s="8"/>
    </row>
    <row r="21" spans="1:29" hidden="1" outlineLevel="1" x14ac:dyDescent="0.3">
      <c r="A21" s="2" t="str">
        <f>IF(B21=0,"",'[59]Model names'!$E$2)</f>
        <v>G:\AW BUSINESS PLAN\2017-2021 BUSINESS PLAN\Out Year Model\2016.08.29 Submission</v>
      </c>
      <c r="B21" s="3" t="str">
        <f>'[59]Model names'!B19</f>
        <v>AM_WATER_STATE_MODEL_10Yr_2017-2026_ETS</v>
      </c>
      <c r="C21" s="3" t="s">
        <v>16</v>
      </c>
      <c r="D21" s="3" t="s">
        <v>276</v>
      </c>
      <c r="E21" s="3" t="s">
        <v>275</v>
      </c>
      <c r="F21" s="3" t="s">
        <v>274</v>
      </c>
      <c r="G21" s="3" t="s">
        <v>273</v>
      </c>
      <c r="H21" s="3" t="s">
        <v>272</v>
      </c>
      <c r="I21" s="3" t="s">
        <v>271</v>
      </c>
      <c r="J21" s="3" t="s">
        <v>270</v>
      </c>
      <c r="K21" s="3" t="s">
        <v>269</v>
      </c>
      <c r="L21" s="3" t="s">
        <v>268</v>
      </c>
      <c r="M21" s="3" t="s">
        <v>267</v>
      </c>
      <c r="N21" s="3"/>
      <c r="O21" s="3"/>
      <c r="P21" s="3" t="str">
        <f>'Model names'!C19</f>
        <v>VA</v>
      </c>
      <c r="Q21" s="29" t="s">
        <v>593</v>
      </c>
      <c r="R21" s="29" t="s">
        <v>594</v>
      </c>
      <c r="S21" s="29" t="s">
        <v>595</v>
      </c>
      <c r="T21" s="29" t="s">
        <v>596</v>
      </c>
      <c r="U21" s="29" t="s">
        <v>597</v>
      </c>
      <c r="V21" s="29" t="s">
        <v>598</v>
      </c>
      <c r="W21" s="29" t="s">
        <v>599</v>
      </c>
      <c r="X21" s="29" t="s">
        <v>600</v>
      </c>
      <c r="Y21" s="29" t="s">
        <v>601</v>
      </c>
      <c r="Z21" s="29" t="s">
        <v>602</v>
      </c>
      <c r="AA21" s="8"/>
      <c r="AB21" s="8"/>
      <c r="AC21" s="8"/>
    </row>
    <row r="22" spans="1:29" hidden="1" outlineLevel="1" x14ac:dyDescent="0.3">
      <c r="A22" s="2" t="str">
        <f>IF(B22=0,"",'[59]Model names'!$E$2)</f>
        <v>G:\AW BUSINESS PLAN\2017-2021 BUSINESS PLAN\Out Year Model\2016.08.29 Submission</v>
      </c>
      <c r="B22" s="3" t="str">
        <f>'[59]Model names'!B20</f>
        <v>AM_WATER_STATE_MODEL_10Yr_2017-2026_LIB</v>
      </c>
      <c r="C22" s="3" t="s">
        <v>16</v>
      </c>
      <c r="D22" s="3" t="s">
        <v>276</v>
      </c>
      <c r="E22" s="3" t="s">
        <v>275</v>
      </c>
      <c r="F22" s="3" t="s">
        <v>274</v>
      </c>
      <c r="G22" s="3" t="s">
        <v>273</v>
      </c>
      <c r="H22" s="3" t="s">
        <v>272</v>
      </c>
      <c r="I22" s="3" t="s">
        <v>271</v>
      </c>
      <c r="J22" s="3" t="s">
        <v>270</v>
      </c>
      <c r="K22" s="3" t="s">
        <v>269</v>
      </c>
      <c r="L22" s="3" t="s">
        <v>268</v>
      </c>
      <c r="M22" s="3" t="s">
        <v>267</v>
      </c>
      <c r="N22" s="3"/>
      <c r="O22" s="3"/>
      <c r="P22" s="3" t="str">
        <f>'Model names'!C20</f>
        <v>WV</v>
      </c>
      <c r="Q22" s="29" t="s">
        <v>603</v>
      </c>
      <c r="R22" s="29" t="s">
        <v>604</v>
      </c>
      <c r="S22" s="29" t="s">
        <v>605</v>
      </c>
      <c r="T22" s="29" t="s">
        <v>606</v>
      </c>
      <c r="U22" s="29" t="s">
        <v>607</v>
      </c>
      <c r="V22" s="29" t="s">
        <v>608</v>
      </c>
      <c r="W22" s="29" t="s">
        <v>609</v>
      </c>
      <c r="X22" s="29" t="s">
        <v>610</v>
      </c>
      <c r="Y22" s="29" t="s">
        <v>611</v>
      </c>
      <c r="Z22" s="29" t="s">
        <v>612</v>
      </c>
      <c r="AA22" s="8"/>
      <c r="AB22" s="8"/>
      <c r="AC22" s="8"/>
    </row>
    <row r="23" spans="1:29" hidden="1" outlineLevel="1" x14ac:dyDescent="0.3">
      <c r="A23" s="2" t="str">
        <f>IF(B23=0,"",'[59]Model names'!$E$2)</f>
        <v/>
      </c>
      <c r="B23" s="3"/>
      <c r="C23" s="3" t="str">
        <f t="shared" ref="C23:C33" si="0">IF(B23=0,"",C22)</f>
        <v/>
      </c>
      <c r="D23" s="3" t="s">
        <v>276</v>
      </c>
      <c r="E23" s="3" t="s">
        <v>275</v>
      </c>
      <c r="F23" s="3" t="s">
        <v>274</v>
      </c>
      <c r="G23" s="3" t="s">
        <v>273</v>
      </c>
      <c r="H23" s="3" t="s">
        <v>272</v>
      </c>
      <c r="I23" s="3" t="s">
        <v>271</v>
      </c>
      <c r="J23" s="3" t="s">
        <v>270</v>
      </c>
      <c r="K23" s="3" t="s">
        <v>269</v>
      </c>
      <c r="L23" s="3" t="s">
        <v>268</v>
      </c>
      <c r="M23" s="3" t="s">
        <v>267</v>
      </c>
      <c r="N23" s="3"/>
      <c r="O23" s="3"/>
      <c r="P23" s="3">
        <f>'Model names'!C21</f>
        <v>0</v>
      </c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17"/>
      <c r="AB23" s="8"/>
      <c r="AC23" s="8"/>
    </row>
    <row r="24" spans="1:29" hidden="1" outlineLevel="1" x14ac:dyDescent="0.3">
      <c r="A24" s="2" t="str">
        <f>IF(B24=0,"",'[59]Model names'!$E$2)</f>
        <v/>
      </c>
      <c r="B24" s="3"/>
      <c r="C24" s="3" t="str">
        <f t="shared" si="0"/>
        <v/>
      </c>
      <c r="D24" s="3" t="s">
        <v>276</v>
      </c>
      <c r="E24" s="3" t="s">
        <v>275</v>
      </c>
      <c r="F24" s="3" t="s">
        <v>274</v>
      </c>
      <c r="G24" s="3" t="s">
        <v>273</v>
      </c>
      <c r="H24" s="3" t="s">
        <v>272</v>
      </c>
      <c r="I24" s="3" t="s">
        <v>271</v>
      </c>
      <c r="J24" s="3" t="s">
        <v>270</v>
      </c>
      <c r="K24" s="3" t="s">
        <v>269</v>
      </c>
      <c r="L24" s="3" t="s">
        <v>268</v>
      </c>
      <c r="M24" s="3" t="s">
        <v>267</v>
      </c>
      <c r="N24" s="3"/>
      <c r="O24" s="3"/>
      <c r="P24" s="3" t="e">
        <f>'Model names'!#REF!</f>
        <v>#REF!</v>
      </c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17"/>
      <c r="AB24" s="8"/>
      <c r="AC24" s="8"/>
    </row>
    <row r="25" spans="1:29" hidden="1" outlineLevel="1" x14ac:dyDescent="0.3">
      <c r="A25" s="2" t="str">
        <f>IF(B25=0,"",'[59]Model names'!$E$2)</f>
        <v/>
      </c>
      <c r="B25" s="3"/>
      <c r="C25" s="3" t="str">
        <f t="shared" si="0"/>
        <v/>
      </c>
      <c r="D25" s="3" t="s">
        <v>276</v>
      </c>
      <c r="E25" s="3" t="s">
        <v>275</v>
      </c>
      <c r="F25" s="3" t="s">
        <v>274</v>
      </c>
      <c r="G25" s="3" t="s">
        <v>273</v>
      </c>
      <c r="H25" s="3" t="s">
        <v>272</v>
      </c>
      <c r="I25" s="3" t="s">
        <v>271</v>
      </c>
      <c r="J25" s="3" t="s">
        <v>270</v>
      </c>
      <c r="K25" s="3" t="s">
        <v>269</v>
      </c>
      <c r="L25" s="3" t="s">
        <v>268</v>
      </c>
      <c r="M25" s="3" t="s">
        <v>267</v>
      </c>
      <c r="N25" s="3"/>
      <c r="O25" s="3"/>
      <c r="P25" s="3" t="e">
        <f>'Model names'!#REF!</f>
        <v>#REF!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17"/>
      <c r="AB25" s="8"/>
      <c r="AC25" s="8"/>
    </row>
    <row r="26" spans="1:29" hidden="1" outlineLevel="1" x14ac:dyDescent="0.3">
      <c r="A26" s="2" t="str">
        <f>IF(B26=0,"",'[59]Model names'!$E$2)</f>
        <v/>
      </c>
      <c r="B26" s="3"/>
      <c r="C26" s="3" t="str">
        <f t="shared" si="0"/>
        <v/>
      </c>
      <c r="D26" s="3" t="s">
        <v>276</v>
      </c>
      <c r="E26" s="3" t="s">
        <v>275</v>
      </c>
      <c r="F26" s="3" t="s">
        <v>274</v>
      </c>
      <c r="G26" s="3" t="s">
        <v>273</v>
      </c>
      <c r="H26" s="3" t="s">
        <v>272</v>
      </c>
      <c r="I26" s="3" t="s">
        <v>271</v>
      </c>
      <c r="J26" s="3" t="s">
        <v>270</v>
      </c>
      <c r="K26" s="3" t="s">
        <v>269</v>
      </c>
      <c r="L26" s="3" t="s">
        <v>268</v>
      </c>
      <c r="M26" s="3" t="s">
        <v>267</v>
      </c>
      <c r="N26" s="3"/>
      <c r="O26" s="3"/>
      <c r="P26" s="3" t="e">
        <f>'Model names'!#REF!</f>
        <v>#REF!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8"/>
      <c r="AB26" s="8"/>
      <c r="AC26" s="8"/>
    </row>
    <row r="27" spans="1:29" hidden="1" outlineLevel="1" x14ac:dyDescent="0.3">
      <c r="A27" s="2" t="str">
        <f>IF(B27=0,"",'[59]Model names'!$E$2)</f>
        <v/>
      </c>
      <c r="B27" s="3"/>
      <c r="C27" s="3" t="str">
        <f t="shared" si="0"/>
        <v/>
      </c>
      <c r="D27" s="3" t="s">
        <v>276</v>
      </c>
      <c r="E27" s="3" t="s">
        <v>275</v>
      </c>
      <c r="F27" s="3" t="s">
        <v>274</v>
      </c>
      <c r="G27" s="3" t="s">
        <v>273</v>
      </c>
      <c r="H27" s="3" t="s">
        <v>272</v>
      </c>
      <c r="I27" s="3" t="s">
        <v>271</v>
      </c>
      <c r="J27" s="3" t="s">
        <v>270</v>
      </c>
      <c r="K27" s="3" t="s">
        <v>269</v>
      </c>
      <c r="L27" s="3" t="s">
        <v>268</v>
      </c>
      <c r="M27" s="3" t="s">
        <v>267</v>
      </c>
      <c r="N27" s="3"/>
      <c r="O27" s="3"/>
      <c r="P27" s="3" t="e">
        <f>'Model names'!#REF!</f>
        <v>#REF!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8"/>
      <c r="AB27" s="8"/>
      <c r="AC27" s="8"/>
    </row>
    <row r="28" spans="1:29" hidden="1" outlineLevel="1" x14ac:dyDescent="0.3">
      <c r="A28" s="2" t="str">
        <f>IF(B28=0,"",'[59]Model names'!$E$2)</f>
        <v/>
      </c>
      <c r="B28" s="3"/>
      <c r="C28" s="3" t="str">
        <f t="shared" si="0"/>
        <v/>
      </c>
      <c r="D28" s="3" t="s">
        <v>276</v>
      </c>
      <c r="E28" s="3" t="s">
        <v>275</v>
      </c>
      <c r="F28" s="3" t="s">
        <v>274</v>
      </c>
      <c r="G28" s="3" t="s">
        <v>273</v>
      </c>
      <c r="H28" s="3" t="s">
        <v>272</v>
      </c>
      <c r="I28" s="3" t="s">
        <v>271</v>
      </c>
      <c r="J28" s="3" t="s">
        <v>270</v>
      </c>
      <c r="K28" s="3" t="s">
        <v>269</v>
      </c>
      <c r="L28" s="3" t="s">
        <v>268</v>
      </c>
      <c r="M28" s="3" t="s">
        <v>267</v>
      </c>
      <c r="N28" s="3"/>
      <c r="O28" s="3"/>
      <c r="P28" s="3" t="e">
        <f>'Model names'!#REF!</f>
        <v>#REF!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8"/>
      <c r="AB28" s="8"/>
      <c r="AC28" s="8"/>
    </row>
    <row r="29" spans="1:29" hidden="1" outlineLevel="1" x14ac:dyDescent="0.3">
      <c r="A29" s="2" t="str">
        <f>IF(B29=0,"",'[59]Model names'!$E$2)</f>
        <v/>
      </c>
      <c r="B29" s="3"/>
      <c r="C29" s="3" t="str">
        <f t="shared" si="0"/>
        <v/>
      </c>
      <c r="D29" s="3" t="s">
        <v>276</v>
      </c>
      <c r="E29" s="3" t="s">
        <v>275</v>
      </c>
      <c r="F29" s="3" t="s">
        <v>274</v>
      </c>
      <c r="G29" s="3" t="s">
        <v>273</v>
      </c>
      <c r="H29" s="3" t="s">
        <v>272</v>
      </c>
      <c r="I29" s="3" t="s">
        <v>271</v>
      </c>
      <c r="J29" s="3" t="s">
        <v>270</v>
      </c>
      <c r="K29" s="3" t="s">
        <v>269</v>
      </c>
      <c r="L29" s="3" t="s">
        <v>268</v>
      </c>
      <c r="M29" s="3" t="s">
        <v>267</v>
      </c>
      <c r="N29" s="3"/>
      <c r="O29" s="3"/>
      <c r="P29" s="3" t="e">
        <f>'Model names'!#REF!</f>
        <v>#REF!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8"/>
      <c r="AB29" s="8"/>
      <c r="AC29" s="8"/>
    </row>
    <row r="30" spans="1:29" hidden="1" outlineLevel="1" x14ac:dyDescent="0.3">
      <c r="A30" s="2" t="str">
        <f>IF(B30=0,"",'[59]Model names'!$E$2)</f>
        <v/>
      </c>
      <c r="B30" s="3"/>
      <c r="C30" s="3" t="str">
        <f t="shared" si="0"/>
        <v/>
      </c>
      <c r="D30" s="3" t="s">
        <v>276</v>
      </c>
      <c r="E30" s="3" t="s">
        <v>275</v>
      </c>
      <c r="F30" s="3" t="s">
        <v>274</v>
      </c>
      <c r="G30" s="3" t="s">
        <v>273</v>
      </c>
      <c r="H30" s="3" t="s">
        <v>272</v>
      </c>
      <c r="I30" s="3" t="s">
        <v>271</v>
      </c>
      <c r="J30" s="3" t="s">
        <v>270</v>
      </c>
      <c r="K30" s="3" t="s">
        <v>269</v>
      </c>
      <c r="L30" s="3" t="s">
        <v>268</v>
      </c>
      <c r="M30" s="3" t="s">
        <v>267</v>
      </c>
      <c r="N30" s="3"/>
      <c r="O30" s="3"/>
      <c r="P30" s="3" t="e">
        <f>'Model names'!#REF!</f>
        <v>#REF!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8"/>
      <c r="AB30" s="8"/>
      <c r="AC30" s="8"/>
    </row>
    <row r="31" spans="1:29" hidden="1" outlineLevel="1" x14ac:dyDescent="0.3">
      <c r="A31" s="2" t="str">
        <f>IF(B31=0,"",'[59]Model names'!$E$2)</f>
        <v/>
      </c>
      <c r="B31" s="3"/>
      <c r="C31" s="3" t="str">
        <f t="shared" si="0"/>
        <v/>
      </c>
      <c r="D31" s="3" t="s">
        <v>276</v>
      </c>
      <c r="E31" s="3" t="s">
        <v>275</v>
      </c>
      <c r="F31" s="3" t="s">
        <v>274</v>
      </c>
      <c r="G31" s="3" t="s">
        <v>273</v>
      </c>
      <c r="H31" s="3" t="s">
        <v>272</v>
      </c>
      <c r="I31" s="3" t="s">
        <v>271</v>
      </c>
      <c r="J31" s="3" t="s">
        <v>270</v>
      </c>
      <c r="K31" s="3" t="s">
        <v>269</v>
      </c>
      <c r="L31" s="3" t="s">
        <v>268</v>
      </c>
      <c r="M31" s="3" t="s">
        <v>267</v>
      </c>
      <c r="N31" s="3"/>
      <c r="O31" s="3"/>
      <c r="P31" s="3" t="e">
        <f>'Model names'!#REF!</f>
        <v>#REF!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8"/>
      <c r="AB31" s="8"/>
      <c r="AC31" s="8"/>
    </row>
    <row r="32" spans="1:29" hidden="1" outlineLevel="1" x14ac:dyDescent="0.3">
      <c r="A32" s="2" t="str">
        <f>IF(B32=0,"",'[59]Model names'!$E$2)</f>
        <v/>
      </c>
      <c r="B32" s="3"/>
      <c r="C32" s="3" t="str">
        <f t="shared" si="0"/>
        <v/>
      </c>
      <c r="D32" s="3" t="s">
        <v>276</v>
      </c>
      <c r="E32" s="3" t="s">
        <v>275</v>
      </c>
      <c r="F32" s="3" t="s">
        <v>274</v>
      </c>
      <c r="G32" s="3" t="s">
        <v>273</v>
      </c>
      <c r="H32" s="3" t="s">
        <v>272</v>
      </c>
      <c r="I32" s="3" t="s">
        <v>271</v>
      </c>
      <c r="J32" s="3" t="s">
        <v>270</v>
      </c>
      <c r="K32" s="3" t="s">
        <v>269</v>
      </c>
      <c r="L32" s="3" t="s">
        <v>268</v>
      </c>
      <c r="M32" s="3" t="s">
        <v>267</v>
      </c>
      <c r="N32" s="3"/>
      <c r="O32" s="3"/>
      <c r="P32" s="3" t="e">
        <f>'Model names'!#REF!</f>
        <v>#REF!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8"/>
      <c r="AB32" s="8"/>
      <c r="AC32" s="8"/>
    </row>
    <row r="33" spans="1:29" hidden="1" outlineLevel="1" x14ac:dyDescent="0.3">
      <c r="A33" s="2" t="str">
        <f>IF(B33=0,"",'[59]Model names'!$E$2)</f>
        <v/>
      </c>
      <c r="B33" s="3"/>
      <c r="C33" s="3" t="str">
        <f t="shared" si="0"/>
        <v/>
      </c>
      <c r="D33" s="3" t="s">
        <v>276</v>
      </c>
      <c r="E33" s="3" t="s">
        <v>275</v>
      </c>
      <c r="F33" s="3" t="s">
        <v>274</v>
      </c>
      <c r="G33" s="3" t="s">
        <v>273</v>
      </c>
      <c r="H33" s="3" t="s">
        <v>272</v>
      </c>
      <c r="I33" s="3" t="s">
        <v>271</v>
      </c>
      <c r="J33" s="3" t="s">
        <v>270</v>
      </c>
      <c r="K33" s="3" t="s">
        <v>269</v>
      </c>
      <c r="L33" s="3" t="s">
        <v>268</v>
      </c>
      <c r="M33" s="3" t="s">
        <v>267</v>
      </c>
      <c r="N33" s="3"/>
      <c r="O33" s="3"/>
      <c r="P33" s="3">
        <f>'Model names'!C31</f>
        <v>0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8"/>
      <c r="AB33" s="8"/>
      <c r="AC33" s="8"/>
    </row>
    <row r="34" spans="1:29" collapsed="1" x14ac:dyDescent="0.3">
      <c r="Q34" s="98">
        <f>SUM(Q4:Q20)</f>
        <v>0</v>
      </c>
      <c r="R34" s="98">
        <f t="shared" ref="R34:Z34" si="1">SUM(R4:R20)</f>
        <v>0</v>
      </c>
      <c r="S34" s="98">
        <f t="shared" si="1"/>
        <v>0</v>
      </c>
      <c r="T34" s="98">
        <f t="shared" si="1"/>
        <v>0</v>
      </c>
      <c r="U34" s="98">
        <f t="shared" si="1"/>
        <v>0</v>
      </c>
      <c r="V34" s="98">
        <f t="shared" si="1"/>
        <v>0</v>
      </c>
      <c r="W34" s="98">
        <f t="shared" si="1"/>
        <v>0</v>
      </c>
      <c r="X34" s="98">
        <f t="shared" si="1"/>
        <v>0</v>
      </c>
      <c r="Y34" s="98">
        <f t="shared" si="1"/>
        <v>0</v>
      </c>
      <c r="Z34" s="98">
        <f t="shared" si="1"/>
        <v>0</v>
      </c>
      <c r="AB34" s="8"/>
    </row>
    <row r="36" spans="1:29" x14ac:dyDescent="0.3">
      <c r="Q36" s="5"/>
      <c r="R36" s="9"/>
      <c r="S36" s="9"/>
      <c r="T36" s="9"/>
      <c r="U36" s="9"/>
      <c r="V36" s="9"/>
      <c r="W36" s="9"/>
      <c r="X36" s="9"/>
      <c r="Y36" s="9"/>
      <c r="Z36" s="9"/>
    </row>
    <row r="38" spans="1:29" x14ac:dyDescent="0.3">
      <c r="Z38" s="9"/>
    </row>
    <row r="40" spans="1:29" x14ac:dyDescent="0.3">
      <c r="Z40" s="9"/>
    </row>
  </sheetData>
  <conditionalFormatting sqref="Q21:Q23 S21:U23">
    <cfRule type="cellIs" dxfId="5" priority="3" operator="equal">
      <formula>"On"</formula>
    </cfRule>
  </conditionalFormatting>
  <conditionalFormatting sqref="V21:AA23">
    <cfRule type="cellIs" dxfId="4" priority="2" operator="equal">
      <formula>"On"</formula>
    </cfRule>
  </conditionalFormatting>
  <conditionalFormatting sqref="R21:R23">
    <cfRule type="cellIs" dxfId="3" priority="1" operator="equal">
      <formula>"On"</formula>
    </cfRule>
  </conditionalFormatting>
  <dataValidations disablePrompts="1" count="1">
    <dataValidation type="list" allowBlank="1" showInputMessage="1" showErrorMessage="1" sqref="P2">
      <formula1>"5, 10, 12"</formula1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21" r:id="rId4" name="CommandButton21">
          <controlPr autoLine="0" r:id="rId5">
            <anchor moveWithCells="1">
              <from>
                <xdr:col>16</xdr:col>
                <xdr:colOff>45720</xdr:colOff>
                <xdr:row>0</xdr:row>
                <xdr:rowOff>30480</xdr:rowOff>
              </from>
              <to>
                <xdr:col>17</xdr:col>
                <xdr:colOff>617220</xdr:colOff>
                <xdr:row>0</xdr:row>
                <xdr:rowOff>403860</xdr:rowOff>
              </to>
            </anchor>
          </controlPr>
        </control>
      </mc:Choice>
      <mc:Fallback>
        <control shapeId="133121" r:id="rId4" name="CommandButton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Model names</vt:lpstr>
      <vt:lpstr>What version did we get back</vt:lpstr>
      <vt:lpstr>Cash Balance-Total (1)</vt:lpstr>
      <vt:lpstr>MiscJE</vt:lpstr>
      <vt:lpstr>RateCaseOn (3)</vt:lpstr>
      <vt:lpstr>GrowthNI (new) - (4)</vt:lpstr>
      <vt:lpstr>Y1 Rate Base Input (5)</vt:lpstr>
      <vt:lpstr>ExecSummary - RateBase (6)</vt:lpstr>
      <vt:lpstr>Growth CapEx Cash Flow (7)</vt:lpstr>
      <vt:lpstr>Total Reports Balance Chk (8)</vt:lpstr>
      <vt:lpstr>Cash Balance-Base</vt:lpstr>
      <vt:lpstr>GrowthNI</vt:lpstr>
      <vt:lpstr>TotalNI</vt:lpstr>
      <vt:lpstr>RP Profiling</vt:lpstr>
      <vt:lpstr>CAGR Formula Check</vt:lpstr>
      <vt:lpstr>Net Income-Base</vt:lpstr>
      <vt:lpstr>Unidentified savings</vt:lpstr>
      <vt:lpstr># of customers override</vt:lpstr>
      <vt:lpstr>Growth cash flow check</vt:lpstr>
      <vt:lpstr>Total+Current Long Term Debt</vt:lpstr>
      <vt:lpstr>Total Equity</vt:lpstr>
      <vt:lpstr>NI Growth</vt:lpstr>
      <vt:lpstr>Total Long term debt</vt:lpstr>
      <vt:lpstr>Current long term debt</vt:lpstr>
      <vt:lpstr>Short term debt</vt:lpstr>
      <vt:lpstr>Short term debt (2)</vt:lpstr>
      <vt:lpstr>ROE</vt:lpstr>
      <vt:lpstr>Unidentified O&amp;M</vt:lpstr>
    </vt:vector>
  </TitlesOfParts>
  <Company>American Water Works,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linj</dc:creator>
  <cp:lastModifiedBy>wut</cp:lastModifiedBy>
  <dcterms:created xsi:type="dcterms:W3CDTF">2016-06-04T02:23:30Z</dcterms:created>
  <dcterms:modified xsi:type="dcterms:W3CDTF">2017-08-03T18:07:43Z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